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0DC563E8-DEA6-4079-9211-FAE6293CE485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IPD Patient &amp; Services" sheetId="1" r:id="rId1"/>
    <sheet name="IPD Charge Lines" sheetId="2" r:id="rId2"/>
    <sheet name="IPD_CPT_ICD_Code_Reference" sheetId="3" r:id="rId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7" i="2" l="1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R2" i="2" l="1"/>
  <c r="S2" i="2" s="1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Calculated from charge lines using Encounter ID. Formula-driven when opened in Excel.</t>
        </r>
      </text>
    </comment>
    <comment ref="A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All patient identities, encounter details, diagnoses, services, and amounts are synthetic and intended only for demonstration and software testing.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P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Formula: Quantity multiplied by Unit Charge.</t>
        </r>
      </text>
    </comment>
    <comment ref="R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Formula: Line Charge multiplied by Payer Responsibility percentage.</t>
        </r>
      </text>
    </comment>
    <comment ref="S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Formula: Line Charge minus Estimated Payer Amount. This is a simplified POC estimate, not adjudication.</t>
        </r>
      </text>
    </comment>
  </commentList>
</comments>
</file>

<file path=xl/sharedStrings.xml><?xml version="1.0" encoding="utf-8"?>
<sst xmlns="http://schemas.openxmlformats.org/spreadsheetml/2006/main" count="4424" uniqueCount="1023">
  <si>
    <t>Patient ID</t>
  </si>
  <si>
    <t>Encounter ID</t>
  </si>
  <si>
    <t>Patient Name</t>
  </si>
  <si>
    <t>DOB</t>
  </si>
  <si>
    <t>Gender</t>
  </si>
  <si>
    <t>Payer</t>
  </si>
  <si>
    <t>Member ID</t>
  </si>
  <si>
    <t>Admission Date</t>
  </si>
  <si>
    <t>Admission Time</t>
  </si>
  <si>
    <t>Discharge Date</t>
  </si>
  <si>
    <t>Discharge Time</t>
  </si>
  <si>
    <t>Length of Stay (Days)</t>
  </si>
  <si>
    <t>Admission Type</t>
  </si>
  <si>
    <t>Patient Class</t>
  </si>
  <si>
    <t>Facility</t>
  </si>
  <si>
    <t>Unit / Ward</t>
  </si>
  <si>
    <t>Room / Bed</t>
  </si>
  <si>
    <t>Attending Provider</t>
  </si>
  <si>
    <t>Primary ICD-10-CM</t>
  </si>
  <si>
    <t>Primary Diagnosis</t>
  </si>
  <si>
    <t>Secondary ICD-10-CM</t>
  </si>
  <si>
    <t>MS-DRG</t>
  </si>
  <si>
    <t>MS-DRG Description</t>
  </si>
  <si>
    <t>Present on Admission</t>
  </si>
  <si>
    <t>Discharge Disposition</t>
  </si>
  <si>
    <t>Services / Facilities Used</t>
  </si>
  <si>
    <t>Key CPT / HCPCS</t>
  </si>
  <si>
    <t>Allergies</t>
  </si>
  <si>
    <t>Prior Authorization</t>
  </si>
  <si>
    <t>Estimated Total Charges ($)</t>
  </si>
  <si>
    <t>Data Status</t>
  </si>
  <si>
    <t>IPD-0001</t>
  </si>
  <si>
    <t>ENC-IP-2026-00001</t>
  </si>
  <si>
    <t>Olivia Carter</t>
  </si>
  <si>
    <t>Female</t>
  </si>
  <si>
    <t>Aetna Commercial</t>
  </si>
  <si>
    <t>MBR69539580</t>
  </si>
  <si>
    <t>08:30</t>
  </si>
  <si>
    <t>14:15</t>
  </si>
  <si>
    <t>Emergency</t>
  </si>
  <si>
    <t>Inpatient</t>
  </si>
  <si>
    <t>NuuCare Demo Medical Center</t>
  </si>
  <si>
    <t>Medical Ward</t>
  </si>
  <si>
    <t>MED-101B</t>
  </si>
  <si>
    <t>Dr. Amelia Rhodes</t>
  </si>
  <si>
    <t>J18.9</t>
  </si>
  <si>
    <t>Pneumonia, unspecified organism</t>
  </si>
  <si>
    <t>I10</t>
  </si>
  <si>
    <t>193</t>
  </si>
  <si>
    <t>Simple pneumonia &amp; pleurisy w MCC</t>
  </si>
  <si>
    <t>Y</t>
  </si>
  <si>
    <t>Home</t>
  </si>
  <si>
    <t>Medical Ward; Chest X-ray; respiratory therapy; CBC; CMP; blood culture; pharmacy; room and board; physician services</t>
  </si>
  <si>
    <t>99223; 99233; 71046; 94640</t>
  </si>
  <si>
    <t>Penicillin</t>
  </si>
  <si>
    <t>Not Required - Emergency</t>
  </si>
  <si>
    <t>SYNTHETIC DEMO DATA</t>
  </si>
  <si>
    <t>IPD-0002</t>
  </si>
  <si>
    <t>ENC-IP-2026-00002</t>
  </si>
  <si>
    <t>Liam Brooks</t>
  </si>
  <si>
    <t>Male</t>
  </si>
  <si>
    <t>Blue Cross PPO</t>
  </si>
  <si>
    <t>MBR80706871</t>
  </si>
  <si>
    <t>Telemetry</t>
  </si>
  <si>
    <t>TEL-102C</t>
  </si>
  <si>
    <t>Dr. Noah Patel</t>
  </si>
  <si>
    <t>I50.23</t>
  </si>
  <si>
    <t>Acute on chronic systolic heart failure</t>
  </si>
  <si>
    <t>E78.5</t>
  </si>
  <si>
    <t>291</t>
  </si>
  <si>
    <t>Heart failure &amp; shock w MCC</t>
  </si>
  <si>
    <t>Home with Home Health</t>
  </si>
  <si>
    <t>Telemetry; Telemetry; echocardiogram; ECG; BNP; chest X-ray; pharmacy; room and board; physician services</t>
  </si>
  <si>
    <t>99223; 99233; 93306; 93010</t>
  </si>
  <si>
    <t>Sulfa drugs</t>
  </si>
  <si>
    <t>IPD-0003</t>
  </si>
  <si>
    <t>ENC-IP-2026-00003</t>
  </si>
  <si>
    <t>Emma Bennett</t>
  </si>
  <si>
    <t>UnitedHealthcare</t>
  </si>
  <si>
    <t>MBR63240335</t>
  </si>
  <si>
    <t>Surgical Ward</t>
  </si>
  <si>
    <t>SUR-103A</t>
  </si>
  <si>
    <t>Dr. Ethan Clarke</t>
  </si>
  <si>
    <t>K35.80</t>
  </si>
  <si>
    <t>Unspecified acute appendicitis</t>
  </si>
  <si>
    <t>343</t>
  </si>
  <si>
    <t>Appendectomy w/o complicated principal dx w/o CC/MCC</t>
  </si>
  <si>
    <t>Skilled Nursing Facility</t>
  </si>
  <si>
    <t>Surgical Ward; Laparoscopic appendectomy; anesthesia; CBC; CT abdomen; pharmacy; room and board; physician services</t>
  </si>
  <si>
    <t>99223; 44970; 00840</t>
  </si>
  <si>
    <t>Latex</t>
  </si>
  <si>
    <t>IPD-0004</t>
  </si>
  <si>
    <t>ENC-IP-2026-00004</t>
  </si>
  <si>
    <t>Noah Reed</t>
  </si>
  <si>
    <t>Medicare</t>
  </si>
  <si>
    <t>MBR17999608</t>
  </si>
  <si>
    <t>MED-104B</t>
  </si>
  <si>
    <t>Dr. Sophia Miller</t>
  </si>
  <si>
    <t>N39.0</t>
  </si>
  <si>
    <t>Urinary tract infection, site not specified</t>
  </si>
  <si>
    <t>J45.909</t>
  </si>
  <si>
    <t>689</t>
  </si>
  <si>
    <t>Kidney &amp; urinary tract infections w MCC</t>
  </si>
  <si>
    <t>Inpatient Rehabilitation</t>
  </si>
  <si>
    <t>Medical Ward; Urine culture; CBC; CMP; IV antibiotics; pharmacy; room and board; physician services</t>
  </si>
  <si>
    <t>99223; 99233; 87086; 85025</t>
  </si>
  <si>
    <t>NSAIDs</t>
  </si>
  <si>
    <t>IPD-0005</t>
  </si>
  <si>
    <t>ENC-IP-2026-00005</t>
  </si>
  <si>
    <t>Ava Parker</t>
  </si>
  <si>
    <t>Medicaid</t>
  </si>
  <si>
    <t>MBR52841958</t>
  </si>
  <si>
    <t>Elective</t>
  </si>
  <si>
    <t>Orthopedic Ward</t>
  </si>
  <si>
    <t>ORT-105C</t>
  </si>
  <si>
    <t>Dr. Liam Wilson</t>
  </si>
  <si>
    <t>M17.11</t>
  </si>
  <si>
    <t>Unilateral primary osteoarthritis, right knee</t>
  </si>
  <si>
    <t>N18.3</t>
  </si>
  <si>
    <t>470</t>
  </si>
  <si>
    <t>Major hip &amp; knee joint replacement w/o MCC</t>
  </si>
  <si>
    <t>N</t>
  </si>
  <si>
    <t>Transfer to Acute Facility</t>
  </si>
  <si>
    <t>Orthopedic Ward; Total knee arthroplasty; anesthesia; X-ray; physical therapy; pharmacy; room and board; physician services</t>
  </si>
  <si>
    <t>27447; 01402; 73560; 97116</t>
  </si>
  <si>
    <t>NKDA</t>
  </si>
  <si>
    <t>Required - Approved</t>
  </si>
  <si>
    <t>IPD-0006</t>
  </si>
  <si>
    <t>ENC-IP-2026-00006</t>
  </si>
  <si>
    <t>Ethan Hayes</t>
  </si>
  <si>
    <t>Cigna Commercial</t>
  </si>
  <si>
    <t>MBR97059111</t>
  </si>
  <si>
    <t>Cardiac ICU</t>
  </si>
  <si>
    <t>CAR-106A</t>
  </si>
  <si>
    <t>Dr. Mia Reynolds</t>
  </si>
  <si>
    <t>I21.4</t>
  </si>
  <si>
    <t>Non-ST elevation myocardial infarction</t>
  </si>
  <si>
    <t>D64.9</t>
  </si>
  <si>
    <t>280</t>
  </si>
  <si>
    <t>Acute myocardial infarction, discharged alive w MCC</t>
  </si>
  <si>
    <t>Cardiac ICU; Cardiac catheterization; coronary stent; ECG; troponin; ICU monitoring; pharmacy; room and board; physician services</t>
  </si>
  <si>
    <t>99223; 93458; 92928; 93010</t>
  </si>
  <si>
    <t>IPD-0007</t>
  </si>
  <si>
    <t>ENC-IP-2026-00007</t>
  </si>
  <si>
    <t>Sophia Collins</t>
  </si>
  <si>
    <t>Self-Pay</t>
  </si>
  <si>
    <t>MBR12085708</t>
  </si>
  <si>
    <t>Urgent</t>
  </si>
  <si>
    <t>MED-107B</t>
  </si>
  <si>
    <t>E11.621</t>
  </si>
  <si>
    <t>Type 2 diabetes mellitus with foot ulcer</t>
  </si>
  <si>
    <t>E11.9</t>
  </si>
  <si>
    <t>638</t>
  </si>
  <si>
    <t>Diabetes w CC</t>
  </si>
  <si>
    <t>Medical Ward; Wound debridement; vascular study; HbA1c; wound care; pharmacy; room and board; physician services</t>
  </si>
  <si>
    <t>99223; 97597; 93922; 83036</t>
  </si>
  <si>
    <t>Pending Review</t>
  </si>
  <si>
    <t>IPD-0008</t>
  </si>
  <si>
    <t>ENC-IP-2026-00008</t>
  </si>
  <si>
    <t>Mason Morgan</t>
  </si>
  <si>
    <t>MBR87609287</t>
  </si>
  <si>
    <t>ORT-108C</t>
  </si>
  <si>
    <t>S72.001A</t>
  </si>
  <si>
    <t>Fracture of unspecified part of neck of right femur</t>
  </si>
  <si>
    <t>480</t>
  </si>
  <si>
    <t>Hip &amp; femur procedures except major joint w MCC</t>
  </si>
  <si>
    <t>Orthopedic Ward; Hip fixation; anesthesia; X-ray; physical therapy; pharmacy; room and board; physician services</t>
  </si>
  <si>
    <t>27236; 01210; 73502; 97116</t>
  </si>
  <si>
    <t>IPD-0009</t>
  </si>
  <si>
    <t>ENC-IP-2026-00009</t>
  </si>
  <si>
    <t>Isabella Cooper</t>
  </si>
  <si>
    <t>MBR92538679</t>
  </si>
  <si>
    <t>SUR-109A</t>
  </si>
  <si>
    <t>K80.00</t>
  </si>
  <si>
    <t>Calculus of gallbladder with acute cholecystitis without obstruction</t>
  </si>
  <si>
    <t>Z79.4</t>
  </si>
  <si>
    <t>418</t>
  </si>
  <si>
    <t>Laparoscopic cholecystectomy w/o CDE w CC</t>
  </si>
  <si>
    <t>Surgical Ward; Laparoscopic cholecystectomy; anesthesia; ultrasound; CMP; pharmacy; room and board; physician services</t>
  </si>
  <si>
    <t>47562; 00790; 76705; 80053</t>
  </si>
  <si>
    <t>IPD-0010</t>
  </si>
  <si>
    <t>ENC-IP-2026-00010</t>
  </si>
  <si>
    <t>Lucas Foster</t>
  </si>
  <si>
    <t>MBR56032838</t>
  </si>
  <si>
    <t>Pulmonary Ward</t>
  </si>
  <si>
    <t>PUL-110B</t>
  </si>
  <si>
    <t>J44.1</t>
  </si>
  <si>
    <t>Chronic obstructive pulmonary disease with acute exacerbation</t>
  </si>
  <si>
    <t>190</t>
  </si>
  <si>
    <t>COPD w MCC</t>
  </si>
  <si>
    <t>Pulmonary Ward; Nebulization; oxygen; chest X-ray; ABG; respiratory therapy; pharmacy; room and board; physician services</t>
  </si>
  <si>
    <t>99223; 99233; 94640; 71046</t>
  </si>
  <si>
    <t>IPD-0011</t>
  </si>
  <si>
    <t>ENC-IP-2026-00011</t>
  </si>
  <si>
    <t>Mia Bailey</t>
  </si>
  <si>
    <t>MBR32619500</t>
  </si>
  <si>
    <t>Medical ICU</t>
  </si>
  <si>
    <t>MED-111C</t>
  </si>
  <si>
    <t>A41.9</t>
  </si>
  <si>
    <t>Sepsis, unspecified organism</t>
  </si>
  <si>
    <t>871</t>
  </si>
  <si>
    <t>Septicemia or severe sepsis w/o MV &gt;96 hours w MCC</t>
  </si>
  <si>
    <t>Medical ICU; ICU care; blood culture; lactate; broad-spectrum antibiotics; pharmacy; room and board; physician services</t>
  </si>
  <si>
    <t>99223; 99291; 87040; 83605</t>
  </si>
  <si>
    <t>IPD-0012</t>
  </si>
  <si>
    <t>ENC-IP-2026-00012</t>
  </si>
  <si>
    <t>Logan Ward</t>
  </si>
  <si>
    <t>MBR28371920</t>
  </si>
  <si>
    <t>Neuro ICU</t>
  </si>
  <si>
    <t>NEU-112A</t>
  </si>
  <si>
    <t>I63.9</t>
  </si>
  <si>
    <t>Cerebral infarction, unspecified</t>
  </si>
  <si>
    <t>064</t>
  </si>
  <si>
    <t>Intracranial hemorrhage or cerebral infarction w MCC</t>
  </si>
  <si>
    <t>Neuro ICU; CT head; MRI brain; rehabilitation; swallow evaluation; pharmacy; room and board; physician services</t>
  </si>
  <si>
    <t>99223; 70450; 70551; 97110</t>
  </si>
  <si>
    <t>IPD-0013</t>
  </si>
  <si>
    <t>ENC-IP-2026-00013</t>
  </si>
  <si>
    <t>Amelia Murphy</t>
  </si>
  <si>
    <t>MBR29184914</t>
  </si>
  <si>
    <t>MED-113B</t>
  </si>
  <si>
    <t>N17.9</t>
  </si>
  <si>
    <t>Acute kidney failure, unspecified</t>
  </si>
  <si>
    <t>682</t>
  </si>
  <si>
    <t>Renal failure w MCC</t>
  </si>
  <si>
    <t>Medical Ward; Hemodialysis; renal ultrasound; BMP; nephrology consult; pharmacy; room and board; physician services</t>
  </si>
  <si>
    <t>99223; 90935; 76770; 80048</t>
  </si>
  <si>
    <t>IPD-0014</t>
  </si>
  <si>
    <t>ENC-IP-2026-00014</t>
  </si>
  <si>
    <t>James Price</t>
  </si>
  <si>
    <t>MBR49768414</t>
  </si>
  <si>
    <t>MED-114C</t>
  </si>
  <si>
    <t>K92.2</t>
  </si>
  <si>
    <t>Gastrointestinal hemorrhage, unspecified</t>
  </si>
  <si>
    <t>377</t>
  </si>
  <si>
    <t>GI hemorrhage w MCC</t>
  </si>
  <si>
    <t>Medical Ward; Upper GI endoscopy; anesthesia; CBC; transfusion monitoring; pharmacy; room and board; physician services</t>
  </si>
  <si>
    <t>99223; 43235; 00731; 85027</t>
  </si>
  <si>
    <t>IPD-0015</t>
  </si>
  <si>
    <t>ENC-IP-2026-00015</t>
  </si>
  <si>
    <t>Harper Bell</t>
  </si>
  <si>
    <t>MBR90967101</t>
  </si>
  <si>
    <t>MED-115A</t>
  </si>
  <si>
    <t>J96.01</t>
  </si>
  <si>
    <t>Acute respiratory failure with hypoxia</t>
  </si>
  <si>
    <t>189</t>
  </si>
  <si>
    <t>Pulmonary edema &amp; respiratory failure</t>
  </si>
  <si>
    <t>Medical ICU; ICU care; non-invasive ventilation; ABG; chest X-ray; pharmacy; room and board; physician services</t>
  </si>
  <si>
    <t>99223; 99291; 94660; 82803</t>
  </si>
  <si>
    <t>IPD-0016</t>
  </si>
  <si>
    <t>ENC-IP-2026-00016</t>
  </si>
  <si>
    <t>Benjamin Ross</t>
  </si>
  <si>
    <t>MBR39471527</t>
  </si>
  <si>
    <t>MED-116B</t>
  </si>
  <si>
    <t>L03.116</t>
  </si>
  <si>
    <t>Cellulitis of left lower limb</t>
  </si>
  <si>
    <t>603</t>
  </si>
  <si>
    <t>Cellulitis w/o MCC</t>
  </si>
  <si>
    <t>Medical Ward; Venous ultrasound; CBC; IV antibiotics; wound assessment; pharmacy; room and board; physician services</t>
  </si>
  <si>
    <t>99223; 99233; 93971; 85025</t>
  </si>
  <si>
    <t>IPD-0017</t>
  </si>
  <si>
    <t>ENC-IP-2026-00017</t>
  </si>
  <si>
    <t>Evelyn Gray</t>
  </si>
  <si>
    <t>MBR96388296</t>
  </si>
  <si>
    <t>Neurology Ward</t>
  </si>
  <si>
    <t>NEU-117C</t>
  </si>
  <si>
    <t>G40.909</t>
  </si>
  <si>
    <t>Epilepsy, unspecified, not intractable, without status epilepticus</t>
  </si>
  <si>
    <t>101</t>
  </si>
  <si>
    <t>Seizures w/o MCC</t>
  </si>
  <si>
    <t>Neurology Ward; EEG; MRI brain; CMP; neurology consult; pharmacy; room and board; physician services</t>
  </si>
  <si>
    <t>99223; 95816; 70551; 80053</t>
  </si>
  <si>
    <t>IPD-0018</t>
  </si>
  <si>
    <t>ENC-IP-2026-00018</t>
  </si>
  <si>
    <t>Elijah Wood</t>
  </si>
  <si>
    <t>MBR54542871</t>
  </si>
  <si>
    <t>Labor &amp; Delivery</t>
  </si>
  <si>
    <t>LAB-118A</t>
  </si>
  <si>
    <t>O80</t>
  </si>
  <si>
    <t>Encounter for full-term uncomplicated delivery</t>
  </si>
  <si>
    <t>775</t>
  </si>
  <si>
    <t>Vaginal delivery w/o complicating diagnoses</t>
  </si>
  <si>
    <t>Labor &amp; Delivery; Vaginal delivery; epidural; fetal monitoring; CBC; pharmacy; room and board; physician services</t>
  </si>
  <si>
    <t>59400; 01967; 59025; 85027</t>
  </si>
  <si>
    <t>IPD-0019</t>
  </si>
  <si>
    <t>ENC-IP-2026-00019</t>
  </si>
  <si>
    <t>Abigail Hughes</t>
  </si>
  <si>
    <t>MBR28555947</t>
  </si>
  <si>
    <t>NICU</t>
  </si>
  <si>
    <t>NIC-119B</t>
  </si>
  <si>
    <t>P07.30</t>
  </si>
  <si>
    <t>Preterm newborn, unspecified weeks of gestation</t>
  </si>
  <si>
    <t>791</t>
  </si>
  <si>
    <t>Prematurity w major problems</t>
  </si>
  <si>
    <t>NICU; NICU care; chest X-ray; ABG; CBC; feeding support; pharmacy; room and board; physician services</t>
  </si>
  <si>
    <t>99468; 71045; 82803; 85025</t>
  </si>
  <si>
    <t>IPD-0020</t>
  </si>
  <si>
    <t>ENC-IP-2026-00020</t>
  </si>
  <si>
    <t>Henry Kelly</t>
  </si>
  <si>
    <t>MBR73293796</t>
  </si>
  <si>
    <t>Behavioral Health</t>
  </si>
  <si>
    <t>BEH-120C</t>
  </si>
  <si>
    <t>F32.2</t>
  </si>
  <si>
    <t>Major depressive disorder, single episode, severe without psychotic features</t>
  </si>
  <si>
    <t>881</t>
  </si>
  <si>
    <t>Depressive neuroses</t>
  </si>
  <si>
    <t>Behavioral Health; Psychiatric evaluation; psychotherapy; toxicology screen; safety monitoring; pharmacy; room and board; physician services</t>
  </si>
  <si>
    <t>99223; 90832; 90791; 80307</t>
  </si>
  <si>
    <t>IPD-0021</t>
  </si>
  <si>
    <t>ENC-IP-2026-00021</t>
  </si>
  <si>
    <t>Emily Sanders</t>
  </si>
  <si>
    <t>MBR41056801</t>
  </si>
  <si>
    <t>SUR-121A</t>
  </si>
  <si>
    <t>K56.609</t>
  </si>
  <si>
    <t>Unspecified intestinal obstruction, unspecified whether partial or complete</t>
  </si>
  <si>
    <t>331</t>
  </si>
  <si>
    <t>Major small &amp; large bowel procedures w/o CC/MCC</t>
  </si>
  <si>
    <t>Surgical Ward; Bowel resection; anesthesia; CT abdomen/pelvis; CBC; pharmacy; room and board; physician services</t>
  </si>
  <si>
    <t>99223; 44120; 00790; 74177</t>
  </si>
  <si>
    <t>IPD-0022</t>
  </si>
  <si>
    <t>ENC-IP-2026-00022</t>
  </si>
  <si>
    <t>Alexander Powell</t>
  </si>
  <si>
    <t>MBR85505095</t>
  </si>
  <si>
    <t>Observation-to-Inpatient</t>
  </si>
  <si>
    <t>TEL-122B</t>
  </si>
  <si>
    <t>Essential (primary) hypertension</t>
  </si>
  <si>
    <t>305</t>
  </si>
  <si>
    <t>Hypertension w/o MCC</t>
  </si>
  <si>
    <t>Telemetry; Telemetry; ECG; BMP; medication management; pharmacy; room and board; physician services</t>
  </si>
  <si>
    <t>99223; 99233; 93010; 80048</t>
  </si>
  <si>
    <t>IPD-0023</t>
  </si>
  <si>
    <t>ENC-IP-2026-00023</t>
  </si>
  <si>
    <t>Ella Long</t>
  </si>
  <si>
    <t>MBR70774793</t>
  </si>
  <si>
    <t>MED-123C</t>
  </si>
  <si>
    <t>D57.00</t>
  </si>
  <si>
    <t>Hb-SS disease with crisis, unspecified</t>
  </si>
  <si>
    <t>812</t>
  </si>
  <si>
    <t>Red blood cell disorders w/o MCC</t>
  </si>
  <si>
    <t>Medical Ward; Pain management; reticulocyte count; IV hydration; CBC; pharmacy; room and board; physician services</t>
  </si>
  <si>
    <t>99223; 99233; 85045; 96374</t>
  </si>
  <si>
    <t>IPD-0024</t>
  </si>
  <si>
    <t>ENC-IP-2026-00024</t>
  </si>
  <si>
    <t>Daniel Perry</t>
  </si>
  <si>
    <t>MBR85307960</t>
  </si>
  <si>
    <t>Oncology Surgical Ward</t>
  </si>
  <si>
    <t>ONC-124A</t>
  </si>
  <si>
    <t>C18.9</t>
  </si>
  <si>
    <t>Malignant neoplasm of colon, unspecified</t>
  </si>
  <si>
    <t>329</t>
  </si>
  <si>
    <t>Major small &amp; large bowel procedures w MCC</t>
  </si>
  <si>
    <t>Oncology Surgical Ward; Colectomy; anesthesia; CT chest; surgical pathology; pharmacy; room and board; physician services</t>
  </si>
  <si>
    <t>44140; 00790; 71260; 88309</t>
  </si>
  <si>
    <t>IPD-0025</t>
  </si>
  <si>
    <t>ENC-IP-2026-00025</t>
  </si>
  <si>
    <t>Scarlett Cook</t>
  </si>
  <si>
    <t>MBR23438574</t>
  </si>
  <si>
    <t>ORT-125B</t>
  </si>
  <si>
    <t>T84.54XA</t>
  </si>
  <si>
    <t>Infection and inflammatory reaction due to internal left knee prosthesis</t>
  </si>
  <si>
    <t>856</t>
  </si>
  <si>
    <t>Postoperative or post-traumatic infections w O.R. procedure w MCC</t>
  </si>
  <si>
    <t>Orthopedic Ward; Revision knee arthroplasty; anesthesia; wound culture; X-ray; pharmacy; room and board; physician services</t>
  </si>
  <si>
    <t>27487; 01402; 87070; 73560</t>
  </si>
  <si>
    <t>Charge Line ID</t>
  </si>
  <si>
    <t>Service Date</t>
  </si>
  <si>
    <t>Department / Cost Center</t>
  </si>
  <si>
    <t>Service Category</t>
  </si>
  <si>
    <t>Service Description</t>
  </si>
  <si>
    <t>Revenue Code</t>
  </si>
  <si>
    <t>CPT / HCPCS</t>
  </si>
  <si>
    <t>ICD-10-CM Pointer</t>
  </si>
  <si>
    <t>NDC / Drug Reference</t>
  </si>
  <si>
    <t>Quantity</t>
  </si>
  <si>
    <t>Unit</t>
  </si>
  <si>
    <t>Unit Charge ($)</t>
  </si>
  <si>
    <t>Line Charge ($)</t>
  </si>
  <si>
    <t>Payer Responsibility (%)</t>
  </si>
  <si>
    <t>Estimated Payer Amount ($)</t>
  </si>
  <si>
    <t>Estimated Patient Amount ($)</t>
  </si>
  <si>
    <t>Charge Status</t>
  </si>
  <si>
    <t>Scrub Flag</t>
  </si>
  <si>
    <t>Scrub Note</t>
  </si>
  <si>
    <t>CL-000001</t>
  </si>
  <si>
    <t>Room &amp; Board</t>
  </si>
  <si>
    <t>0120</t>
  </si>
  <si>
    <t>day</t>
  </si>
  <si>
    <t>Posted</t>
  </si>
  <si>
    <t>PASS</t>
  </si>
  <si>
    <t>CL-000002</t>
  </si>
  <si>
    <t>Hospitalist</t>
  </si>
  <si>
    <t>Professional</t>
  </si>
  <si>
    <t>Professional Fees</t>
  </si>
  <si>
    <t>0981</t>
  </si>
  <si>
    <t>99223</t>
  </si>
  <si>
    <t>service</t>
  </si>
  <si>
    <t>CL-000003</t>
  </si>
  <si>
    <t>99233</t>
  </si>
  <si>
    <t>visit</t>
  </si>
  <si>
    <t>CL-000004</t>
  </si>
  <si>
    <t>Laboratory</t>
  </si>
  <si>
    <t>0300</t>
  </si>
  <si>
    <t>85025</t>
  </si>
  <si>
    <t>test</t>
  </si>
  <si>
    <t>CL-000005</t>
  </si>
  <si>
    <t>Laboratory - Chemistry</t>
  </si>
  <si>
    <t>0301</t>
  </si>
  <si>
    <t>80053</t>
  </si>
  <si>
    <t>panel</t>
  </si>
  <si>
    <t>CL-000006</t>
  </si>
  <si>
    <t>Pharmacy</t>
  </si>
  <si>
    <t>0250</t>
  </si>
  <si>
    <t>CL-000007</t>
  </si>
  <si>
    <t>Nursing</t>
  </si>
  <si>
    <t>Supplies</t>
  </si>
  <si>
    <t>Medical/Surgical Supplies</t>
  </si>
  <si>
    <t>0270</t>
  </si>
  <si>
    <t>bundle</t>
  </si>
  <si>
    <t>CL-000008</t>
  </si>
  <si>
    <t>Radiology</t>
  </si>
  <si>
    <t>Imaging</t>
  </si>
  <si>
    <t>Radiology - Chest X-ray</t>
  </si>
  <si>
    <t>0324</t>
  </si>
  <si>
    <t>71046</t>
  </si>
  <si>
    <t>study</t>
  </si>
  <si>
    <t>CL-000009</t>
  </si>
  <si>
    <t>Respiratory Therapy</t>
  </si>
  <si>
    <t>Therapy</t>
  </si>
  <si>
    <t>Respiratory Services</t>
  </si>
  <si>
    <t>0410</t>
  </si>
  <si>
    <t>94640</t>
  </si>
  <si>
    <t>session</t>
  </si>
  <si>
    <t>CL-000010</t>
  </si>
  <si>
    <t>Intensive Care - Intermediate ICU</t>
  </si>
  <si>
    <t>0206</t>
  </si>
  <si>
    <t>CL-000011</t>
  </si>
  <si>
    <t>CL-000012</t>
  </si>
  <si>
    <t>CL-000013</t>
  </si>
  <si>
    <t>CL-000014</t>
  </si>
  <si>
    <t>CL-000015</t>
  </si>
  <si>
    <t>CL-000016</t>
  </si>
  <si>
    <t>CL-000017</t>
  </si>
  <si>
    <t>CL-000018</t>
  </si>
  <si>
    <t>Cardiology</t>
  </si>
  <si>
    <t>Diagnostic</t>
  </si>
  <si>
    <t>EKG/ECG</t>
  </si>
  <si>
    <t>0730</t>
  </si>
  <si>
    <t>93010</t>
  </si>
  <si>
    <t>CL-000019</t>
  </si>
  <si>
    <t>Cardiology - Echocardiology</t>
  </si>
  <si>
    <t>0483</t>
  </si>
  <si>
    <t>93306</t>
  </si>
  <si>
    <t>CL-000020</t>
  </si>
  <si>
    <t>CL-000021</t>
  </si>
  <si>
    <t>CL-000022</t>
  </si>
  <si>
    <t>CL-000023</t>
  </si>
  <si>
    <t>CL-000024</t>
  </si>
  <si>
    <t>CL-000025</t>
  </si>
  <si>
    <t>CL-000026</t>
  </si>
  <si>
    <t>CL-000027</t>
  </si>
  <si>
    <t>CT Scan</t>
  </si>
  <si>
    <t>0350</t>
  </si>
  <si>
    <t>74177</t>
  </si>
  <si>
    <t>CL-000028</t>
  </si>
  <si>
    <t>Operating Room</t>
  </si>
  <si>
    <t>Procedure</t>
  </si>
  <si>
    <t>Operating Room Services</t>
  </si>
  <si>
    <t>0360</t>
  </si>
  <si>
    <t>case</t>
  </si>
  <si>
    <t>CL-000029</t>
  </si>
  <si>
    <t>Anesthesiology</t>
  </si>
  <si>
    <t>Anesthesia</t>
  </si>
  <si>
    <t>0370</t>
  </si>
  <si>
    <t>44970</t>
  </si>
  <si>
    <t>CL-000030</t>
  </si>
  <si>
    <t>Central Supply</t>
  </si>
  <si>
    <t>Implant/Supply</t>
  </si>
  <si>
    <t>Medical/Surgical Supplies - Other Implants</t>
  </si>
  <si>
    <t>0278</t>
  </si>
  <si>
    <t>item</t>
  </si>
  <si>
    <t>CL-000031</t>
  </si>
  <si>
    <t>CL-000032</t>
  </si>
  <si>
    <t>CL-000033</t>
  </si>
  <si>
    <t>CL-000034</t>
  </si>
  <si>
    <t>CL-000035</t>
  </si>
  <si>
    <t>CL-000036</t>
  </si>
  <si>
    <t>CL-000037</t>
  </si>
  <si>
    <t>CL-000038</t>
  </si>
  <si>
    <t>70450</t>
  </si>
  <si>
    <t>CL-000039</t>
  </si>
  <si>
    <t>CL-000040</t>
  </si>
  <si>
    <t>CL-000041</t>
  </si>
  <si>
    <t>CL-000042</t>
  </si>
  <si>
    <t>CL-000043</t>
  </si>
  <si>
    <t>CL-000044</t>
  </si>
  <si>
    <t>CL-000045</t>
  </si>
  <si>
    <t>CL-000046</t>
  </si>
  <si>
    <t>CL-000047</t>
  </si>
  <si>
    <t>27447</t>
  </si>
  <si>
    <t>CL-000048</t>
  </si>
  <si>
    <t>01402</t>
  </si>
  <si>
    <t>CL-000049</t>
  </si>
  <si>
    <t>CL-000050</t>
  </si>
  <si>
    <t>Rehabilitation</t>
  </si>
  <si>
    <t>Physical Therapy</t>
  </si>
  <si>
    <t>0420</t>
  </si>
  <si>
    <t>97116</t>
  </si>
  <si>
    <t>CL-000051</t>
  </si>
  <si>
    <t>Intensive Care - Surgical ICU</t>
  </si>
  <si>
    <t>0201</t>
  </si>
  <si>
    <t>CL-000052</t>
  </si>
  <si>
    <t>CL-000053</t>
  </si>
  <si>
    <t>CL-000054</t>
  </si>
  <si>
    <t>CL-000055</t>
  </si>
  <si>
    <t>CL-000056</t>
  </si>
  <si>
    <t>CL-000057</t>
  </si>
  <si>
    <t>CL-000058</t>
  </si>
  <si>
    <t>CL-000059</t>
  </si>
  <si>
    <t>CL-000060</t>
  </si>
  <si>
    <t>93458</t>
  </si>
  <si>
    <t>CL-000061</t>
  </si>
  <si>
    <t>CL-000062</t>
  </si>
  <si>
    <t>Intensive Care</t>
  </si>
  <si>
    <t>Critical Care</t>
  </si>
  <si>
    <t>0200</t>
  </si>
  <si>
    <t>99291</t>
  </si>
  <si>
    <t>CL-000063</t>
  </si>
  <si>
    <t>CL-000064</t>
  </si>
  <si>
    <t>CL-000065</t>
  </si>
  <si>
    <t>CL-000066</t>
  </si>
  <si>
    <t>CL-000067</t>
  </si>
  <si>
    <t>CL-000068</t>
  </si>
  <si>
    <t>REVIEW</t>
  </si>
  <si>
    <t>Verify drug-level NDC detail before claim submission</t>
  </si>
  <si>
    <t>CL-000069</t>
  </si>
  <si>
    <t>CL-000070</t>
  </si>
  <si>
    <t>CL-000071</t>
  </si>
  <si>
    <t>CL-000072</t>
  </si>
  <si>
    <t>CL-000073</t>
  </si>
  <si>
    <t>CL-000074</t>
  </si>
  <si>
    <t>CL-000075</t>
  </si>
  <si>
    <t>CL-000076</t>
  </si>
  <si>
    <t>CL-000077</t>
  </si>
  <si>
    <t>CL-000078</t>
  </si>
  <si>
    <t>27236</t>
  </si>
  <si>
    <t>CL-000079</t>
  </si>
  <si>
    <t>01210</t>
  </si>
  <si>
    <t>CL-000080</t>
  </si>
  <si>
    <t>CL-000081</t>
  </si>
  <si>
    <t>CL-000082</t>
  </si>
  <si>
    <t>CL-000083</t>
  </si>
  <si>
    <t>CL-000084</t>
  </si>
  <si>
    <t>CL-000085</t>
  </si>
  <si>
    <t>CL-000086</t>
  </si>
  <si>
    <t>CL-000087</t>
  </si>
  <si>
    <t>CL-000088</t>
  </si>
  <si>
    <t>CL-000089</t>
  </si>
  <si>
    <t>Ultrasound</t>
  </si>
  <si>
    <t>0402</t>
  </si>
  <si>
    <t>76705</t>
  </si>
  <si>
    <t>CL-000090</t>
  </si>
  <si>
    <t>47562</t>
  </si>
  <si>
    <t>CL-000091</t>
  </si>
  <si>
    <t>00790</t>
  </si>
  <si>
    <t>CL-000092</t>
  </si>
  <si>
    <t>CL-000093</t>
  </si>
  <si>
    <t>CL-000094</t>
  </si>
  <si>
    <t>CL-000095</t>
  </si>
  <si>
    <t>CL-000096</t>
  </si>
  <si>
    <t>CL-000097</t>
  </si>
  <si>
    <t>CL-000098</t>
  </si>
  <si>
    <t>CL-000099</t>
  </si>
  <si>
    <t>CL-000100</t>
  </si>
  <si>
    <t>CL-000101</t>
  </si>
  <si>
    <t>CL-000102</t>
  </si>
  <si>
    <t>Intensive Care - General</t>
  </si>
  <si>
    <t>CL-000103</t>
  </si>
  <si>
    <t>CL-000104</t>
  </si>
  <si>
    <t>CL-000105</t>
  </si>
  <si>
    <t>CL-000106</t>
  </si>
  <si>
    <t>CL-000107</t>
  </si>
  <si>
    <t>CL-000108</t>
  </si>
  <si>
    <t>CL-000109</t>
  </si>
  <si>
    <t>CL-000110</t>
  </si>
  <si>
    <t>Intensive Care - Trauma</t>
  </si>
  <si>
    <t>0208</t>
  </si>
  <si>
    <t>CL-000111</t>
  </si>
  <si>
    <t>CL-000112</t>
  </si>
  <si>
    <t>CL-000113</t>
  </si>
  <si>
    <t>CL-000114</t>
  </si>
  <si>
    <t>CL-000115</t>
  </si>
  <si>
    <t>CL-000116</t>
  </si>
  <si>
    <t>CL-000117</t>
  </si>
  <si>
    <t>CL-000118</t>
  </si>
  <si>
    <t>MRI</t>
  </si>
  <si>
    <t>0610</t>
  </si>
  <si>
    <t>70551</t>
  </si>
  <si>
    <t>CL-000119</t>
  </si>
  <si>
    <t>CL-000120</t>
  </si>
  <si>
    <t>CL-000121</t>
  </si>
  <si>
    <t>CL-000122</t>
  </si>
  <si>
    <t>CL-000123</t>
  </si>
  <si>
    <t>CL-000124</t>
  </si>
  <si>
    <t>CL-000125</t>
  </si>
  <si>
    <t>CL-000126</t>
  </si>
  <si>
    <t>CL-000127</t>
  </si>
  <si>
    <t>CL-000128</t>
  </si>
  <si>
    <t>CL-000129</t>
  </si>
  <si>
    <t>Renal Dialysis</t>
  </si>
  <si>
    <t>Dialysis</t>
  </si>
  <si>
    <t>Inpatient Renal Dialysis</t>
  </si>
  <si>
    <t>0800</t>
  </si>
  <si>
    <t>90935</t>
  </si>
  <si>
    <t>CL-000130</t>
  </si>
  <si>
    <t>CL-000131</t>
  </si>
  <si>
    <t>CL-000132</t>
  </si>
  <si>
    <t>CL-000133</t>
  </si>
  <si>
    <t>CL-000134</t>
  </si>
  <si>
    <t>CL-000135</t>
  </si>
  <si>
    <t>CL-000136</t>
  </si>
  <si>
    <t>CL-000137</t>
  </si>
  <si>
    <t>Blood Bank</t>
  </si>
  <si>
    <t>Blood Products</t>
  </si>
  <si>
    <t>Blood</t>
  </si>
  <si>
    <t>0380</t>
  </si>
  <si>
    <t>36430</t>
  </si>
  <si>
    <t>unit</t>
  </si>
  <si>
    <t>CL-000138</t>
  </si>
  <si>
    <t>CL-000139</t>
  </si>
  <si>
    <t>CL-000140</t>
  </si>
  <si>
    <t>CL-000141</t>
  </si>
  <si>
    <t>CL-000142</t>
  </si>
  <si>
    <t>CL-000143</t>
  </si>
  <si>
    <t>CL-000144</t>
  </si>
  <si>
    <t>CL-000145</t>
  </si>
  <si>
    <t>CL-000146</t>
  </si>
  <si>
    <t>CL-000147</t>
  </si>
  <si>
    <t>CL-000148</t>
  </si>
  <si>
    <t>CL-000149</t>
  </si>
  <si>
    <t>CL-000150</t>
  </si>
  <si>
    <t>CL-000151</t>
  </si>
  <si>
    <t>CL-000152</t>
  </si>
  <si>
    <t>CL-000153</t>
  </si>
  <si>
    <t>CL-000154</t>
  </si>
  <si>
    <t>CL-000155</t>
  </si>
  <si>
    <t>Confirm diagnosis linkage and medical necessity</t>
  </si>
  <si>
    <t>CL-000156</t>
  </si>
  <si>
    <t>CL-000157</t>
  </si>
  <si>
    <t>CL-000158</t>
  </si>
  <si>
    <t>CL-000159</t>
  </si>
  <si>
    <t>CL-000160</t>
  </si>
  <si>
    <t>CL-000161</t>
  </si>
  <si>
    <t>CL-000162</t>
  </si>
  <si>
    <t>CL-000163</t>
  </si>
  <si>
    <t>CL-000164</t>
  </si>
  <si>
    <t>Labor Room/Delivery</t>
  </si>
  <si>
    <t>0720</t>
  </si>
  <si>
    <t>CL-000165</t>
  </si>
  <si>
    <t>CL-000166</t>
  </si>
  <si>
    <t>CL-000167</t>
  </si>
  <si>
    <t>CL-000168</t>
  </si>
  <si>
    <t>CL-000169</t>
  </si>
  <si>
    <t>CL-000170</t>
  </si>
  <si>
    <t>CL-000171</t>
  </si>
  <si>
    <t>Nursery - Newborn Level IV</t>
  </si>
  <si>
    <t>0174</t>
  </si>
  <si>
    <t>CL-000172</t>
  </si>
  <si>
    <t>CL-000173</t>
  </si>
  <si>
    <t>CL-000174</t>
  </si>
  <si>
    <t>CL-000175</t>
  </si>
  <si>
    <t>CL-000176</t>
  </si>
  <si>
    <t>CL-000177</t>
  </si>
  <si>
    <t>CL-000178</t>
  </si>
  <si>
    <t>CL-000179</t>
  </si>
  <si>
    <t>Neonatology</t>
  </si>
  <si>
    <t>99468</t>
  </si>
  <si>
    <t>CL-000180</t>
  </si>
  <si>
    <t>Room &amp; Board - Psychiatric</t>
  </si>
  <si>
    <t>0114</t>
  </si>
  <si>
    <t>CL-000181</t>
  </si>
  <si>
    <t>CL-000182</t>
  </si>
  <si>
    <t>CL-000183</t>
  </si>
  <si>
    <t>CL-000184</t>
  </si>
  <si>
    <t>CL-000185</t>
  </si>
  <si>
    <t>CL-000186</t>
  </si>
  <si>
    <t>CL-000187</t>
  </si>
  <si>
    <t>Behavioral Health Treatment</t>
  </si>
  <si>
    <t>0914</t>
  </si>
  <si>
    <t>90832</t>
  </si>
  <si>
    <t>CL-000188</t>
  </si>
  <si>
    <t>CL-000189</t>
  </si>
  <si>
    <t>CL-000190</t>
  </si>
  <si>
    <t>CL-000191</t>
  </si>
  <si>
    <t>CL-000192</t>
  </si>
  <si>
    <t>CL-000193</t>
  </si>
  <si>
    <t>CL-000194</t>
  </si>
  <si>
    <t>CL-000195</t>
  </si>
  <si>
    <t>CL-000196</t>
  </si>
  <si>
    <t>CL-000197</t>
  </si>
  <si>
    <t>44120</t>
  </si>
  <si>
    <t>CL-000198</t>
  </si>
  <si>
    <t>CL-000199</t>
  </si>
  <si>
    <t>CL-000200</t>
  </si>
  <si>
    <t>CL-000201</t>
  </si>
  <si>
    <t>CL-000202</t>
  </si>
  <si>
    <t>CL-000203</t>
  </si>
  <si>
    <t>CL-000204</t>
  </si>
  <si>
    <t>CL-000205</t>
  </si>
  <si>
    <t>CL-000206</t>
  </si>
  <si>
    <t>CL-000207</t>
  </si>
  <si>
    <t>CL-000208</t>
  </si>
  <si>
    <t>CL-000209</t>
  </si>
  <si>
    <t>CL-000210</t>
  </si>
  <si>
    <t>CL-000211</t>
  </si>
  <si>
    <t>CL-000212</t>
  </si>
  <si>
    <t>CL-000213</t>
  </si>
  <si>
    <t>CL-000214</t>
  </si>
  <si>
    <t>CL-000215</t>
  </si>
  <si>
    <t>CL-000216</t>
  </si>
  <si>
    <t>CL-000217</t>
  </si>
  <si>
    <t>CL-000218</t>
  </si>
  <si>
    <t>CL-000219</t>
  </si>
  <si>
    <t>CL-000220</t>
  </si>
  <si>
    <t>CL-000221</t>
  </si>
  <si>
    <t>CL-000222</t>
  </si>
  <si>
    <t>44140</t>
  </si>
  <si>
    <t>CL-000223</t>
  </si>
  <si>
    <t>CL-000224</t>
  </si>
  <si>
    <t>CL-000225</t>
  </si>
  <si>
    <t>Pathology</t>
  </si>
  <si>
    <t>Laboratory Pathology</t>
  </si>
  <si>
    <t>0310</t>
  </si>
  <si>
    <t>88309</t>
  </si>
  <si>
    <t>specimen</t>
  </si>
  <si>
    <t>CL-000226</t>
  </si>
  <si>
    <t>CL-000227</t>
  </si>
  <si>
    <t>CL-000228</t>
  </si>
  <si>
    <t>CL-000229</t>
  </si>
  <si>
    <t>CL-000230</t>
  </si>
  <si>
    <t>CL-000231</t>
  </si>
  <si>
    <t>CL-000232</t>
  </si>
  <si>
    <t>CL-000233</t>
  </si>
  <si>
    <t>CL-000234</t>
  </si>
  <si>
    <t>27487</t>
  </si>
  <si>
    <t>CL-000235</t>
  </si>
  <si>
    <t>CL-000236</t>
  </si>
  <si>
    <t>Code Type</t>
  </si>
  <si>
    <t>Code</t>
  </si>
  <si>
    <t>Plain-Language Diagnosis / Procedure</t>
  </si>
  <si>
    <t>Clinical Category</t>
  </si>
  <si>
    <t>Corresponding Disease / Treatment / Use</t>
  </si>
  <si>
    <t>Encounter Count</t>
  </si>
  <si>
    <t>Example Encounter IDs</t>
  </si>
  <si>
    <t>Code-System Source</t>
  </si>
  <si>
    <t>Important Note</t>
  </si>
  <si>
    <t>ICD-10-CM</t>
  </si>
  <si>
    <t>Infectious disease</t>
  </si>
  <si>
    <t>Systemic infection requiring urgent inpatient evaluation and treatment</t>
  </si>
  <si>
    <t>https://www.cms.gov/medicare/coding-billing/icd-10-codes</t>
  </si>
  <si>
    <t>Diagnosis code; verify reporting year, sequencing, POA and payer rules.</t>
  </si>
  <si>
    <t>Oncology</t>
  </si>
  <si>
    <t>Colon cancer; may support colectomy, imaging and pathology</t>
  </si>
  <si>
    <t>Sickle-cell disease with crisis, unspecified</t>
  </si>
  <si>
    <t>Hematology</t>
  </si>
  <si>
    <t>Sickle-cell crisis; pain control, hydration and blood testing</t>
  </si>
  <si>
    <t>Anemia, unspecified</t>
  </si>
  <si>
    <t>Low hemoglobin or red-cell disorder requiring evaluation</t>
  </si>
  <si>
    <t>ENC-IP-2026-00006, ENC-IP-2026-00010, ENC-IP-2026-00014, ENC-IP-2026-00016, ENC-IP-2026-00025</t>
  </si>
  <si>
    <t>Endocrine / wound care</t>
  </si>
  <si>
    <t>Diabetic foot ulcer; wound care, vascular testing and debridement</t>
  </si>
  <si>
    <t>Type 2 diabetes mellitus without complications</t>
  </si>
  <si>
    <t>Endocrine</t>
  </si>
  <si>
    <t>Diabetes management and glucose monitoring</t>
  </si>
  <si>
    <t>ENC-IP-2026-00007, ENC-IP-2026-00024</t>
  </si>
  <si>
    <t>Hyperlipidemia, unspecified</t>
  </si>
  <si>
    <t>Cardiometabolic</t>
  </si>
  <si>
    <t>Abnormal lipid levels managed medically</t>
  </si>
  <si>
    <t>ENC-IP-2026-00002, ENC-IP-2026-00003, ENC-IP-2026-00020</t>
  </si>
  <si>
    <t>Behavioral health</t>
  </si>
  <si>
    <t>Severe depression requiring psychiatric assessment and treatment</t>
  </si>
  <si>
    <t>Neurology</t>
  </si>
  <si>
    <t>Seizure disorder; may support EEG, imaging and medication management</t>
  </si>
  <si>
    <t>Essential primary hypertension</t>
  </si>
  <si>
    <t>High blood pressure requiring monitoring and medication management</t>
  </si>
  <si>
    <t>ENC-IP-2026-00001, ENC-IP-2026-00013, ENC-IP-2026-00022</t>
  </si>
  <si>
    <t>NSTEMI; may require catheterization, coronary intervention and intensive monitoring</t>
  </si>
  <si>
    <t>Heart-failure exacerbation requiring diuresis, telemetry and cardiac testing</t>
  </si>
  <si>
    <t>Ischemic stroke; brain imaging, monitoring and rehabilitation</t>
  </si>
  <si>
    <t>Pulmonary / infectious disease</t>
  </si>
  <si>
    <t>Lung infection; imaging, respiratory therapy and antimicrobial treatment</t>
  </si>
  <si>
    <t>Pulmonary</t>
  </si>
  <si>
    <t>COPD flare requiring bronchodilator and respiratory treatment</t>
  </si>
  <si>
    <t>Unspecified asthma, uncomplicated</t>
  </si>
  <si>
    <t>Asthma requiring respiratory assessment or medication management</t>
  </si>
  <si>
    <t>ENC-IP-2026-00004, ENC-IP-2026-00019, ENC-IP-2026-00021</t>
  </si>
  <si>
    <t>Critical care / pulmonary</t>
  </si>
  <si>
    <t>Low-oxygen respiratory failure requiring ventilatory or critical-care support</t>
  </si>
  <si>
    <t>Acute appendicitis, unspecified</t>
  </si>
  <si>
    <t>Gastrointestinal surgery</t>
  </si>
  <si>
    <t>Inflamed appendix; may require laparoscopic appendectomy</t>
  </si>
  <si>
    <t>Unspecified intestinal obstruction</t>
  </si>
  <si>
    <t>Bowel obstruction; imaging and possible operative treatment</t>
  </si>
  <si>
    <t>Gallbladder calculus with acute cholecystitis without obstruction</t>
  </si>
  <si>
    <t>Gallstones with inflammation; may require cholecystectomy</t>
  </si>
  <si>
    <t>Gastroenterology</t>
  </si>
  <si>
    <t>GI bleeding; endoscopic evaluation and blood-count monitoring</t>
  </si>
  <si>
    <t>Infectious disease / skin</t>
  </si>
  <si>
    <t>Soft-tissue infection requiring antimicrobial and wound evaluation</t>
  </si>
  <si>
    <t>Orthopedics</t>
  </si>
  <si>
    <t>Degenerative right-knee disease; may support knee replacement</t>
  </si>
  <si>
    <t>Nephrology</t>
  </si>
  <si>
    <t>Acute decline in kidney function requiring laboratory monitoring or dialysis</t>
  </si>
  <si>
    <t>Chronic kidney disease, stage 3</t>
  </si>
  <si>
    <t>Moderate chronic kidney impairment affecting treatment and dosing</t>
  </si>
  <si>
    <t>ENC-IP-2026-00005, ENC-IP-2026-00012</t>
  </si>
  <si>
    <t>Infectious disease / urology</t>
  </si>
  <si>
    <t>Urinary infection requiring urine studies and antimicrobial treatment</t>
  </si>
  <si>
    <t>Full-term uncomplicated delivery</t>
  </si>
  <si>
    <t>Obstetrics</t>
  </si>
  <si>
    <t>Routine full-term vaginal delivery encounter</t>
  </si>
  <si>
    <t>Premature newborn requiring neonatal monitoring and support</t>
  </si>
  <si>
    <t>Fracture of unspecified part of neck of right femur, initial encounter</t>
  </si>
  <si>
    <t>Orthopedics / trauma</t>
  </si>
  <si>
    <t>Right femoral-neck fracture requiring fixation or other orthopedic treatment</t>
  </si>
  <si>
    <t>Infection and inflammatory reaction due to internal left knee prosthesis, initial encounter</t>
  </si>
  <si>
    <t>Orthopedics / infection</t>
  </si>
  <si>
    <t>Infected left-knee prosthesis; may require revision and cultures</t>
  </si>
  <si>
    <t>Long-term current use of insulin</t>
  </si>
  <si>
    <t>Status / therapy</t>
  </si>
  <si>
    <t>Indicates ongoing insulin therapy</t>
  </si>
  <si>
    <t>ENC-IP-2026-00009, ENC-IP-2026-00011, ENC-IP-2026-00015, ENC-IP-2026-00017, ENC-IP-2026-00022</t>
  </si>
  <si>
    <t>CPT</t>
  </si>
  <si>
    <t>00731</t>
  </si>
  <si>
    <t>Anesthesia for upper gastrointestinal endoscopic procedures</t>
  </si>
  <si>
    <t>Supports upper-GI endoscopy</t>
  </si>
  <si>
    <t>https://www.cms.gov/medicare/regulations-guidance/physician-self-referral/list-cpt-hcpcs-codes</t>
  </si>
  <si>
    <t>Plain-language POC label, not the licensed official CPT descriptor. Verify against the current AMA CPT code set and payer policy.</t>
  </si>
  <si>
    <t>Anesthesia for intraperitoneal abdominal procedures</t>
  </si>
  <si>
    <t>Supports abdominal surgery such as cholecystectomy or colectomy</t>
  </si>
  <si>
    <t>ENC-IP-2026-00009, ENC-IP-2026-00021, ENC-IP-2026-00024</t>
  </si>
  <si>
    <t>00840</t>
  </si>
  <si>
    <t>Anesthesia for lower-abdominal procedures</t>
  </si>
  <si>
    <t>Supports lower-abdominal surgery such as appendectomy</t>
  </si>
  <si>
    <t>Anesthesia for hip-joint procedure</t>
  </si>
  <si>
    <t>Supports operative treatment of hip fracture</t>
  </si>
  <si>
    <t>Anesthesia for knee-joint replacement procedure</t>
  </si>
  <si>
    <t>Supports primary or revision knee arthroplasty</t>
  </si>
  <si>
    <t>ENC-IP-2026-00005, ENC-IP-2026-00025</t>
  </si>
  <si>
    <t>01967</t>
  </si>
  <si>
    <t>Neuraxial labor analgesia/anesthesia</t>
  </si>
  <si>
    <t>Anesthesia / obstetrics</t>
  </si>
  <si>
    <t>Epidural or related anesthesia during labor</t>
  </si>
  <si>
    <t>Operative treatment of femoral fracture at proximal femur</t>
  </si>
  <si>
    <t>Orthopedic surgery</t>
  </si>
  <si>
    <t>Surgical repair of femoral-neck fracture</t>
  </si>
  <si>
    <t>Total knee arthroplasty</t>
  </si>
  <si>
    <t>Replacement of knee joint</t>
  </si>
  <si>
    <t>Revision total knee arthroplasty</t>
  </si>
  <si>
    <t>Revision of knee prosthesis</t>
  </si>
  <si>
    <t>Transfusion of blood or blood components</t>
  </si>
  <si>
    <t>Transfusion service</t>
  </si>
  <si>
    <t>Administration of blood products</t>
  </si>
  <si>
    <t>43235</t>
  </si>
  <si>
    <t>Diagnostic upper gastrointestinal endoscopy</t>
  </si>
  <si>
    <t>Evaluation of upper-GI bleeding or disease</t>
  </si>
  <si>
    <t>Small-bowel resection</t>
  </si>
  <si>
    <t>Removal of a segment of small intestine</t>
  </si>
  <si>
    <t>Partial colectomy with anastomosis</t>
  </si>
  <si>
    <t>Colon resection with reconnection</t>
  </si>
  <si>
    <t>Laparoscopic appendectomy</t>
  </si>
  <si>
    <t>Removal of appendix using laparoscopy</t>
  </si>
  <si>
    <t>Laparoscopic cholecystectomy</t>
  </si>
  <si>
    <t>Removal of gallbladder using laparoscopy</t>
  </si>
  <si>
    <t>59025</t>
  </si>
  <si>
    <t>Fetal non-stress test</t>
  </si>
  <si>
    <t>Electronic fetal assessment</t>
  </si>
  <si>
    <t>59400</t>
  </si>
  <si>
    <t>Routine obstetric care including vaginal delivery</t>
  </si>
  <si>
    <t>Antepartum, delivery and postpartum care package</t>
  </si>
  <si>
    <t>CT of head or brain without contrast</t>
  </si>
  <si>
    <t>Diagnostic imaging</t>
  </si>
  <si>
    <t>Head imaging for stroke, trauma or neurologic evaluation</t>
  </si>
  <si>
    <t>ENC-IP-2026-00004, ENC-IP-2026-00012, ENC-IP-2026-00024</t>
  </si>
  <si>
    <t>MRI of brain without contrast</t>
  </si>
  <si>
    <t>Brain imaging for stroke or seizure evaluation</t>
  </si>
  <si>
    <t>ENC-IP-2026-00012, ENC-IP-2026-00017</t>
  </si>
  <si>
    <t>71045</t>
  </si>
  <si>
    <t>Single-view chest radiograph</t>
  </si>
  <si>
    <t>Portable or single-view chest X-ray</t>
  </si>
  <si>
    <t>Two-view chest radiograph</t>
  </si>
  <si>
    <t>Chest X-ray with two views</t>
  </si>
  <si>
    <t>ENC-IP-2026-00001, ENC-IP-2026-00002, ENC-IP-2026-00005, ENC-IP-2026-00008, ENC-IP-2026-00010</t>
  </si>
  <si>
    <t>71260</t>
  </si>
  <si>
    <t>CT of chest with contrast</t>
  </si>
  <si>
    <t>Chest imaging, including oncology evaluation</t>
  </si>
  <si>
    <t>73502</t>
  </si>
  <si>
    <t>Hip and pelvis radiographs, 2 to 3 views</t>
  </si>
  <si>
    <t>Assessment of hip fracture or postoperative status</t>
  </si>
  <si>
    <t>73560</t>
  </si>
  <si>
    <t>Knee radiographs, 1 to 2 views</t>
  </si>
  <si>
    <t>Assessment of knee disease or prosthesis</t>
  </si>
  <si>
    <t>CT of abdomen and pelvis with contrast</t>
  </si>
  <si>
    <t>Evaluation of abdominal or pelvic disease</t>
  </si>
  <si>
    <t>ENC-IP-2026-00003, ENC-IP-2026-00021</t>
  </si>
  <si>
    <t>Limited abdominal ultrasound</t>
  </si>
  <si>
    <t>Focused abdominal or gallbladder assessment</t>
  </si>
  <si>
    <t>ENC-IP-2026-00009, ENC-IP-2026-00013, ENC-IP-2026-00016</t>
  </si>
  <si>
    <t>76770</t>
  </si>
  <si>
    <t>Complete retroperitoneal ultrasound</t>
  </si>
  <si>
    <t>Kidney and retroperitoneal evaluation</t>
  </si>
  <si>
    <t>80048</t>
  </si>
  <si>
    <t>Basic metabolic panel</t>
  </si>
  <si>
    <t>Electrolyte, glucose and kidney-function testing</t>
  </si>
  <si>
    <t>ENC-IP-2026-00013, ENC-IP-2026-00022</t>
  </si>
  <si>
    <t>Comprehensive metabolic panel</t>
  </si>
  <si>
    <t>Broad chemistry and organ-function testing</t>
  </si>
  <si>
    <t>ENC-IP-2026-00001, ENC-IP-2026-00002, ENC-IP-2026-00003, ENC-IP-2026-00004, ENC-IP-2026-00005</t>
  </si>
  <si>
    <t>80307</t>
  </si>
  <si>
    <t>Presumptive drug screening</t>
  </si>
  <si>
    <t>Laboratory / toxicology</t>
  </si>
  <si>
    <t>Toxicology screening</t>
  </si>
  <si>
    <t>82803</t>
  </si>
  <si>
    <t>Blood-gas analysis</t>
  </si>
  <si>
    <t>Laboratory / respiratory</t>
  </si>
  <si>
    <t>Assessment of oxygenation, ventilation and acid-base status</t>
  </si>
  <si>
    <t>ENC-IP-2026-00015, ENC-IP-2026-00019</t>
  </si>
  <si>
    <t>83036</t>
  </si>
  <si>
    <t>Hemoglobin A1c</t>
  </si>
  <si>
    <t>Laboratory / endocrine</t>
  </si>
  <si>
    <t>Long-term glucose-control measurement</t>
  </si>
  <si>
    <t>83605</t>
  </si>
  <si>
    <t>Lactate measurement</t>
  </si>
  <si>
    <t>Laboratory / critical care</t>
  </si>
  <si>
    <t>Assessment of tissue hypoperfusion or sepsis</t>
  </si>
  <si>
    <t>Complete blood count with automated differential</t>
  </si>
  <si>
    <t>Laboratory / hematology</t>
  </si>
  <si>
    <t>Measures blood cells and differential</t>
  </si>
  <si>
    <t>85027</t>
  </si>
  <si>
    <t>Complete blood count without automated differential</t>
  </si>
  <si>
    <t>Measures major blood-cell indices</t>
  </si>
  <si>
    <t>ENC-IP-2026-00014, ENC-IP-2026-00018</t>
  </si>
  <si>
    <t>85045</t>
  </si>
  <si>
    <t>Reticulocyte count</t>
  </si>
  <si>
    <t>Assesses red-cell production</t>
  </si>
  <si>
    <t>87040</t>
  </si>
  <si>
    <t>Blood culture</t>
  </si>
  <si>
    <t>Microbiology</t>
  </si>
  <si>
    <t>Detection of organisms in blood</t>
  </si>
  <si>
    <t>87070</t>
  </si>
  <si>
    <t>Culture of specimen other than blood, urine or stool</t>
  </si>
  <si>
    <t>Organism testing from wound or other specimen</t>
  </si>
  <si>
    <t>87086</t>
  </si>
  <si>
    <t>Urine culture</t>
  </si>
  <si>
    <t>Detection of organisms in urine</t>
  </si>
  <si>
    <t>Surgical pathology, extensive specimen examination</t>
  </si>
  <si>
    <t>Detailed examination of major surgical specimen</t>
  </si>
  <si>
    <t>90791</t>
  </si>
  <si>
    <t>Psychiatric diagnostic evaluation</t>
  </si>
  <si>
    <t>Initial psychiatric assessment</t>
  </si>
  <si>
    <t>Psychotherapy, approximately 30 minutes</t>
  </si>
  <si>
    <t>Individual psychotherapy session</t>
  </si>
  <si>
    <t>Hemodialysis procedure with physician evaluation</t>
  </si>
  <si>
    <t>Dialysis / nephrology</t>
  </si>
  <si>
    <t>Intermittent hemodialysis treatment</t>
  </si>
  <si>
    <t>92928</t>
  </si>
  <si>
    <t>Percutaneous coronary intervention with stent, single major coronary artery or branch</t>
  </si>
  <si>
    <t>Interventional cardiology</t>
  </si>
  <si>
    <t>Coronary stent placement</t>
  </si>
  <si>
    <t>Electrocardiogram interpretation and report</t>
  </si>
  <si>
    <t>Cardiology diagnostic</t>
  </si>
  <si>
    <t>Professional interpretation of ECG</t>
  </si>
  <si>
    <t>ENC-IP-2026-00002, ENC-IP-2026-00006, ENC-IP-2026-00022</t>
  </si>
  <si>
    <t>Comprehensive transthoracic echocardiography</t>
  </si>
  <si>
    <t>Cardiology imaging</t>
  </si>
  <si>
    <t>Ultrasound evaluation of heart structure and function</t>
  </si>
  <si>
    <t>Left-heart catheterization with coronary angiography</t>
  </si>
  <si>
    <t>Diagnostic coronary catheterization</t>
  </si>
  <si>
    <t>93922</t>
  </si>
  <si>
    <t>Limited noninvasive physiologic arterial study</t>
  </si>
  <si>
    <t>Vascular diagnostic</t>
  </si>
  <si>
    <t>Assessment of extremity circulation</t>
  </si>
  <si>
    <t>93971</t>
  </si>
  <si>
    <t>Limited venous duplex ultrasound of an extremity</t>
  </si>
  <si>
    <t>Vascular imaging</t>
  </si>
  <si>
    <t>Evaluation for venous thrombosis or venous disease</t>
  </si>
  <si>
    <t>Inhalation treatment for acute airway obstruction or sputum induction</t>
  </si>
  <si>
    <t>Respiratory therapy</t>
  </si>
  <si>
    <t>Nebulized respiratory treatment</t>
  </si>
  <si>
    <t>ENC-IP-2026-00001, ENC-IP-2026-00010, ENC-IP-2026-00015</t>
  </si>
  <si>
    <t>94660</t>
  </si>
  <si>
    <t>Initiation and management of CPAP or bilevel ventilation</t>
  </si>
  <si>
    <t>Noninvasive positive-pressure ventilation</t>
  </si>
  <si>
    <t>95816</t>
  </si>
  <si>
    <t>Routine electroencephalogram</t>
  </si>
  <si>
    <t>Neurology diagnostic</t>
  </si>
  <si>
    <t>EEG assessment for seizure activity</t>
  </si>
  <si>
    <t>96374</t>
  </si>
  <si>
    <t>Initial intravenous push administration</t>
  </si>
  <si>
    <t>Infusion therapy</t>
  </si>
  <si>
    <t>IV medication administration</t>
  </si>
  <si>
    <t>97110</t>
  </si>
  <si>
    <t>Therapeutic exercises</t>
  </si>
  <si>
    <t>Physical therapy</t>
  </si>
  <si>
    <t>Exercises to improve strength, endurance or mobility</t>
  </si>
  <si>
    <t>Gait-training therapy</t>
  </si>
  <si>
    <t>Training to improve walking and mobility</t>
  </si>
  <si>
    <t>ENC-IP-2026-00005, ENC-IP-2026-00008, ENC-IP-2026-00012</t>
  </si>
  <si>
    <t>97597</t>
  </si>
  <si>
    <t>Selective wound debridement, first 20 square centimeters or less</t>
  </si>
  <si>
    <t>Wound care</t>
  </si>
  <si>
    <t>Removal of devitalized tissue from a wound</t>
  </si>
  <si>
    <t>Initial hospital inpatient or observation care, high complexity</t>
  </si>
  <si>
    <t>Evaluation and management</t>
  </si>
  <si>
    <t>Initial hospital evaluation</t>
  </si>
  <si>
    <t>Subsequent hospital inpatient or observation care, high complexity</t>
  </si>
  <si>
    <t>Daily follow-up hospital evaluation</t>
  </si>
  <si>
    <t>Critical care, first 30 to 74 minutes</t>
  </si>
  <si>
    <t>Critical care</t>
  </si>
  <si>
    <t>Physician critical-care service</t>
  </si>
  <si>
    <t>ENC-IP-2026-00006, ENC-IP-2026-00011, ENC-IP-2026-00012, ENC-IP-2026-00015</t>
  </si>
  <si>
    <t>Initial inpatient neonatal critical care</t>
  </si>
  <si>
    <t>Neonatal critical care</t>
  </si>
  <si>
    <t>Initial critical care for a young neonate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</si>
</sst>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;[Red]\(\$#,##0.00\);\-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ptos"/>
      <family val="2"/>
      <scheme val="minor"/>
    </font>
    <font>
      <sz val="10"/>
      <color rgb="FF008000"/>
      <name val="Aptos"/>
    </font>
    <font>
      <sz val="10"/>
      <color rgb="FF666666"/>
      <name val="Calibri"/>
    </font>
    <font>
      <sz val="10"/>
      <color rgb="FF0000FF"/>
      <name val="Calibri"/>
    </font>
    <font>
      <sz val="10"/>
      <color rgb="FF008000"/>
      <name val="Calibri"/>
    </font>
    <font>
      <sz val="10"/>
      <color rgb="FF000000"/>
      <name val="Calibri"/>
    </font>
    <font>
      <sz val="10"/>
      <color rgb="FF666666"/>
      <name val="Aptos"/>
    </font>
    <font>
      <b/>
      <sz val="10"/>
      <color rgb="FF0000FF"/>
      <name val="Aptos"/>
    </font>
    <font>
      <u/>
      <sz val="9"/>
      <color rgb="FF008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B"/>
      </patternFill>
    </fill>
    <fill>
      <patternFill patternType="solid">
        <fgColor rgb="FFE4DFE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165" fontId="4" fillId="3" borderId="0" xfId="0" applyNumberFormat="1" applyFont="1" applyFill="1" applyAlignment="1">
      <alignment vertical="top" wrapText="1"/>
    </xf>
    <xf numFmtId="166" fontId="3" fillId="3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165" fontId="2" fillId="3" borderId="0" xfId="0" applyNumberFormat="1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166" fontId="5" fillId="3" borderId="0" xfId="0" applyNumberFormat="1" applyFont="1" applyFill="1" applyAlignment="1">
      <alignment vertical="top" wrapText="1"/>
    </xf>
    <xf numFmtId="166" fontId="7" fillId="3" borderId="0" xfId="0" applyNumberFormat="1" applyFont="1" applyFill="1" applyAlignment="1">
      <alignment vertical="top" wrapText="1"/>
    </xf>
    <xf numFmtId="9" fontId="5" fillId="3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7" fillId="0" borderId="0" xfId="0" applyNumberFormat="1" applyFont="1" applyAlignment="1">
      <alignment vertical="top" wrapText="1"/>
    </xf>
    <xf numFmtId="9" fontId="5" fillId="0" borderId="0" xfId="0" applyNumberFormat="1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5" borderId="0" xfId="0" applyFont="1" applyFill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PDPatients" displayName="tblIPDPatients" ref="A1:AE26">
  <autoFilter ref="A1:AE26" xr:uid="{00000000-0009-0000-0100-000001000000}"/>
  <tableColumns count="31">
    <tableColumn id="1" xr3:uid="{00000000-0010-0000-0000-000001000000}" name="Patient ID"/>
    <tableColumn id="2" xr3:uid="{00000000-0010-0000-0000-000002000000}" name="Encounter ID"/>
    <tableColumn id="3" xr3:uid="{00000000-0010-0000-0000-000003000000}" name="Patient Name"/>
    <tableColumn id="4" xr3:uid="{00000000-0010-0000-0000-000004000000}" name="DOB"/>
    <tableColumn id="5" xr3:uid="{00000000-0010-0000-0000-000005000000}" name="Gender"/>
    <tableColumn id="6" xr3:uid="{00000000-0010-0000-0000-000006000000}" name="Payer"/>
    <tableColumn id="7" xr3:uid="{00000000-0010-0000-0000-000007000000}" name="Member ID"/>
    <tableColumn id="8" xr3:uid="{00000000-0010-0000-0000-000008000000}" name="Admission Date"/>
    <tableColumn id="9" xr3:uid="{00000000-0010-0000-0000-000009000000}" name="Admission Time"/>
    <tableColumn id="10" xr3:uid="{00000000-0010-0000-0000-00000A000000}" name="Discharge Date"/>
    <tableColumn id="11" xr3:uid="{00000000-0010-0000-0000-00000B000000}" name="Discharge Time"/>
    <tableColumn id="12" xr3:uid="{00000000-0010-0000-0000-00000C000000}" name="Length of Stay (Days)"/>
    <tableColumn id="13" xr3:uid="{00000000-0010-0000-0000-00000D000000}" name="Admission Type"/>
    <tableColumn id="14" xr3:uid="{00000000-0010-0000-0000-00000E000000}" name="Patient Class"/>
    <tableColumn id="15" xr3:uid="{00000000-0010-0000-0000-00000F000000}" name="Facility"/>
    <tableColumn id="16" xr3:uid="{00000000-0010-0000-0000-000010000000}" name="Unit / Ward"/>
    <tableColumn id="17" xr3:uid="{00000000-0010-0000-0000-000011000000}" name="Room / Bed"/>
    <tableColumn id="18" xr3:uid="{00000000-0010-0000-0000-000012000000}" name="Attending Provider"/>
    <tableColumn id="19" xr3:uid="{00000000-0010-0000-0000-000013000000}" name="Primary ICD-10-CM"/>
    <tableColumn id="20" xr3:uid="{00000000-0010-0000-0000-000014000000}" name="Primary Diagnosis"/>
    <tableColumn id="21" xr3:uid="{00000000-0010-0000-0000-000015000000}" name="Secondary ICD-10-CM"/>
    <tableColumn id="22" xr3:uid="{00000000-0010-0000-0000-000016000000}" name="MS-DRG"/>
    <tableColumn id="23" xr3:uid="{00000000-0010-0000-0000-000017000000}" name="MS-DRG Description"/>
    <tableColumn id="24" xr3:uid="{00000000-0010-0000-0000-000018000000}" name="Present on Admission"/>
    <tableColumn id="25" xr3:uid="{00000000-0010-0000-0000-000019000000}" name="Discharge Disposition"/>
    <tableColumn id="26" xr3:uid="{00000000-0010-0000-0000-00001A000000}" name="Services / Facilities Used"/>
    <tableColumn id="27" xr3:uid="{00000000-0010-0000-0000-00001B000000}" name="Key CPT / HCPCS"/>
    <tableColumn id="28" xr3:uid="{00000000-0010-0000-0000-00001C000000}" name="Allergies"/>
    <tableColumn id="29" xr3:uid="{00000000-0010-0000-0000-00001D000000}" name="Prior Authorization"/>
    <tableColumn id="30" xr3:uid="{00000000-0010-0000-0000-00001E000000}" name="Estimated Total Charges ($)"/>
    <tableColumn id="31" xr3:uid="{00000000-0010-0000-0000-00001F000000}" name="Data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PDCharges" displayName="tblIPDCharges" ref="A1:V237">
  <autoFilter ref="A1:V237" xr:uid="{00000000-0009-0000-0100-000002000000}"/>
  <tableColumns count="22">
    <tableColumn id="1" xr3:uid="{00000000-0010-0000-0100-000001000000}" name="Charge Line ID"/>
    <tableColumn id="2" xr3:uid="{00000000-0010-0000-0100-000002000000}" name="Patient ID"/>
    <tableColumn id="3" xr3:uid="{00000000-0010-0000-0100-000003000000}" name="Encounter ID"/>
    <tableColumn id="4" xr3:uid="{00000000-0010-0000-0100-000004000000}" name="Service Date"/>
    <tableColumn id="5" xr3:uid="{00000000-0010-0000-0100-000005000000}" name="Facility"/>
    <tableColumn id="6" xr3:uid="{00000000-0010-0000-0100-000006000000}" name="Department / Cost Center"/>
    <tableColumn id="7" xr3:uid="{00000000-0010-0000-0100-000007000000}" name="Service Category"/>
    <tableColumn id="8" xr3:uid="{00000000-0010-0000-0100-000008000000}" name="Service Description"/>
    <tableColumn id="9" xr3:uid="{00000000-0010-0000-0100-000009000000}" name="Revenue Code"/>
    <tableColumn id="10" xr3:uid="{00000000-0010-0000-0100-00000A000000}" name="CPT / HCPCS"/>
    <tableColumn id="11" xr3:uid="{00000000-0010-0000-0100-00000B000000}" name="ICD-10-CM Pointer"/>
    <tableColumn id="12" xr3:uid="{00000000-0010-0000-0100-00000C000000}" name="NDC / Drug Reference"/>
    <tableColumn id="13" xr3:uid="{00000000-0010-0000-0100-00000D000000}" name="Quantity"/>
    <tableColumn id="14" xr3:uid="{00000000-0010-0000-0100-00000E000000}" name="Unit"/>
    <tableColumn id="15" xr3:uid="{00000000-0010-0000-0100-00000F000000}" name="Unit Charge ($)"/>
    <tableColumn id="16" xr3:uid="{00000000-0010-0000-0100-000010000000}" name="Line Charge ($)"/>
    <tableColumn id="17" xr3:uid="{00000000-0010-0000-0100-000011000000}" name="Payer Responsibility (%)"/>
    <tableColumn id="18" xr3:uid="{00000000-0010-0000-0100-000012000000}" name="Estimated Payer Amount ($)"/>
    <tableColumn id="19" xr3:uid="{00000000-0010-0000-0100-000013000000}" name="Estimated Patient Amount ($)"/>
    <tableColumn id="20" xr3:uid="{00000000-0010-0000-0100-000014000000}" name="Charge Status"/>
    <tableColumn id="21" xr3:uid="{00000000-0010-0000-0100-000015000000}" name="Scrub Flag"/>
    <tableColumn id="22" xr3:uid="{00000000-0010-0000-0100-000016000000}" name="Scrub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CF57BD-65AD-4EA5-9B3A-21E84C5910BD}" name="tblCodeReference" displayName="tblCodeReference" ref="A1:I92">
  <autoFilter ref="A1:I92" xr:uid="{B4CF57BD-65AD-4EA5-9B3A-21E84C5910BD}"/>
  <tableColumns count="9">
    <tableColumn id="1" xr3:uid="{A5A246FA-27DC-4904-8304-72339BACEDFF}" name="Code Type"/>
    <tableColumn id="2" xr3:uid="{FABC01C1-4771-4D34-9885-4D9170954B0F}" name="Code"/>
    <tableColumn id="3" xr3:uid="{0FA3E5C4-0CAC-47BE-9BC0-966340CBFF77}" name="Plain-Language Diagnosis / Procedure"/>
    <tableColumn id="4" xr3:uid="{2BC96E85-36B7-4069-B8D8-177B279B1FA5}" name="Clinical Category"/>
    <tableColumn id="5" xr3:uid="{37C96EB0-3E63-4A20-AE5C-86321B816084}" name="Corresponding Disease / Treatment / Use"/>
    <tableColumn id="6" xr3:uid="{0BA0EE2D-BB30-4A97-969A-5D2BA69294B2}" name="Encounter Count"/>
    <tableColumn id="7" xr3:uid="{526E2E39-9B5C-47FD-9B1E-E55F748B4DFC}" name="Example Encounter IDs"/>
    <tableColumn id="8" xr3:uid="{791C0469-507B-4DA6-9E0D-B8F8962C1EC4}" name="Code-System Source"/>
    <tableColumn id="9" xr3:uid="{695272AF-B6F3-45F8-89C8-5FF4B4FA9A00}" name="Important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showGridLines="0" workbookViewId="0">
      <pane ySplit="1" topLeftCell="W2" activePane="bottomLeft" state="frozen"/>
      <selection pane="bottomLeft" activeCell="W16" sqref="W16"/>
    </sheetView>
  </sheetViews>
  <sheetFormatPr defaultRowHeight="15"/>
  <cols>
    <col min="1" max="1" width="13" customWidth="1"/>
    <col min="2" max="2" width="22" customWidth="1"/>
    <col min="3" max="3" width="21" customWidth="1"/>
    <col min="4" max="4" width="12" customWidth="1"/>
    <col min="5" max="5" width="10" customWidth="1"/>
    <col min="6" max="6" width="22" customWidth="1"/>
    <col min="7" max="7" width="16" customWidth="1"/>
    <col min="8" max="8" width="13" customWidth="1"/>
    <col min="9" max="9" width="12" customWidth="1"/>
    <col min="10" max="11" width="13" customWidth="1"/>
    <col min="12" max="13" width="14" customWidth="1"/>
    <col min="14" max="14" width="20" customWidth="1"/>
    <col min="15" max="15" width="28" customWidth="1"/>
    <col min="16" max="16" width="22" customWidth="1"/>
    <col min="17" max="17" width="14" customWidth="1"/>
    <col min="18" max="18" width="22" customWidth="1"/>
    <col min="19" max="19" width="16" customWidth="1"/>
    <col min="20" max="20" width="38" customWidth="1"/>
    <col min="21" max="21" width="27.7109375" customWidth="1"/>
    <col min="22" max="22" width="12" customWidth="1"/>
    <col min="23" max="23" width="42" customWidth="1"/>
    <col min="24" max="24" width="18" customWidth="1"/>
    <col min="25" max="25" width="26" customWidth="1"/>
    <col min="26" max="26" width="58" customWidth="1"/>
    <col min="27" max="27" width="28" customWidth="1"/>
    <col min="28" max="28" width="16" customWidth="1"/>
    <col min="29" max="29" width="24" customWidth="1"/>
    <col min="30" max="30" width="23" customWidth="1"/>
    <col min="31" max="31" width="22" customWidth="1"/>
  </cols>
  <sheetData>
    <row r="1" spans="1:3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3">
        <v>19929</v>
      </c>
      <c r="E2" s="2" t="s">
        <v>34</v>
      </c>
      <c r="F2" s="2" t="s">
        <v>35</v>
      </c>
      <c r="G2" s="2" t="s">
        <v>36</v>
      </c>
      <c r="H2" s="3">
        <v>46026</v>
      </c>
      <c r="I2" s="2" t="s">
        <v>37</v>
      </c>
      <c r="J2" s="3">
        <v>46031</v>
      </c>
      <c r="K2" s="2" t="s">
        <v>38</v>
      </c>
      <c r="L2" s="2">
        <v>5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4">
        <f>SUMIF('IPD Charge Lines'!$C:$C,B2,'IPD Charge Lines'!$P:$P)</f>
        <v>8241.6</v>
      </c>
      <c r="AE2" s="5" t="s">
        <v>56</v>
      </c>
    </row>
    <row r="3" spans="1:31">
      <c r="A3" s="6" t="s">
        <v>57</v>
      </c>
      <c r="B3" s="6" t="s">
        <v>58</v>
      </c>
      <c r="C3" s="6" t="s">
        <v>59</v>
      </c>
      <c r="D3" s="7">
        <v>25816</v>
      </c>
      <c r="E3" s="6" t="s">
        <v>60</v>
      </c>
      <c r="F3" s="6" t="s">
        <v>61</v>
      </c>
      <c r="G3" s="6" t="s">
        <v>62</v>
      </c>
      <c r="H3" s="7">
        <v>46034</v>
      </c>
      <c r="I3" s="6" t="s">
        <v>37</v>
      </c>
      <c r="J3" s="7">
        <v>46036</v>
      </c>
      <c r="K3" s="6" t="s">
        <v>38</v>
      </c>
      <c r="L3" s="6">
        <v>2</v>
      </c>
      <c r="M3" s="6" t="s">
        <v>39</v>
      </c>
      <c r="N3" s="6" t="s">
        <v>40</v>
      </c>
      <c r="O3" s="6" t="s">
        <v>41</v>
      </c>
      <c r="P3" s="6" t="s">
        <v>63</v>
      </c>
      <c r="Q3" s="6" t="s">
        <v>64</v>
      </c>
      <c r="R3" s="6" t="s">
        <v>65</v>
      </c>
      <c r="S3" s="6" t="s">
        <v>66</v>
      </c>
      <c r="T3" s="6" t="s">
        <v>67</v>
      </c>
      <c r="U3" s="6" t="s">
        <v>68</v>
      </c>
      <c r="V3" s="6" t="s">
        <v>69</v>
      </c>
      <c r="W3" s="6" t="s">
        <v>70</v>
      </c>
      <c r="X3" s="6" t="s">
        <v>50</v>
      </c>
      <c r="Y3" s="6" t="s">
        <v>71</v>
      </c>
      <c r="Z3" s="6" t="s">
        <v>72</v>
      </c>
      <c r="AA3" s="6" t="s">
        <v>73</v>
      </c>
      <c r="AB3" s="6" t="s">
        <v>74</v>
      </c>
      <c r="AC3" s="6" t="s">
        <v>55</v>
      </c>
      <c r="AD3" s="8">
        <f>SUMIF('IPD Charge Lines'!$C:$C,B3,'IPD Charge Lines'!$P:$P)</f>
        <v>5120.5</v>
      </c>
      <c r="AE3" s="5" t="s">
        <v>56</v>
      </c>
    </row>
    <row r="4" spans="1:31">
      <c r="A4" s="2" t="s">
        <v>75</v>
      </c>
      <c r="B4" s="2" t="s">
        <v>76</v>
      </c>
      <c r="C4" s="2" t="s">
        <v>77</v>
      </c>
      <c r="D4" s="3">
        <v>35657</v>
      </c>
      <c r="E4" s="2" t="s">
        <v>34</v>
      </c>
      <c r="F4" s="2" t="s">
        <v>78</v>
      </c>
      <c r="G4" s="2" t="s">
        <v>79</v>
      </c>
      <c r="H4" s="3">
        <v>46042</v>
      </c>
      <c r="I4" s="2" t="s">
        <v>37</v>
      </c>
      <c r="J4" s="3">
        <v>46047</v>
      </c>
      <c r="K4" s="2" t="s">
        <v>38</v>
      </c>
      <c r="L4" s="2">
        <v>5</v>
      </c>
      <c r="M4" s="2" t="s">
        <v>39</v>
      </c>
      <c r="N4" s="2" t="s">
        <v>40</v>
      </c>
      <c r="O4" s="2" t="s">
        <v>41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68</v>
      </c>
      <c r="V4" s="2" t="s">
        <v>85</v>
      </c>
      <c r="W4" s="2" t="s">
        <v>86</v>
      </c>
      <c r="X4" s="2" t="s">
        <v>50</v>
      </c>
      <c r="Y4" s="2" t="s">
        <v>87</v>
      </c>
      <c r="Z4" s="2" t="s">
        <v>88</v>
      </c>
      <c r="AA4" s="2" t="s">
        <v>89</v>
      </c>
      <c r="AB4" s="2" t="s">
        <v>90</v>
      </c>
      <c r="AC4" s="2" t="s">
        <v>55</v>
      </c>
      <c r="AD4" s="4">
        <f>SUMIF('IPD Charge Lines'!$C:$C,B4,'IPD Charge Lines'!$P:$P)</f>
        <v>19400</v>
      </c>
      <c r="AE4" s="5" t="s">
        <v>56</v>
      </c>
    </row>
    <row r="5" spans="1:31">
      <c r="A5" s="6" t="s">
        <v>91</v>
      </c>
      <c r="B5" s="6" t="s">
        <v>92</v>
      </c>
      <c r="C5" s="6" t="s">
        <v>93</v>
      </c>
      <c r="D5" s="7">
        <v>22830</v>
      </c>
      <c r="E5" s="6" t="s">
        <v>60</v>
      </c>
      <c r="F5" s="6" t="s">
        <v>94</v>
      </c>
      <c r="G5" s="6" t="s">
        <v>95</v>
      </c>
      <c r="H5" s="7">
        <v>46050</v>
      </c>
      <c r="I5" s="6" t="s">
        <v>37</v>
      </c>
      <c r="J5" s="7">
        <v>46056</v>
      </c>
      <c r="K5" s="6" t="s">
        <v>38</v>
      </c>
      <c r="L5" s="6">
        <v>6</v>
      </c>
      <c r="M5" s="6" t="s">
        <v>39</v>
      </c>
      <c r="N5" s="6" t="s">
        <v>40</v>
      </c>
      <c r="O5" s="6" t="s">
        <v>41</v>
      </c>
      <c r="P5" s="6" t="s">
        <v>42</v>
      </c>
      <c r="Q5" s="6" t="s">
        <v>96</v>
      </c>
      <c r="R5" s="6" t="s">
        <v>97</v>
      </c>
      <c r="S5" s="6" t="s">
        <v>98</v>
      </c>
      <c r="T5" s="6" t="s">
        <v>99</v>
      </c>
      <c r="U5" s="6" t="s">
        <v>100</v>
      </c>
      <c r="V5" s="6" t="s">
        <v>101</v>
      </c>
      <c r="W5" s="6" t="s">
        <v>102</v>
      </c>
      <c r="X5" s="6" t="s">
        <v>50</v>
      </c>
      <c r="Y5" s="6" t="s">
        <v>103</v>
      </c>
      <c r="Z5" s="6" t="s">
        <v>104</v>
      </c>
      <c r="AA5" s="6" t="s">
        <v>105</v>
      </c>
      <c r="AB5" s="6" t="s">
        <v>106</v>
      </c>
      <c r="AC5" s="6" t="s">
        <v>55</v>
      </c>
      <c r="AD5" s="8">
        <f>SUMIF('IPD Charge Lines'!$C:$C,B5,'IPD Charge Lines'!$P:$P)</f>
        <v>10587.599999999999</v>
      </c>
      <c r="AE5" s="5" t="s">
        <v>56</v>
      </c>
    </row>
    <row r="6" spans="1:31">
      <c r="A6" s="2" t="s">
        <v>107</v>
      </c>
      <c r="B6" s="2" t="s">
        <v>108</v>
      </c>
      <c r="C6" s="2" t="s">
        <v>109</v>
      </c>
      <c r="D6" s="3">
        <v>37628</v>
      </c>
      <c r="E6" s="2" t="s">
        <v>34</v>
      </c>
      <c r="F6" s="2" t="s">
        <v>110</v>
      </c>
      <c r="G6" s="2" t="s">
        <v>111</v>
      </c>
      <c r="H6" s="3">
        <v>46058</v>
      </c>
      <c r="I6" s="2" t="s">
        <v>37</v>
      </c>
      <c r="J6" s="3">
        <v>46061</v>
      </c>
      <c r="K6" s="2" t="s">
        <v>38</v>
      </c>
      <c r="L6" s="2">
        <v>3</v>
      </c>
      <c r="M6" s="2" t="s">
        <v>112</v>
      </c>
      <c r="N6" s="2" t="s">
        <v>40</v>
      </c>
      <c r="O6" s="2" t="s">
        <v>41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2" t="s">
        <v>125</v>
      </c>
      <c r="AC6" s="2" t="s">
        <v>126</v>
      </c>
      <c r="AD6" s="4">
        <f>SUMIF('IPD Charge Lines'!$C:$C,B6,'IPD Charge Lines'!$P:$P)</f>
        <v>16489.2</v>
      </c>
      <c r="AE6" s="5" t="s">
        <v>56</v>
      </c>
    </row>
    <row r="7" spans="1:31">
      <c r="A7" s="6" t="s">
        <v>127</v>
      </c>
      <c r="B7" s="6" t="s">
        <v>128</v>
      </c>
      <c r="C7" s="6" t="s">
        <v>129</v>
      </c>
      <c r="D7" s="7">
        <v>23145</v>
      </c>
      <c r="E7" s="6" t="s">
        <v>60</v>
      </c>
      <c r="F7" s="6" t="s">
        <v>130</v>
      </c>
      <c r="G7" s="6" t="s">
        <v>131</v>
      </c>
      <c r="H7" s="7">
        <v>46066</v>
      </c>
      <c r="I7" s="6" t="s">
        <v>37</v>
      </c>
      <c r="J7" s="7">
        <v>46071</v>
      </c>
      <c r="K7" s="6" t="s">
        <v>38</v>
      </c>
      <c r="L7" s="6">
        <v>5</v>
      </c>
      <c r="M7" s="6" t="s">
        <v>39</v>
      </c>
      <c r="N7" s="6" t="s">
        <v>40</v>
      </c>
      <c r="O7" s="6" t="s">
        <v>41</v>
      </c>
      <c r="P7" s="6" t="s">
        <v>132</v>
      </c>
      <c r="Q7" s="6" t="s">
        <v>133</v>
      </c>
      <c r="R7" s="6" t="s">
        <v>134</v>
      </c>
      <c r="S7" s="6" t="s">
        <v>135</v>
      </c>
      <c r="T7" s="6" t="s">
        <v>136</v>
      </c>
      <c r="U7" s="6" t="s">
        <v>137</v>
      </c>
      <c r="V7" s="6" t="s">
        <v>138</v>
      </c>
      <c r="W7" s="6" t="s">
        <v>139</v>
      </c>
      <c r="X7" s="6" t="s">
        <v>50</v>
      </c>
      <c r="Y7" s="6" t="s">
        <v>51</v>
      </c>
      <c r="Z7" s="6" t="s">
        <v>140</v>
      </c>
      <c r="AA7" s="6" t="s">
        <v>141</v>
      </c>
      <c r="AB7" s="6" t="s">
        <v>54</v>
      </c>
      <c r="AC7" s="6" t="s">
        <v>55</v>
      </c>
      <c r="AD7" s="8">
        <f>SUMIF('IPD Charge Lines'!$C:$C,B7,'IPD Charge Lines'!$P:$P)</f>
        <v>36029.4</v>
      </c>
      <c r="AE7" s="5" t="s">
        <v>56</v>
      </c>
    </row>
    <row r="8" spans="1:31">
      <c r="A8" s="2" t="s">
        <v>142</v>
      </c>
      <c r="B8" s="2" t="s">
        <v>143</v>
      </c>
      <c r="C8" s="2" t="s">
        <v>144</v>
      </c>
      <c r="D8" s="3">
        <v>34711</v>
      </c>
      <c r="E8" s="2" t="s">
        <v>34</v>
      </c>
      <c r="F8" s="2" t="s">
        <v>145</v>
      </c>
      <c r="G8" s="2" t="s">
        <v>146</v>
      </c>
      <c r="H8" s="3">
        <v>46074</v>
      </c>
      <c r="I8" s="2" t="s">
        <v>37</v>
      </c>
      <c r="J8" s="3">
        <v>46082</v>
      </c>
      <c r="K8" s="2" t="s">
        <v>38</v>
      </c>
      <c r="L8" s="2">
        <v>8</v>
      </c>
      <c r="M8" s="2" t="s">
        <v>147</v>
      </c>
      <c r="N8" s="2" t="s">
        <v>40</v>
      </c>
      <c r="O8" s="2" t="s">
        <v>41</v>
      </c>
      <c r="P8" s="2" t="s">
        <v>42</v>
      </c>
      <c r="Q8" s="2" t="s">
        <v>148</v>
      </c>
      <c r="R8" s="2" t="s">
        <v>44</v>
      </c>
      <c r="S8" s="2" t="s">
        <v>149</v>
      </c>
      <c r="T8" s="2" t="s">
        <v>150</v>
      </c>
      <c r="U8" s="2" t="s">
        <v>151</v>
      </c>
      <c r="V8" s="2" t="s">
        <v>152</v>
      </c>
      <c r="W8" s="2" t="s">
        <v>153</v>
      </c>
      <c r="X8" s="2" t="s">
        <v>50</v>
      </c>
      <c r="Y8" s="2" t="s">
        <v>71</v>
      </c>
      <c r="Z8" s="2" t="s">
        <v>154</v>
      </c>
      <c r="AA8" s="2" t="s">
        <v>155</v>
      </c>
      <c r="AB8" s="2" t="s">
        <v>74</v>
      </c>
      <c r="AC8" s="2" t="s">
        <v>156</v>
      </c>
      <c r="AD8" s="4">
        <f>SUMIF('IPD Charge Lines'!$C:$C,B8,'IPD Charge Lines'!$P:$P)</f>
        <v>11082.6</v>
      </c>
      <c r="AE8" s="5" t="s">
        <v>56</v>
      </c>
    </row>
    <row r="9" spans="1:31">
      <c r="A9" s="6" t="s">
        <v>157</v>
      </c>
      <c r="B9" s="6" t="s">
        <v>158</v>
      </c>
      <c r="C9" s="6" t="s">
        <v>159</v>
      </c>
      <c r="D9" s="7">
        <v>31917</v>
      </c>
      <c r="E9" s="6" t="s">
        <v>60</v>
      </c>
      <c r="F9" s="6" t="s">
        <v>35</v>
      </c>
      <c r="G9" s="6" t="s">
        <v>160</v>
      </c>
      <c r="H9" s="7">
        <v>46082</v>
      </c>
      <c r="I9" s="6" t="s">
        <v>37</v>
      </c>
      <c r="J9" s="7">
        <v>46090</v>
      </c>
      <c r="K9" s="6" t="s">
        <v>38</v>
      </c>
      <c r="L9" s="6">
        <v>8</v>
      </c>
      <c r="M9" s="6" t="s">
        <v>39</v>
      </c>
      <c r="N9" s="6" t="s">
        <v>40</v>
      </c>
      <c r="O9" s="6" t="s">
        <v>41</v>
      </c>
      <c r="P9" s="6" t="s">
        <v>113</v>
      </c>
      <c r="Q9" s="6" t="s">
        <v>161</v>
      </c>
      <c r="R9" s="6" t="s">
        <v>65</v>
      </c>
      <c r="S9" s="6" t="s">
        <v>162</v>
      </c>
      <c r="T9" s="6" t="s">
        <v>163</v>
      </c>
      <c r="U9" s="6"/>
      <c r="V9" s="6" t="s">
        <v>164</v>
      </c>
      <c r="W9" s="6" t="s">
        <v>165</v>
      </c>
      <c r="X9" s="6" t="s">
        <v>50</v>
      </c>
      <c r="Y9" s="6" t="s">
        <v>87</v>
      </c>
      <c r="Z9" s="6" t="s">
        <v>166</v>
      </c>
      <c r="AA9" s="6" t="s">
        <v>167</v>
      </c>
      <c r="AB9" s="6" t="s">
        <v>90</v>
      </c>
      <c r="AC9" s="6" t="s">
        <v>55</v>
      </c>
      <c r="AD9" s="8">
        <f>SUMIF('IPD Charge Lines'!$C:$C,B9,'IPD Charge Lines'!$P:$P)</f>
        <v>23452.800000000003</v>
      </c>
      <c r="AE9" s="5" t="s">
        <v>56</v>
      </c>
    </row>
    <row r="10" spans="1:31">
      <c r="A10" s="2" t="s">
        <v>168</v>
      </c>
      <c r="B10" s="2" t="s">
        <v>169</v>
      </c>
      <c r="C10" s="2" t="s">
        <v>170</v>
      </c>
      <c r="D10" s="3">
        <v>29395</v>
      </c>
      <c r="E10" s="2" t="s">
        <v>34</v>
      </c>
      <c r="F10" s="2" t="s">
        <v>61</v>
      </c>
      <c r="G10" s="2" t="s">
        <v>171</v>
      </c>
      <c r="H10" s="3">
        <v>46090</v>
      </c>
      <c r="I10" s="2" t="s">
        <v>37</v>
      </c>
      <c r="J10" s="3">
        <v>46095</v>
      </c>
      <c r="K10" s="2" t="s">
        <v>38</v>
      </c>
      <c r="L10" s="2">
        <v>5</v>
      </c>
      <c r="M10" s="2" t="s">
        <v>39</v>
      </c>
      <c r="N10" s="2" t="s">
        <v>40</v>
      </c>
      <c r="O10" s="2" t="s">
        <v>41</v>
      </c>
      <c r="P10" s="2" t="s">
        <v>80</v>
      </c>
      <c r="Q10" s="2" t="s">
        <v>172</v>
      </c>
      <c r="R10" s="2" t="s">
        <v>82</v>
      </c>
      <c r="S10" s="2" t="s">
        <v>173</v>
      </c>
      <c r="T10" s="2" t="s">
        <v>174</v>
      </c>
      <c r="U10" s="2" t="s">
        <v>175</v>
      </c>
      <c r="V10" s="2" t="s">
        <v>176</v>
      </c>
      <c r="W10" s="2" t="s">
        <v>177</v>
      </c>
      <c r="X10" s="2" t="s">
        <v>50</v>
      </c>
      <c r="Y10" s="2" t="s">
        <v>103</v>
      </c>
      <c r="Z10" s="2" t="s">
        <v>178</v>
      </c>
      <c r="AA10" s="2" t="s">
        <v>179</v>
      </c>
      <c r="AB10" s="2" t="s">
        <v>106</v>
      </c>
      <c r="AC10" s="2" t="s">
        <v>55</v>
      </c>
      <c r="AD10" s="4">
        <f>SUMIF('IPD Charge Lines'!$C:$C,B10,'IPD Charge Lines'!$P:$P)</f>
        <v>18012.400000000001</v>
      </c>
      <c r="AE10" s="5" t="s">
        <v>56</v>
      </c>
    </row>
    <row r="11" spans="1:31">
      <c r="A11" s="6" t="s">
        <v>180</v>
      </c>
      <c r="B11" s="6" t="s">
        <v>181</v>
      </c>
      <c r="C11" s="6" t="s">
        <v>182</v>
      </c>
      <c r="D11" s="7">
        <v>29776</v>
      </c>
      <c r="E11" s="6" t="s">
        <v>60</v>
      </c>
      <c r="F11" s="6" t="s">
        <v>78</v>
      </c>
      <c r="G11" s="6" t="s">
        <v>183</v>
      </c>
      <c r="H11" s="7">
        <v>46098</v>
      </c>
      <c r="I11" s="6" t="s">
        <v>37</v>
      </c>
      <c r="J11" s="7">
        <v>46101</v>
      </c>
      <c r="K11" s="6" t="s">
        <v>38</v>
      </c>
      <c r="L11" s="6">
        <v>3</v>
      </c>
      <c r="M11" s="6" t="s">
        <v>39</v>
      </c>
      <c r="N11" s="6" t="s">
        <v>40</v>
      </c>
      <c r="O11" s="6" t="s">
        <v>41</v>
      </c>
      <c r="P11" s="6" t="s">
        <v>184</v>
      </c>
      <c r="Q11" s="6" t="s">
        <v>185</v>
      </c>
      <c r="R11" s="6" t="s">
        <v>97</v>
      </c>
      <c r="S11" s="6" t="s">
        <v>186</v>
      </c>
      <c r="T11" s="6" t="s">
        <v>187</v>
      </c>
      <c r="U11" s="6" t="s">
        <v>137</v>
      </c>
      <c r="V11" s="6" t="s">
        <v>188</v>
      </c>
      <c r="W11" s="6" t="s">
        <v>189</v>
      </c>
      <c r="X11" s="6" t="s">
        <v>121</v>
      </c>
      <c r="Y11" s="6" t="s">
        <v>122</v>
      </c>
      <c r="Z11" s="6" t="s">
        <v>190</v>
      </c>
      <c r="AA11" s="6" t="s">
        <v>191</v>
      </c>
      <c r="AB11" s="6" t="s">
        <v>125</v>
      </c>
      <c r="AC11" s="6" t="s">
        <v>55</v>
      </c>
      <c r="AD11" s="8">
        <f>SUMIF('IPD Charge Lines'!$C:$C,B11,'IPD Charge Lines'!$P:$P)</f>
        <v>5805</v>
      </c>
      <c r="AE11" s="5" t="s">
        <v>56</v>
      </c>
    </row>
    <row r="12" spans="1:31">
      <c r="A12" s="2" t="s">
        <v>192</v>
      </c>
      <c r="B12" s="2" t="s">
        <v>193</v>
      </c>
      <c r="C12" s="2" t="s">
        <v>194</v>
      </c>
      <c r="D12" s="3">
        <v>29117</v>
      </c>
      <c r="E12" s="2" t="s">
        <v>34</v>
      </c>
      <c r="F12" s="2" t="s">
        <v>94</v>
      </c>
      <c r="G12" s="2" t="s">
        <v>195</v>
      </c>
      <c r="H12" s="3">
        <v>46106</v>
      </c>
      <c r="I12" s="2" t="s">
        <v>37</v>
      </c>
      <c r="J12" s="3">
        <v>46113</v>
      </c>
      <c r="K12" s="2" t="s">
        <v>38</v>
      </c>
      <c r="L12" s="2">
        <v>7</v>
      </c>
      <c r="M12" s="2" t="s">
        <v>39</v>
      </c>
      <c r="N12" s="2" t="s">
        <v>40</v>
      </c>
      <c r="O12" s="2" t="s">
        <v>41</v>
      </c>
      <c r="P12" s="2" t="s">
        <v>196</v>
      </c>
      <c r="Q12" s="2" t="s">
        <v>197</v>
      </c>
      <c r="R12" s="2" t="s">
        <v>115</v>
      </c>
      <c r="S12" s="2" t="s">
        <v>198</v>
      </c>
      <c r="T12" s="2" t="s">
        <v>199</v>
      </c>
      <c r="U12" s="2" t="s">
        <v>175</v>
      </c>
      <c r="V12" s="2" t="s">
        <v>200</v>
      </c>
      <c r="W12" s="2" t="s">
        <v>201</v>
      </c>
      <c r="X12" s="2" t="s">
        <v>50</v>
      </c>
      <c r="Y12" s="2" t="s">
        <v>51</v>
      </c>
      <c r="Z12" s="2" t="s">
        <v>202</v>
      </c>
      <c r="AA12" s="2" t="s">
        <v>203</v>
      </c>
      <c r="AB12" s="2" t="s">
        <v>54</v>
      </c>
      <c r="AC12" s="2" t="s">
        <v>55</v>
      </c>
      <c r="AD12" s="4">
        <f>SUMIF('IPD Charge Lines'!$C:$C,B12,'IPD Charge Lines'!$P:$P)</f>
        <v>30023.7</v>
      </c>
      <c r="AE12" s="5" t="s">
        <v>56</v>
      </c>
    </row>
    <row r="13" spans="1:31">
      <c r="A13" s="6" t="s">
        <v>204</v>
      </c>
      <c r="B13" s="6" t="s">
        <v>205</v>
      </c>
      <c r="C13" s="6" t="s">
        <v>206</v>
      </c>
      <c r="D13" s="7">
        <v>26551</v>
      </c>
      <c r="E13" s="6" t="s">
        <v>60</v>
      </c>
      <c r="F13" s="6" t="s">
        <v>110</v>
      </c>
      <c r="G13" s="6" t="s">
        <v>207</v>
      </c>
      <c r="H13" s="7">
        <v>46114</v>
      </c>
      <c r="I13" s="6" t="s">
        <v>37</v>
      </c>
      <c r="J13" s="7">
        <v>46121</v>
      </c>
      <c r="K13" s="6" t="s">
        <v>38</v>
      </c>
      <c r="L13" s="6">
        <v>7</v>
      </c>
      <c r="M13" s="6" t="s">
        <v>39</v>
      </c>
      <c r="N13" s="6" t="s">
        <v>40</v>
      </c>
      <c r="O13" s="6" t="s">
        <v>41</v>
      </c>
      <c r="P13" s="6" t="s">
        <v>208</v>
      </c>
      <c r="Q13" s="6" t="s">
        <v>209</v>
      </c>
      <c r="R13" s="6" t="s">
        <v>134</v>
      </c>
      <c r="S13" s="6" t="s">
        <v>210</v>
      </c>
      <c r="T13" s="6" t="s">
        <v>211</v>
      </c>
      <c r="U13" s="6" t="s">
        <v>118</v>
      </c>
      <c r="V13" s="6" t="s">
        <v>212</v>
      </c>
      <c r="W13" s="6" t="s">
        <v>213</v>
      </c>
      <c r="X13" s="6" t="s">
        <v>50</v>
      </c>
      <c r="Y13" s="6" t="s">
        <v>71</v>
      </c>
      <c r="Z13" s="6" t="s">
        <v>214</v>
      </c>
      <c r="AA13" s="6" t="s">
        <v>215</v>
      </c>
      <c r="AB13" s="6" t="s">
        <v>74</v>
      </c>
      <c r="AC13" s="6" t="s">
        <v>55</v>
      </c>
      <c r="AD13" s="8">
        <f>SUMIF('IPD Charge Lines'!$C:$C,B13,'IPD Charge Lines'!$P:$P)</f>
        <v>36124.400000000001</v>
      </c>
      <c r="AE13" s="5" t="s">
        <v>56</v>
      </c>
    </row>
    <row r="14" spans="1:31">
      <c r="A14" s="2" t="s">
        <v>216</v>
      </c>
      <c r="B14" s="2" t="s">
        <v>217</v>
      </c>
      <c r="C14" s="2" t="s">
        <v>218</v>
      </c>
      <c r="D14" s="3">
        <v>21488</v>
      </c>
      <c r="E14" s="2" t="s">
        <v>34</v>
      </c>
      <c r="F14" s="2" t="s">
        <v>130</v>
      </c>
      <c r="G14" s="2" t="s">
        <v>219</v>
      </c>
      <c r="H14" s="3">
        <v>46122</v>
      </c>
      <c r="I14" s="2" t="s">
        <v>37</v>
      </c>
      <c r="J14" s="3">
        <v>46127</v>
      </c>
      <c r="K14" s="2" t="s">
        <v>38</v>
      </c>
      <c r="L14" s="2">
        <v>5</v>
      </c>
      <c r="M14" s="2" t="s">
        <v>39</v>
      </c>
      <c r="N14" s="2" t="s">
        <v>40</v>
      </c>
      <c r="O14" s="2" t="s">
        <v>41</v>
      </c>
      <c r="P14" s="2" t="s">
        <v>42</v>
      </c>
      <c r="Q14" s="2" t="s">
        <v>220</v>
      </c>
      <c r="R14" s="2" t="s">
        <v>44</v>
      </c>
      <c r="S14" s="2" t="s">
        <v>221</v>
      </c>
      <c r="T14" s="2" t="s">
        <v>222</v>
      </c>
      <c r="U14" s="2" t="s">
        <v>47</v>
      </c>
      <c r="V14" s="2" t="s">
        <v>223</v>
      </c>
      <c r="W14" s="2" t="s">
        <v>224</v>
      </c>
      <c r="X14" s="2" t="s">
        <v>50</v>
      </c>
      <c r="Y14" s="2" t="s">
        <v>87</v>
      </c>
      <c r="Z14" s="2" t="s">
        <v>225</v>
      </c>
      <c r="AA14" s="2" t="s">
        <v>226</v>
      </c>
      <c r="AB14" s="2" t="s">
        <v>90</v>
      </c>
      <c r="AC14" s="2" t="s">
        <v>55</v>
      </c>
      <c r="AD14" s="4">
        <f>SUMIF('IPD Charge Lines'!$C:$C,B14,'IPD Charge Lines'!$P:$P)</f>
        <v>10297.9</v>
      </c>
      <c r="AE14" s="5" t="s">
        <v>56</v>
      </c>
    </row>
    <row r="15" spans="1:31">
      <c r="A15" s="6" t="s">
        <v>227</v>
      </c>
      <c r="B15" s="6" t="s">
        <v>228</v>
      </c>
      <c r="C15" s="6" t="s">
        <v>229</v>
      </c>
      <c r="D15" s="7">
        <v>37989</v>
      </c>
      <c r="E15" s="6" t="s">
        <v>60</v>
      </c>
      <c r="F15" s="6" t="s">
        <v>145</v>
      </c>
      <c r="G15" s="6" t="s">
        <v>230</v>
      </c>
      <c r="H15" s="7">
        <v>46130</v>
      </c>
      <c r="I15" s="6" t="s">
        <v>37</v>
      </c>
      <c r="J15" s="7">
        <v>46135</v>
      </c>
      <c r="K15" s="6" t="s">
        <v>38</v>
      </c>
      <c r="L15" s="6">
        <v>5</v>
      </c>
      <c r="M15" s="6" t="s">
        <v>39</v>
      </c>
      <c r="N15" s="6" t="s">
        <v>40</v>
      </c>
      <c r="O15" s="6" t="s">
        <v>41</v>
      </c>
      <c r="P15" s="6" t="s">
        <v>42</v>
      </c>
      <c r="Q15" s="6" t="s">
        <v>231</v>
      </c>
      <c r="R15" s="6" t="s">
        <v>65</v>
      </c>
      <c r="S15" s="6" t="s">
        <v>232</v>
      </c>
      <c r="T15" s="6" t="s">
        <v>233</v>
      </c>
      <c r="U15" s="6" t="s">
        <v>137</v>
      </c>
      <c r="V15" s="6" t="s">
        <v>234</v>
      </c>
      <c r="W15" s="6" t="s">
        <v>235</v>
      </c>
      <c r="X15" s="6" t="s">
        <v>50</v>
      </c>
      <c r="Y15" s="6" t="s">
        <v>103</v>
      </c>
      <c r="Z15" s="6" t="s">
        <v>236</v>
      </c>
      <c r="AA15" s="6" t="s">
        <v>237</v>
      </c>
      <c r="AB15" s="6" t="s">
        <v>106</v>
      </c>
      <c r="AC15" s="6" t="s">
        <v>55</v>
      </c>
      <c r="AD15" s="8">
        <f>SUMIF('IPD Charge Lines'!$C:$C,B15,'IPD Charge Lines'!$P:$P)</f>
        <v>8314.2999999999993</v>
      </c>
      <c r="AE15" s="5" t="s">
        <v>56</v>
      </c>
    </row>
    <row r="16" spans="1:31">
      <c r="A16" s="2" t="s">
        <v>238</v>
      </c>
      <c r="B16" s="2" t="s">
        <v>239</v>
      </c>
      <c r="C16" s="2" t="s">
        <v>240</v>
      </c>
      <c r="D16" s="3">
        <v>24709</v>
      </c>
      <c r="E16" s="2" t="s">
        <v>34</v>
      </c>
      <c r="F16" s="2" t="s">
        <v>35</v>
      </c>
      <c r="G16" s="2" t="s">
        <v>241</v>
      </c>
      <c r="H16" s="3">
        <v>46138</v>
      </c>
      <c r="I16" s="2" t="s">
        <v>37</v>
      </c>
      <c r="J16" s="3">
        <v>46148</v>
      </c>
      <c r="K16" s="2" t="s">
        <v>38</v>
      </c>
      <c r="L16" s="2">
        <v>10</v>
      </c>
      <c r="M16" s="2" t="s">
        <v>39</v>
      </c>
      <c r="N16" s="2" t="s">
        <v>40</v>
      </c>
      <c r="O16" s="2" t="s">
        <v>41</v>
      </c>
      <c r="P16" s="2" t="s">
        <v>196</v>
      </c>
      <c r="Q16" s="2" t="s">
        <v>242</v>
      </c>
      <c r="R16" s="2" t="s">
        <v>82</v>
      </c>
      <c r="S16" s="2" t="s">
        <v>243</v>
      </c>
      <c r="T16" s="2" t="s">
        <v>244</v>
      </c>
      <c r="U16" s="2" t="s">
        <v>175</v>
      </c>
      <c r="V16" s="2" t="s">
        <v>245</v>
      </c>
      <c r="W16" s="2" t="s">
        <v>246</v>
      </c>
      <c r="X16" s="2" t="s">
        <v>121</v>
      </c>
      <c r="Y16" s="2" t="s">
        <v>122</v>
      </c>
      <c r="Z16" s="2" t="s">
        <v>247</v>
      </c>
      <c r="AA16" s="2" t="s">
        <v>248</v>
      </c>
      <c r="AB16" s="2" t="s">
        <v>125</v>
      </c>
      <c r="AC16" s="2" t="s">
        <v>55</v>
      </c>
      <c r="AD16" s="4">
        <f>SUMIF('IPD Charge Lines'!$C:$C,B16,'IPD Charge Lines'!$P:$P)</f>
        <v>39609.599999999999</v>
      </c>
      <c r="AE16" s="5" t="s">
        <v>56</v>
      </c>
    </row>
    <row r="17" spans="1:31">
      <c r="A17" s="6" t="s">
        <v>249</v>
      </c>
      <c r="B17" s="6" t="s">
        <v>250</v>
      </c>
      <c r="C17" s="6" t="s">
        <v>251</v>
      </c>
      <c r="D17" s="7">
        <v>36437</v>
      </c>
      <c r="E17" s="6" t="s">
        <v>60</v>
      </c>
      <c r="F17" s="6" t="s">
        <v>61</v>
      </c>
      <c r="G17" s="6" t="s">
        <v>252</v>
      </c>
      <c r="H17" s="7">
        <v>46146</v>
      </c>
      <c r="I17" s="6" t="s">
        <v>37</v>
      </c>
      <c r="J17" s="7">
        <v>46152</v>
      </c>
      <c r="K17" s="6" t="s">
        <v>38</v>
      </c>
      <c r="L17" s="6">
        <v>6</v>
      </c>
      <c r="M17" s="6" t="s">
        <v>147</v>
      </c>
      <c r="N17" s="6" t="s">
        <v>40</v>
      </c>
      <c r="O17" s="6" t="s">
        <v>41</v>
      </c>
      <c r="P17" s="6" t="s">
        <v>42</v>
      </c>
      <c r="Q17" s="6" t="s">
        <v>253</v>
      </c>
      <c r="R17" s="6" t="s">
        <v>97</v>
      </c>
      <c r="S17" s="6" t="s">
        <v>254</v>
      </c>
      <c r="T17" s="6" t="s">
        <v>255</v>
      </c>
      <c r="U17" s="6" t="s">
        <v>137</v>
      </c>
      <c r="V17" s="6" t="s">
        <v>256</v>
      </c>
      <c r="W17" s="6" t="s">
        <v>257</v>
      </c>
      <c r="X17" s="6" t="s">
        <v>50</v>
      </c>
      <c r="Y17" s="6" t="s">
        <v>51</v>
      </c>
      <c r="Z17" s="6" t="s">
        <v>258</v>
      </c>
      <c r="AA17" s="6" t="s">
        <v>259</v>
      </c>
      <c r="AB17" s="6" t="s">
        <v>54</v>
      </c>
      <c r="AC17" s="6" t="s">
        <v>156</v>
      </c>
      <c r="AD17" s="8">
        <f>SUMIF('IPD Charge Lines'!$C:$C,B17,'IPD Charge Lines'!$P:$P)</f>
        <v>9172.8000000000011</v>
      </c>
      <c r="AE17" s="5" t="s">
        <v>56</v>
      </c>
    </row>
    <row r="18" spans="1:31">
      <c r="A18" s="2" t="s">
        <v>260</v>
      </c>
      <c r="B18" s="2" t="s">
        <v>261</v>
      </c>
      <c r="C18" s="2" t="s">
        <v>262</v>
      </c>
      <c r="D18" s="3">
        <v>24776</v>
      </c>
      <c r="E18" s="2" t="s">
        <v>34</v>
      </c>
      <c r="F18" s="2" t="s">
        <v>78</v>
      </c>
      <c r="G18" s="2" t="s">
        <v>263</v>
      </c>
      <c r="H18" s="3">
        <v>46154</v>
      </c>
      <c r="I18" s="2" t="s">
        <v>37</v>
      </c>
      <c r="J18" s="3">
        <v>46159</v>
      </c>
      <c r="K18" s="2" t="s">
        <v>38</v>
      </c>
      <c r="L18" s="2">
        <v>5</v>
      </c>
      <c r="M18" s="2" t="s">
        <v>39</v>
      </c>
      <c r="N18" s="2" t="s">
        <v>40</v>
      </c>
      <c r="O18" s="2" t="s">
        <v>41</v>
      </c>
      <c r="P18" s="2" t="s">
        <v>264</v>
      </c>
      <c r="Q18" s="2" t="s">
        <v>265</v>
      </c>
      <c r="R18" s="2" t="s">
        <v>115</v>
      </c>
      <c r="S18" s="2" t="s">
        <v>266</v>
      </c>
      <c r="T18" s="2" t="s">
        <v>267</v>
      </c>
      <c r="U18" s="2" t="s">
        <v>175</v>
      </c>
      <c r="V18" s="2" t="s">
        <v>268</v>
      </c>
      <c r="W18" s="2" t="s">
        <v>269</v>
      </c>
      <c r="X18" s="2" t="s">
        <v>50</v>
      </c>
      <c r="Y18" s="2" t="s">
        <v>71</v>
      </c>
      <c r="Z18" s="2" t="s">
        <v>270</v>
      </c>
      <c r="AA18" s="2" t="s">
        <v>271</v>
      </c>
      <c r="AB18" s="2" t="s">
        <v>74</v>
      </c>
      <c r="AC18" s="2" t="s">
        <v>55</v>
      </c>
      <c r="AD18" s="4">
        <f>SUMIF('IPD Charge Lines'!$C:$C,B18,'IPD Charge Lines'!$P:$P)</f>
        <v>9875</v>
      </c>
      <c r="AE18" s="5" t="s">
        <v>56</v>
      </c>
    </row>
    <row r="19" spans="1:31">
      <c r="A19" s="6" t="s">
        <v>272</v>
      </c>
      <c r="B19" s="6" t="s">
        <v>273</v>
      </c>
      <c r="C19" s="6" t="s">
        <v>274</v>
      </c>
      <c r="D19" s="7">
        <v>35406</v>
      </c>
      <c r="E19" s="6" t="s">
        <v>34</v>
      </c>
      <c r="F19" s="6" t="s">
        <v>94</v>
      </c>
      <c r="G19" s="6" t="s">
        <v>275</v>
      </c>
      <c r="H19" s="7">
        <v>46162</v>
      </c>
      <c r="I19" s="6" t="s">
        <v>37</v>
      </c>
      <c r="J19" s="7">
        <v>46170</v>
      </c>
      <c r="K19" s="6" t="s">
        <v>38</v>
      </c>
      <c r="L19" s="6">
        <v>8</v>
      </c>
      <c r="M19" s="6" t="s">
        <v>112</v>
      </c>
      <c r="N19" s="6" t="s">
        <v>40</v>
      </c>
      <c r="O19" s="6" t="s">
        <v>41</v>
      </c>
      <c r="P19" s="6" t="s">
        <v>276</v>
      </c>
      <c r="Q19" s="6" t="s">
        <v>277</v>
      </c>
      <c r="R19" s="6" t="s">
        <v>134</v>
      </c>
      <c r="S19" s="6" t="s">
        <v>278</v>
      </c>
      <c r="T19" s="6" t="s">
        <v>279</v>
      </c>
      <c r="U19" s="6"/>
      <c r="V19" s="6" t="s">
        <v>280</v>
      </c>
      <c r="W19" s="6" t="s">
        <v>281</v>
      </c>
      <c r="X19" s="6" t="s">
        <v>50</v>
      </c>
      <c r="Y19" s="6" t="s">
        <v>87</v>
      </c>
      <c r="Z19" s="6" t="s">
        <v>282</v>
      </c>
      <c r="AA19" s="6" t="s">
        <v>283</v>
      </c>
      <c r="AB19" s="6" t="s">
        <v>90</v>
      </c>
      <c r="AC19" s="6" t="s">
        <v>126</v>
      </c>
      <c r="AD19" s="8">
        <f>SUMIF('IPD Charge Lines'!$C:$C,B19,'IPD Charge Lines'!$P:$P)</f>
        <v>16513.8</v>
      </c>
      <c r="AE19" s="5" t="s">
        <v>56</v>
      </c>
    </row>
    <row r="20" spans="1:31">
      <c r="A20" s="2" t="s">
        <v>284</v>
      </c>
      <c r="B20" s="2" t="s">
        <v>285</v>
      </c>
      <c r="C20" s="2" t="s">
        <v>286</v>
      </c>
      <c r="D20" s="3">
        <v>45879</v>
      </c>
      <c r="E20" s="2" t="s">
        <v>34</v>
      </c>
      <c r="F20" s="2" t="s">
        <v>110</v>
      </c>
      <c r="G20" s="2" t="s">
        <v>287</v>
      </c>
      <c r="H20" s="3">
        <v>46170</v>
      </c>
      <c r="I20" s="2" t="s">
        <v>37</v>
      </c>
      <c r="J20" s="3">
        <v>46175</v>
      </c>
      <c r="K20" s="2" t="s">
        <v>38</v>
      </c>
      <c r="L20" s="2">
        <v>5</v>
      </c>
      <c r="M20" s="2" t="s">
        <v>39</v>
      </c>
      <c r="N20" s="2" t="s">
        <v>40</v>
      </c>
      <c r="O20" s="2" t="s">
        <v>41</v>
      </c>
      <c r="P20" s="2" t="s">
        <v>288</v>
      </c>
      <c r="Q20" s="2" t="s">
        <v>289</v>
      </c>
      <c r="R20" s="2" t="s">
        <v>44</v>
      </c>
      <c r="S20" s="2" t="s">
        <v>290</v>
      </c>
      <c r="T20" s="2" t="s">
        <v>291</v>
      </c>
      <c r="U20" s="2" t="s">
        <v>100</v>
      </c>
      <c r="V20" s="2" t="s">
        <v>292</v>
      </c>
      <c r="W20" s="2" t="s">
        <v>293</v>
      </c>
      <c r="X20" s="2" t="s">
        <v>50</v>
      </c>
      <c r="Y20" s="2" t="s">
        <v>103</v>
      </c>
      <c r="Z20" s="2" t="s">
        <v>294</v>
      </c>
      <c r="AA20" s="2" t="s">
        <v>295</v>
      </c>
      <c r="AB20" s="2" t="s">
        <v>106</v>
      </c>
      <c r="AC20" s="2" t="s">
        <v>55</v>
      </c>
      <c r="AD20" s="4">
        <f>SUMIF('IPD Charge Lines'!$C:$C,B20,'IPD Charge Lines'!$P:$P)</f>
        <v>23540.400000000001</v>
      </c>
      <c r="AE20" s="5" t="s">
        <v>56</v>
      </c>
    </row>
    <row r="21" spans="1:31">
      <c r="A21" s="6" t="s">
        <v>296</v>
      </c>
      <c r="B21" s="6" t="s">
        <v>297</v>
      </c>
      <c r="C21" s="6" t="s">
        <v>298</v>
      </c>
      <c r="D21" s="7">
        <v>20387</v>
      </c>
      <c r="E21" s="6" t="s">
        <v>60</v>
      </c>
      <c r="F21" s="6" t="s">
        <v>130</v>
      </c>
      <c r="G21" s="6" t="s">
        <v>299</v>
      </c>
      <c r="H21" s="7">
        <v>46178</v>
      </c>
      <c r="I21" s="6" t="s">
        <v>37</v>
      </c>
      <c r="J21" s="7">
        <v>46180</v>
      </c>
      <c r="K21" s="6" t="s">
        <v>38</v>
      </c>
      <c r="L21" s="6">
        <v>2</v>
      </c>
      <c r="M21" s="6" t="s">
        <v>147</v>
      </c>
      <c r="N21" s="6" t="s">
        <v>40</v>
      </c>
      <c r="O21" s="6" t="s">
        <v>41</v>
      </c>
      <c r="P21" s="6" t="s">
        <v>300</v>
      </c>
      <c r="Q21" s="6" t="s">
        <v>301</v>
      </c>
      <c r="R21" s="6" t="s">
        <v>65</v>
      </c>
      <c r="S21" s="6" t="s">
        <v>302</v>
      </c>
      <c r="T21" s="6" t="s">
        <v>303</v>
      </c>
      <c r="U21" s="6" t="s">
        <v>68</v>
      </c>
      <c r="V21" s="6" t="s">
        <v>304</v>
      </c>
      <c r="W21" s="6" t="s">
        <v>305</v>
      </c>
      <c r="X21" s="6" t="s">
        <v>121</v>
      </c>
      <c r="Y21" s="6" t="s">
        <v>122</v>
      </c>
      <c r="Z21" s="6" t="s">
        <v>306</v>
      </c>
      <c r="AA21" s="6" t="s">
        <v>307</v>
      </c>
      <c r="AB21" s="6" t="s">
        <v>125</v>
      </c>
      <c r="AC21" s="6" t="s">
        <v>156</v>
      </c>
      <c r="AD21" s="8">
        <f>SUMIF('IPD Charge Lines'!$C:$C,B21,'IPD Charge Lines'!$P:$P)</f>
        <v>3784.2000000000003</v>
      </c>
      <c r="AE21" s="5" t="s">
        <v>56</v>
      </c>
    </row>
    <row r="22" spans="1:31">
      <c r="A22" s="2" t="s">
        <v>308</v>
      </c>
      <c r="B22" s="2" t="s">
        <v>309</v>
      </c>
      <c r="C22" s="2" t="s">
        <v>310</v>
      </c>
      <c r="D22" s="3">
        <v>37188</v>
      </c>
      <c r="E22" s="2" t="s">
        <v>34</v>
      </c>
      <c r="F22" s="2" t="s">
        <v>145</v>
      </c>
      <c r="G22" s="2" t="s">
        <v>311</v>
      </c>
      <c r="H22" s="3">
        <v>46186</v>
      </c>
      <c r="I22" s="2" t="s">
        <v>37</v>
      </c>
      <c r="J22" s="3">
        <v>46189</v>
      </c>
      <c r="K22" s="2" t="s">
        <v>38</v>
      </c>
      <c r="L22" s="2">
        <v>3</v>
      </c>
      <c r="M22" s="2" t="s">
        <v>39</v>
      </c>
      <c r="N22" s="2" t="s">
        <v>40</v>
      </c>
      <c r="O22" s="2" t="s">
        <v>41</v>
      </c>
      <c r="P22" s="2" t="s">
        <v>80</v>
      </c>
      <c r="Q22" s="2" t="s">
        <v>312</v>
      </c>
      <c r="R22" s="2" t="s">
        <v>82</v>
      </c>
      <c r="S22" s="2" t="s">
        <v>313</v>
      </c>
      <c r="T22" s="2" t="s">
        <v>314</v>
      </c>
      <c r="U22" s="2" t="s">
        <v>100</v>
      </c>
      <c r="V22" s="2" t="s">
        <v>315</v>
      </c>
      <c r="W22" s="2" t="s">
        <v>316</v>
      </c>
      <c r="X22" s="2" t="s">
        <v>50</v>
      </c>
      <c r="Y22" s="2" t="s">
        <v>51</v>
      </c>
      <c r="Z22" s="2" t="s">
        <v>317</v>
      </c>
      <c r="AA22" s="2" t="s">
        <v>318</v>
      </c>
      <c r="AB22" s="2" t="s">
        <v>54</v>
      </c>
      <c r="AC22" s="2" t="s">
        <v>55</v>
      </c>
      <c r="AD22" s="4">
        <f>SUMIF('IPD Charge Lines'!$C:$C,B22,'IPD Charge Lines'!$P:$P)</f>
        <v>15735.6</v>
      </c>
      <c r="AE22" s="5" t="s">
        <v>56</v>
      </c>
    </row>
    <row r="23" spans="1:31">
      <c r="A23" s="6" t="s">
        <v>319</v>
      </c>
      <c r="B23" s="6" t="s">
        <v>320</v>
      </c>
      <c r="C23" s="6" t="s">
        <v>321</v>
      </c>
      <c r="D23" s="7">
        <v>26623</v>
      </c>
      <c r="E23" s="6" t="s">
        <v>60</v>
      </c>
      <c r="F23" s="6" t="s">
        <v>35</v>
      </c>
      <c r="G23" s="6" t="s">
        <v>322</v>
      </c>
      <c r="H23" s="7">
        <v>46194</v>
      </c>
      <c r="I23" s="6" t="s">
        <v>37</v>
      </c>
      <c r="J23" s="7">
        <v>46201</v>
      </c>
      <c r="K23" s="6" t="s">
        <v>38</v>
      </c>
      <c r="L23" s="6">
        <v>7</v>
      </c>
      <c r="M23" s="6" t="s">
        <v>147</v>
      </c>
      <c r="N23" s="6" t="s">
        <v>323</v>
      </c>
      <c r="O23" s="6" t="s">
        <v>41</v>
      </c>
      <c r="P23" s="6" t="s">
        <v>63</v>
      </c>
      <c r="Q23" s="6" t="s">
        <v>324</v>
      </c>
      <c r="R23" s="6" t="s">
        <v>97</v>
      </c>
      <c r="S23" s="6" t="s">
        <v>47</v>
      </c>
      <c r="T23" s="6" t="s">
        <v>325</v>
      </c>
      <c r="U23" s="6" t="s">
        <v>175</v>
      </c>
      <c r="V23" s="6" t="s">
        <v>326</v>
      </c>
      <c r="W23" s="6" t="s">
        <v>327</v>
      </c>
      <c r="X23" s="6" t="s">
        <v>50</v>
      </c>
      <c r="Y23" s="6" t="s">
        <v>71</v>
      </c>
      <c r="Z23" s="6" t="s">
        <v>328</v>
      </c>
      <c r="AA23" s="6" t="s">
        <v>329</v>
      </c>
      <c r="AB23" s="6" t="s">
        <v>74</v>
      </c>
      <c r="AC23" s="6" t="s">
        <v>156</v>
      </c>
      <c r="AD23" s="8">
        <f>SUMIF('IPD Charge Lines'!$C:$C,B23,'IPD Charge Lines'!$P:$P)</f>
        <v>12912</v>
      </c>
      <c r="AE23" s="5" t="s">
        <v>56</v>
      </c>
    </row>
    <row r="24" spans="1:31">
      <c r="A24" s="2" t="s">
        <v>330</v>
      </c>
      <c r="B24" s="2" t="s">
        <v>331</v>
      </c>
      <c r="C24" s="2" t="s">
        <v>332</v>
      </c>
      <c r="D24" s="3">
        <v>35741</v>
      </c>
      <c r="E24" s="2" t="s">
        <v>34</v>
      </c>
      <c r="F24" s="2" t="s">
        <v>61</v>
      </c>
      <c r="G24" s="2" t="s">
        <v>333</v>
      </c>
      <c r="H24" s="3">
        <v>46202</v>
      </c>
      <c r="I24" s="2" t="s">
        <v>37</v>
      </c>
      <c r="J24" s="3">
        <v>46205</v>
      </c>
      <c r="K24" s="2" t="s">
        <v>38</v>
      </c>
      <c r="L24" s="2">
        <v>3</v>
      </c>
      <c r="M24" s="2" t="s">
        <v>39</v>
      </c>
      <c r="N24" s="2" t="s">
        <v>40</v>
      </c>
      <c r="O24" s="2" t="s">
        <v>41</v>
      </c>
      <c r="P24" s="2" t="s">
        <v>42</v>
      </c>
      <c r="Q24" s="2" t="s">
        <v>334</v>
      </c>
      <c r="R24" s="2" t="s">
        <v>115</v>
      </c>
      <c r="S24" s="2" t="s">
        <v>335</v>
      </c>
      <c r="T24" s="2" t="s">
        <v>336</v>
      </c>
      <c r="U24" s="2"/>
      <c r="V24" s="2" t="s">
        <v>337</v>
      </c>
      <c r="W24" s="2" t="s">
        <v>338</v>
      </c>
      <c r="X24" s="2" t="s">
        <v>50</v>
      </c>
      <c r="Y24" s="2" t="s">
        <v>87</v>
      </c>
      <c r="Z24" s="2" t="s">
        <v>339</v>
      </c>
      <c r="AA24" s="2" t="s">
        <v>340</v>
      </c>
      <c r="AB24" s="2" t="s">
        <v>90</v>
      </c>
      <c r="AC24" s="2" t="s">
        <v>55</v>
      </c>
      <c r="AD24" s="4">
        <f>SUMIF('IPD Charge Lines'!$C:$C,B24,'IPD Charge Lines'!$P:$P)</f>
        <v>4718.7000000000007</v>
      </c>
      <c r="AE24" s="5" t="s">
        <v>56</v>
      </c>
    </row>
    <row r="25" spans="1:31">
      <c r="A25" s="6" t="s">
        <v>341</v>
      </c>
      <c r="B25" s="6" t="s">
        <v>342</v>
      </c>
      <c r="C25" s="6" t="s">
        <v>343</v>
      </c>
      <c r="D25" s="7">
        <v>35187</v>
      </c>
      <c r="E25" s="6" t="s">
        <v>60</v>
      </c>
      <c r="F25" s="6" t="s">
        <v>78</v>
      </c>
      <c r="G25" s="6" t="s">
        <v>344</v>
      </c>
      <c r="H25" s="7">
        <v>46210</v>
      </c>
      <c r="I25" s="6" t="s">
        <v>37</v>
      </c>
      <c r="J25" s="7">
        <v>46218</v>
      </c>
      <c r="K25" s="6" t="s">
        <v>38</v>
      </c>
      <c r="L25" s="6">
        <v>8</v>
      </c>
      <c r="M25" s="6" t="s">
        <v>112</v>
      </c>
      <c r="N25" s="6" t="s">
        <v>40</v>
      </c>
      <c r="O25" s="6" t="s">
        <v>41</v>
      </c>
      <c r="P25" s="6" t="s">
        <v>345</v>
      </c>
      <c r="Q25" s="6" t="s">
        <v>346</v>
      </c>
      <c r="R25" s="6" t="s">
        <v>134</v>
      </c>
      <c r="S25" s="6" t="s">
        <v>347</v>
      </c>
      <c r="T25" s="6" t="s">
        <v>348</v>
      </c>
      <c r="U25" s="6" t="s">
        <v>151</v>
      </c>
      <c r="V25" s="6" t="s">
        <v>349</v>
      </c>
      <c r="W25" s="6" t="s">
        <v>350</v>
      </c>
      <c r="X25" s="6" t="s">
        <v>50</v>
      </c>
      <c r="Y25" s="6" t="s">
        <v>103</v>
      </c>
      <c r="Z25" s="6" t="s">
        <v>351</v>
      </c>
      <c r="AA25" s="6" t="s">
        <v>352</v>
      </c>
      <c r="AB25" s="6" t="s">
        <v>106</v>
      </c>
      <c r="AC25" s="6" t="s">
        <v>126</v>
      </c>
      <c r="AD25" s="8">
        <f>SUMIF('IPD Charge Lines'!$C:$C,B25,'IPD Charge Lines'!$P:$P)</f>
        <v>25770</v>
      </c>
      <c r="AE25" s="5" t="s">
        <v>56</v>
      </c>
    </row>
    <row r="26" spans="1:31">
      <c r="A26" s="2" t="s">
        <v>353</v>
      </c>
      <c r="B26" s="2" t="s">
        <v>354</v>
      </c>
      <c r="C26" s="2" t="s">
        <v>355</v>
      </c>
      <c r="D26" s="3">
        <v>30482</v>
      </c>
      <c r="E26" s="2" t="s">
        <v>34</v>
      </c>
      <c r="F26" s="2" t="s">
        <v>94</v>
      </c>
      <c r="G26" s="2" t="s">
        <v>356</v>
      </c>
      <c r="H26" s="3">
        <v>46218</v>
      </c>
      <c r="I26" s="2" t="s">
        <v>37</v>
      </c>
      <c r="J26" s="3">
        <v>46223</v>
      </c>
      <c r="K26" s="2" t="s">
        <v>38</v>
      </c>
      <c r="L26" s="2">
        <v>5</v>
      </c>
      <c r="M26" s="2" t="s">
        <v>147</v>
      </c>
      <c r="N26" s="2" t="s">
        <v>40</v>
      </c>
      <c r="O26" s="2" t="s">
        <v>41</v>
      </c>
      <c r="P26" s="2" t="s">
        <v>113</v>
      </c>
      <c r="Q26" s="2" t="s">
        <v>357</v>
      </c>
      <c r="R26" s="2" t="s">
        <v>44</v>
      </c>
      <c r="S26" s="2" t="s">
        <v>358</v>
      </c>
      <c r="T26" s="2" t="s">
        <v>359</v>
      </c>
      <c r="U26" s="2" t="s">
        <v>137</v>
      </c>
      <c r="V26" s="2" t="s">
        <v>360</v>
      </c>
      <c r="W26" s="2" t="s">
        <v>361</v>
      </c>
      <c r="X26" s="2" t="s">
        <v>121</v>
      </c>
      <c r="Y26" s="2" t="s">
        <v>122</v>
      </c>
      <c r="Z26" s="2" t="s">
        <v>362</v>
      </c>
      <c r="AA26" s="2" t="s">
        <v>363</v>
      </c>
      <c r="AB26" s="2" t="s">
        <v>125</v>
      </c>
      <c r="AC26" s="2" t="s">
        <v>156</v>
      </c>
      <c r="AD26" s="4">
        <f>SUMIF('IPD Charge Lines'!$C:$C,B26,'IPD Charge Lines'!$P:$P)</f>
        <v>18803.7</v>
      </c>
      <c r="AE26" s="5" t="s">
        <v>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7"/>
  <sheetViews>
    <sheetView showGridLines="0" workbookViewId="0">
      <pane ySplit="1" topLeftCell="A2" activePane="bottomLeft" state="frozen"/>
      <selection pane="bottomLeft" activeCell="E155" sqref="E155"/>
    </sheetView>
  </sheetViews>
  <sheetFormatPr defaultRowHeight="15"/>
  <cols>
    <col min="1" max="1" width="16" customWidth="1"/>
    <col min="2" max="2" width="13" customWidth="1"/>
    <col min="3" max="3" width="22" customWidth="1"/>
    <col min="4" max="4" width="13" customWidth="1"/>
    <col min="5" max="5" width="28" customWidth="1"/>
    <col min="6" max="6" width="25" customWidth="1"/>
    <col min="7" max="7" width="20" customWidth="1"/>
    <col min="8" max="8" width="34" customWidth="1"/>
    <col min="9" max="9" width="13" customWidth="1"/>
    <col min="10" max="10" width="14" customWidth="1"/>
    <col min="11" max="11" width="16" customWidth="1"/>
    <col min="12" max="12" width="20" customWidth="1"/>
    <col min="13" max="13" width="10" customWidth="1"/>
    <col min="14" max="14" width="11" customWidth="1"/>
    <col min="15" max="15" width="16" customWidth="1"/>
    <col min="16" max="16" width="17" customWidth="1"/>
    <col min="17" max="17" width="23" customWidth="1"/>
    <col min="18" max="18" width="25" customWidth="1"/>
    <col min="19" max="19" width="26" customWidth="1"/>
    <col min="20" max="20" width="16" customWidth="1"/>
    <col min="21" max="21" width="14" customWidth="1"/>
    <col min="22" max="22" width="46" customWidth="1"/>
  </cols>
  <sheetData>
    <row r="1" spans="1:22" ht="36" customHeight="1">
      <c r="A1" s="1" t="s">
        <v>364</v>
      </c>
      <c r="B1" s="1" t="s">
        <v>0</v>
      </c>
      <c r="C1" s="1" t="s">
        <v>1</v>
      </c>
      <c r="D1" s="1" t="s">
        <v>365</v>
      </c>
      <c r="E1" s="1" t="s">
        <v>14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382</v>
      </c>
    </row>
    <row r="2" spans="1:22">
      <c r="A2" s="9" t="s">
        <v>383</v>
      </c>
      <c r="B2" s="10" t="s">
        <v>31</v>
      </c>
      <c r="C2" s="10" t="s">
        <v>32</v>
      </c>
      <c r="D2" s="11">
        <v>46026</v>
      </c>
      <c r="E2" s="9" t="s">
        <v>41</v>
      </c>
      <c r="F2" s="9" t="s">
        <v>42</v>
      </c>
      <c r="G2" s="9" t="s">
        <v>384</v>
      </c>
      <c r="H2" s="9" t="s">
        <v>384</v>
      </c>
      <c r="I2" s="9" t="s">
        <v>385</v>
      </c>
      <c r="J2" s="9"/>
      <c r="K2" s="10" t="s">
        <v>45</v>
      </c>
      <c r="L2" s="9"/>
      <c r="M2" s="12">
        <v>5</v>
      </c>
      <c r="N2" s="9" t="s">
        <v>386</v>
      </c>
      <c r="O2" s="13">
        <v>624</v>
      </c>
      <c r="P2" s="14">
        <f>M2*O2</f>
        <v>3120</v>
      </c>
      <c r="Q2" s="15">
        <v>0.8</v>
      </c>
      <c r="R2" s="14">
        <f>P2*Q2</f>
        <v>2496</v>
      </c>
      <c r="S2" s="14">
        <f>P2-R2</f>
        <v>624</v>
      </c>
      <c r="T2" s="9" t="s">
        <v>387</v>
      </c>
      <c r="U2" s="9" t="s">
        <v>388</v>
      </c>
      <c r="V2" s="9"/>
    </row>
    <row r="3" spans="1:22">
      <c r="A3" s="16" t="s">
        <v>389</v>
      </c>
      <c r="B3" s="17" t="s">
        <v>31</v>
      </c>
      <c r="C3" s="17" t="s">
        <v>32</v>
      </c>
      <c r="D3" s="18">
        <v>46026</v>
      </c>
      <c r="E3" s="16" t="s">
        <v>41</v>
      </c>
      <c r="F3" s="16" t="s">
        <v>390</v>
      </c>
      <c r="G3" s="16" t="s">
        <v>391</v>
      </c>
      <c r="H3" s="16" t="s">
        <v>392</v>
      </c>
      <c r="I3" s="16" t="s">
        <v>393</v>
      </c>
      <c r="J3" s="16" t="s">
        <v>394</v>
      </c>
      <c r="K3" s="17" t="s">
        <v>45</v>
      </c>
      <c r="L3" s="16"/>
      <c r="M3" s="19">
        <v>1</v>
      </c>
      <c r="N3" s="16" t="s">
        <v>395</v>
      </c>
      <c r="O3" s="20">
        <v>297.60000000000002</v>
      </c>
      <c r="P3" s="21">
        <f>M3*O3</f>
        <v>297.60000000000002</v>
      </c>
      <c r="Q3" s="22">
        <v>0.8</v>
      </c>
      <c r="R3" s="21">
        <f>P3*Q3</f>
        <v>238.08000000000004</v>
      </c>
      <c r="S3" s="21">
        <f>P3-R3</f>
        <v>59.519999999999982</v>
      </c>
      <c r="T3" s="16" t="s">
        <v>387</v>
      </c>
      <c r="U3" s="16" t="s">
        <v>388</v>
      </c>
      <c r="V3" s="16"/>
    </row>
    <row r="4" spans="1:22">
      <c r="A4" s="9" t="s">
        <v>396</v>
      </c>
      <c r="B4" s="10" t="s">
        <v>31</v>
      </c>
      <c r="C4" s="10" t="s">
        <v>32</v>
      </c>
      <c r="D4" s="11">
        <v>46027</v>
      </c>
      <c r="E4" s="9" t="s">
        <v>41</v>
      </c>
      <c r="F4" s="9" t="s">
        <v>390</v>
      </c>
      <c r="G4" s="9" t="s">
        <v>391</v>
      </c>
      <c r="H4" s="9" t="s">
        <v>392</v>
      </c>
      <c r="I4" s="9" t="s">
        <v>393</v>
      </c>
      <c r="J4" s="9" t="s">
        <v>397</v>
      </c>
      <c r="K4" s="10" t="s">
        <v>45</v>
      </c>
      <c r="L4" s="9"/>
      <c r="M4" s="12">
        <v>4</v>
      </c>
      <c r="N4" s="9" t="s">
        <v>398</v>
      </c>
      <c r="O4" s="13">
        <v>177.6</v>
      </c>
      <c r="P4" s="14">
        <f>M4*O4</f>
        <v>710.4</v>
      </c>
      <c r="Q4" s="15">
        <v>0.8</v>
      </c>
      <c r="R4" s="14">
        <f>P4*Q4</f>
        <v>568.32000000000005</v>
      </c>
      <c r="S4" s="14">
        <f>P4-R4</f>
        <v>142.07999999999993</v>
      </c>
      <c r="T4" s="9" t="s">
        <v>387</v>
      </c>
      <c r="U4" s="9" t="s">
        <v>388</v>
      </c>
      <c r="V4" s="9"/>
    </row>
    <row r="5" spans="1:22">
      <c r="A5" s="16" t="s">
        <v>399</v>
      </c>
      <c r="B5" s="17" t="s">
        <v>31</v>
      </c>
      <c r="C5" s="17" t="s">
        <v>32</v>
      </c>
      <c r="D5" s="18">
        <v>46026</v>
      </c>
      <c r="E5" s="16" t="s">
        <v>41</v>
      </c>
      <c r="F5" s="16" t="s">
        <v>400</v>
      </c>
      <c r="G5" s="16" t="s">
        <v>400</v>
      </c>
      <c r="H5" s="16" t="s">
        <v>400</v>
      </c>
      <c r="I5" s="16" t="s">
        <v>401</v>
      </c>
      <c r="J5" s="16" t="s">
        <v>402</v>
      </c>
      <c r="K5" s="17" t="s">
        <v>45</v>
      </c>
      <c r="L5" s="16"/>
      <c r="M5" s="19">
        <v>1</v>
      </c>
      <c r="N5" s="16" t="s">
        <v>403</v>
      </c>
      <c r="O5" s="20">
        <v>91.2</v>
      </c>
      <c r="P5" s="21">
        <f>M5*O5</f>
        <v>91.2</v>
      </c>
      <c r="Q5" s="22">
        <v>0.8</v>
      </c>
      <c r="R5" s="21">
        <f>P5*Q5</f>
        <v>72.960000000000008</v>
      </c>
      <c r="S5" s="21">
        <f>P5-R5</f>
        <v>18.239999999999995</v>
      </c>
      <c r="T5" s="16" t="s">
        <v>387</v>
      </c>
      <c r="U5" s="16" t="s">
        <v>388</v>
      </c>
      <c r="V5" s="16"/>
    </row>
    <row r="6" spans="1:22">
      <c r="A6" s="9" t="s">
        <v>404</v>
      </c>
      <c r="B6" s="10" t="s">
        <v>31</v>
      </c>
      <c r="C6" s="10" t="s">
        <v>32</v>
      </c>
      <c r="D6" s="11">
        <v>46026</v>
      </c>
      <c r="E6" s="9" t="s">
        <v>41</v>
      </c>
      <c r="F6" s="9" t="s">
        <v>400</v>
      </c>
      <c r="G6" s="9" t="s">
        <v>400</v>
      </c>
      <c r="H6" s="9" t="s">
        <v>405</v>
      </c>
      <c r="I6" s="9" t="s">
        <v>406</v>
      </c>
      <c r="J6" s="9" t="s">
        <v>407</v>
      </c>
      <c r="K6" s="10" t="s">
        <v>45</v>
      </c>
      <c r="L6" s="9"/>
      <c r="M6" s="12">
        <v>1</v>
      </c>
      <c r="N6" s="9" t="s">
        <v>408</v>
      </c>
      <c r="O6" s="13">
        <v>124.8</v>
      </c>
      <c r="P6" s="14">
        <f>M6*O6</f>
        <v>124.8</v>
      </c>
      <c r="Q6" s="15">
        <v>0.8</v>
      </c>
      <c r="R6" s="14">
        <f>P6*Q6</f>
        <v>99.84</v>
      </c>
      <c r="S6" s="14">
        <f>P6-R6</f>
        <v>24.959999999999994</v>
      </c>
      <c r="T6" s="9" t="s">
        <v>387</v>
      </c>
      <c r="U6" s="9" t="s">
        <v>388</v>
      </c>
      <c r="V6" s="9"/>
    </row>
    <row r="7" spans="1:22">
      <c r="A7" s="16" t="s">
        <v>409</v>
      </c>
      <c r="B7" s="17" t="s">
        <v>31</v>
      </c>
      <c r="C7" s="17" t="s">
        <v>32</v>
      </c>
      <c r="D7" s="18">
        <v>46026</v>
      </c>
      <c r="E7" s="16" t="s">
        <v>41</v>
      </c>
      <c r="F7" s="16" t="s">
        <v>410</v>
      </c>
      <c r="G7" s="16" t="s">
        <v>410</v>
      </c>
      <c r="H7" s="16" t="s">
        <v>410</v>
      </c>
      <c r="I7" s="16" t="s">
        <v>411</v>
      </c>
      <c r="J7" s="16"/>
      <c r="K7" s="17" t="s">
        <v>45</v>
      </c>
      <c r="L7" s="16"/>
      <c r="M7" s="19">
        <v>5</v>
      </c>
      <c r="N7" s="16" t="s">
        <v>386</v>
      </c>
      <c r="O7" s="20">
        <v>403.2</v>
      </c>
      <c r="P7" s="21">
        <f>M7*O7</f>
        <v>2016</v>
      </c>
      <c r="Q7" s="22">
        <v>0.8</v>
      </c>
      <c r="R7" s="21">
        <f>P7*Q7</f>
        <v>1612.8000000000002</v>
      </c>
      <c r="S7" s="21">
        <f>P7-R7</f>
        <v>403.19999999999982</v>
      </c>
      <c r="T7" s="16" t="s">
        <v>387</v>
      </c>
      <c r="U7" s="16" t="s">
        <v>388</v>
      </c>
      <c r="V7" s="16"/>
    </row>
    <row r="8" spans="1:22">
      <c r="A8" s="9" t="s">
        <v>412</v>
      </c>
      <c r="B8" s="10" t="s">
        <v>31</v>
      </c>
      <c r="C8" s="10" t="s">
        <v>32</v>
      </c>
      <c r="D8" s="11">
        <v>46026</v>
      </c>
      <c r="E8" s="9" t="s">
        <v>41</v>
      </c>
      <c r="F8" s="9" t="s">
        <v>413</v>
      </c>
      <c r="G8" s="9" t="s">
        <v>414</v>
      </c>
      <c r="H8" s="9" t="s">
        <v>415</v>
      </c>
      <c r="I8" s="9" t="s">
        <v>416</v>
      </c>
      <c r="J8" s="9"/>
      <c r="K8" s="10" t="s">
        <v>45</v>
      </c>
      <c r="L8" s="9"/>
      <c r="M8" s="12">
        <v>2</v>
      </c>
      <c r="N8" s="9" t="s">
        <v>417</v>
      </c>
      <c r="O8" s="13">
        <v>336</v>
      </c>
      <c r="P8" s="14">
        <f>M8*O8</f>
        <v>672</v>
      </c>
      <c r="Q8" s="15">
        <v>0.8</v>
      </c>
      <c r="R8" s="14">
        <f>P8*Q8</f>
        <v>537.6</v>
      </c>
      <c r="S8" s="14">
        <f>P8-R8</f>
        <v>134.39999999999998</v>
      </c>
      <c r="T8" s="9" t="s">
        <v>387</v>
      </c>
      <c r="U8" s="9" t="s">
        <v>388</v>
      </c>
      <c r="V8" s="9"/>
    </row>
    <row r="9" spans="1:22">
      <c r="A9" s="16" t="s">
        <v>418</v>
      </c>
      <c r="B9" s="17" t="s">
        <v>31</v>
      </c>
      <c r="C9" s="17" t="s">
        <v>32</v>
      </c>
      <c r="D9" s="18">
        <v>46026</v>
      </c>
      <c r="E9" s="16" t="s">
        <v>41</v>
      </c>
      <c r="F9" s="16" t="s">
        <v>419</v>
      </c>
      <c r="G9" s="16" t="s">
        <v>420</v>
      </c>
      <c r="H9" s="16" t="s">
        <v>421</v>
      </c>
      <c r="I9" s="16" t="s">
        <v>422</v>
      </c>
      <c r="J9" s="16" t="s">
        <v>423</v>
      </c>
      <c r="K9" s="17" t="s">
        <v>45</v>
      </c>
      <c r="L9" s="16"/>
      <c r="M9" s="19">
        <v>1</v>
      </c>
      <c r="N9" s="16" t="s">
        <v>424</v>
      </c>
      <c r="O9" s="20">
        <v>201.6</v>
      </c>
      <c r="P9" s="21">
        <f>M9*O9</f>
        <v>201.6</v>
      </c>
      <c r="Q9" s="22">
        <v>0.8</v>
      </c>
      <c r="R9" s="21">
        <f>P9*Q9</f>
        <v>161.28</v>
      </c>
      <c r="S9" s="21">
        <f>P9-R9</f>
        <v>40.319999999999993</v>
      </c>
      <c r="T9" s="16" t="s">
        <v>387</v>
      </c>
      <c r="U9" s="16" t="s">
        <v>388</v>
      </c>
      <c r="V9" s="16"/>
    </row>
    <row r="10" spans="1:22">
      <c r="A10" s="9" t="s">
        <v>425</v>
      </c>
      <c r="B10" s="10" t="s">
        <v>31</v>
      </c>
      <c r="C10" s="10" t="s">
        <v>32</v>
      </c>
      <c r="D10" s="11">
        <v>46026</v>
      </c>
      <c r="E10" s="9" t="s">
        <v>41</v>
      </c>
      <c r="F10" s="9" t="s">
        <v>426</v>
      </c>
      <c r="G10" s="9" t="s">
        <v>427</v>
      </c>
      <c r="H10" s="9" t="s">
        <v>428</v>
      </c>
      <c r="I10" s="9" t="s">
        <v>429</v>
      </c>
      <c r="J10" s="9" t="s">
        <v>430</v>
      </c>
      <c r="K10" s="10" t="s">
        <v>45</v>
      </c>
      <c r="L10" s="9"/>
      <c r="M10" s="12">
        <v>5</v>
      </c>
      <c r="N10" s="9" t="s">
        <v>431</v>
      </c>
      <c r="O10" s="13">
        <v>201.6</v>
      </c>
      <c r="P10" s="14">
        <f>M10*O10</f>
        <v>1008</v>
      </c>
      <c r="Q10" s="15">
        <v>0.8</v>
      </c>
      <c r="R10" s="14">
        <f>P10*Q10</f>
        <v>806.40000000000009</v>
      </c>
      <c r="S10" s="14">
        <f>P10-R10</f>
        <v>201.59999999999991</v>
      </c>
      <c r="T10" s="9" t="s">
        <v>387</v>
      </c>
      <c r="U10" s="9" t="s">
        <v>388</v>
      </c>
      <c r="V10" s="9"/>
    </row>
    <row r="11" spans="1:22">
      <c r="A11" s="16" t="s">
        <v>432</v>
      </c>
      <c r="B11" s="17" t="s">
        <v>57</v>
      </c>
      <c r="C11" s="17" t="s">
        <v>58</v>
      </c>
      <c r="D11" s="18">
        <v>46034</v>
      </c>
      <c r="E11" s="16" t="s">
        <v>41</v>
      </c>
      <c r="F11" s="16" t="s">
        <v>63</v>
      </c>
      <c r="G11" s="16" t="s">
        <v>384</v>
      </c>
      <c r="H11" s="16" t="s">
        <v>433</v>
      </c>
      <c r="I11" s="16" t="s">
        <v>434</v>
      </c>
      <c r="J11" s="16"/>
      <c r="K11" s="17" t="s">
        <v>66</v>
      </c>
      <c r="L11" s="16"/>
      <c r="M11" s="19">
        <v>2</v>
      </c>
      <c r="N11" s="16" t="s">
        <v>386</v>
      </c>
      <c r="O11" s="20">
        <v>1029</v>
      </c>
      <c r="P11" s="21">
        <f>M11*O11</f>
        <v>2058</v>
      </c>
      <c r="Q11" s="22">
        <v>0.8</v>
      </c>
      <c r="R11" s="21">
        <f>P11*Q11</f>
        <v>1646.4</v>
      </c>
      <c r="S11" s="21">
        <f>P11-R11</f>
        <v>411.59999999999991</v>
      </c>
      <c r="T11" s="16" t="s">
        <v>387</v>
      </c>
      <c r="U11" s="16" t="s">
        <v>388</v>
      </c>
      <c r="V11" s="16"/>
    </row>
    <row r="12" spans="1:22">
      <c r="A12" s="9" t="s">
        <v>435</v>
      </c>
      <c r="B12" s="10" t="s">
        <v>57</v>
      </c>
      <c r="C12" s="10" t="s">
        <v>58</v>
      </c>
      <c r="D12" s="11">
        <v>46034</v>
      </c>
      <c r="E12" s="9" t="s">
        <v>41</v>
      </c>
      <c r="F12" s="9" t="s">
        <v>390</v>
      </c>
      <c r="G12" s="9" t="s">
        <v>391</v>
      </c>
      <c r="H12" s="9" t="s">
        <v>392</v>
      </c>
      <c r="I12" s="9" t="s">
        <v>393</v>
      </c>
      <c r="J12" s="9" t="s">
        <v>394</v>
      </c>
      <c r="K12" s="10" t="s">
        <v>66</v>
      </c>
      <c r="L12" s="9"/>
      <c r="M12" s="12">
        <v>1</v>
      </c>
      <c r="N12" s="9" t="s">
        <v>395</v>
      </c>
      <c r="O12" s="13">
        <v>303.8</v>
      </c>
      <c r="P12" s="14">
        <f>M12*O12</f>
        <v>303.8</v>
      </c>
      <c r="Q12" s="15">
        <v>0.8</v>
      </c>
      <c r="R12" s="14">
        <f>P12*Q12</f>
        <v>243.04000000000002</v>
      </c>
      <c r="S12" s="14">
        <f>P12-R12</f>
        <v>60.759999999999991</v>
      </c>
      <c r="T12" s="9" t="s">
        <v>387</v>
      </c>
      <c r="U12" s="9" t="s">
        <v>388</v>
      </c>
      <c r="V12" s="9"/>
    </row>
    <row r="13" spans="1:22">
      <c r="A13" s="16" t="s">
        <v>436</v>
      </c>
      <c r="B13" s="17" t="s">
        <v>57</v>
      </c>
      <c r="C13" s="17" t="s">
        <v>58</v>
      </c>
      <c r="D13" s="18">
        <v>46035</v>
      </c>
      <c r="E13" s="16" t="s">
        <v>41</v>
      </c>
      <c r="F13" s="16" t="s">
        <v>390</v>
      </c>
      <c r="G13" s="16" t="s">
        <v>391</v>
      </c>
      <c r="H13" s="16" t="s">
        <v>392</v>
      </c>
      <c r="I13" s="16" t="s">
        <v>393</v>
      </c>
      <c r="J13" s="16" t="s">
        <v>397</v>
      </c>
      <c r="K13" s="17" t="s">
        <v>66</v>
      </c>
      <c r="L13" s="16"/>
      <c r="M13" s="19">
        <v>1</v>
      </c>
      <c r="N13" s="16" t="s">
        <v>398</v>
      </c>
      <c r="O13" s="20">
        <v>181.3</v>
      </c>
      <c r="P13" s="21">
        <f>M13*O13</f>
        <v>181.3</v>
      </c>
      <c r="Q13" s="22">
        <v>0.8</v>
      </c>
      <c r="R13" s="21">
        <f>P13*Q13</f>
        <v>145.04000000000002</v>
      </c>
      <c r="S13" s="21">
        <f>P13-R13</f>
        <v>36.259999999999991</v>
      </c>
      <c r="T13" s="16" t="s">
        <v>387</v>
      </c>
      <c r="U13" s="16" t="s">
        <v>388</v>
      </c>
      <c r="V13" s="16"/>
    </row>
    <row r="14" spans="1:22">
      <c r="A14" s="9" t="s">
        <v>437</v>
      </c>
      <c r="B14" s="10" t="s">
        <v>57</v>
      </c>
      <c r="C14" s="10" t="s">
        <v>58</v>
      </c>
      <c r="D14" s="11">
        <v>46034</v>
      </c>
      <c r="E14" s="9" t="s">
        <v>41</v>
      </c>
      <c r="F14" s="9" t="s">
        <v>400</v>
      </c>
      <c r="G14" s="9" t="s">
        <v>400</v>
      </c>
      <c r="H14" s="9" t="s">
        <v>400</v>
      </c>
      <c r="I14" s="9" t="s">
        <v>401</v>
      </c>
      <c r="J14" s="9" t="s">
        <v>402</v>
      </c>
      <c r="K14" s="10" t="s">
        <v>66</v>
      </c>
      <c r="L14" s="9"/>
      <c r="M14" s="12">
        <v>1</v>
      </c>
      <c r="N14" s="9" t="s">
        <v>403</v>
      </c>
      <c r="O14" s="13">
        <v>93.1</v>
      </c>
      <c r="P14" s="14">
        <f>M14*O14</f>
        <v>93.1</v>
      </c>
      <c r="Q14" s="15">
        <v>0.8</v>
      </c>
      <c r="R14" s="14">
        <f>P14*Q14</f>
        <v>74.48</v>
      </c>
      <c r="S14" s="14">
        <f>P14-R14</f>
        <v>18.61999999999999</v>
      </c>
      <c r="T14" s="9" t="s">
        <v>387</v>
      </c>
      <c r="U14" s="9" t="s">
        <v>388</v>
      </c>
      <c r="V14" s="9"/>
    </row>
    <row r="15" spans="1:22">
      <c r="A15" s="16" t="s">
        <v>438</v>
      </c>
      <c r="B15" s="17" t="s">
        <v>57</v>
      </c>
      <c r="C15" s="17" t="s">
        <v>58</v>
      </c>
      <c r="D15" s="18">
        <v>46034</v>
      </c>
      <c r="E15" s="16" t="s">
        <v>41</v>
      </c>
      <c r="F15" s="16" t="s">
        <v>400</v>
      </c>
      <c r="G15" s="16" t="s">
        <v>400</v>
      </c>
      <c r="H15" s="16" t="s">
        <v>405</v>
      </c>
      <c r="I15" s="16" t="s">
        <v>406</v>
      </c>
      <c r="J15" s="16" t="s">
        <v>407</v>
      </c>
      <c r="K15" s="17" t="s">
        <v>66</v>
      </c>
      <c r="L15" s="16"/>
      <c r="M15" s="19">
        <v>1</v>
      </c>
      <c r="N15" s="16" t="s">
        <v>408</v>
      </c>
      <c r="O15" s="20">
        <v>127.4</v>
      </c>
      <c r="P15" s="21">
        <f>M15*O15</f>
        <v>127.4</v>
      </c>
      <c r="Q15" s="22">
        <v>0.8</v>
      </c>
      <c r="R15" s="21">
        <f>P15*Q15</f>
        <v>101.92000000000002</v>
      </c>
      <c r="S15" s="21">
        <f>P15-R15</f>
        <v>25.47999999999999</v>
      </c>
      <c r="T15" s="16" t="s">
        <v>387</v>
      </c>
      <c r="U15" s="16" t="s">
        <v>388</v>
      </c>
      <c r="V15" s="16"/>
    </row>
    <row r="16" spans="1:22">
      <c r="A16" s="9" t="s">
        <v>439</v>
      </c>
      <c r="B16" s="10" t="s">
        <v>57</v>
      </c>
      <c r="C16" s="10" t="s">
        <v>58</v>
      </c>
      <c r="D16" s="11">
        <v>46034</v>
      </c>
      <c r="E16" s="9" t="s">
        <v>41</v>
      </c>
      <c r="F16" s="9" t="s">
        <v>410</v>
      </c>
      <c r="G16" s="9" t="s">
        <v>410</v>
      </c>
      <c r="H16" s="9" t="s">
        <v>410</v>
      </c>
      <c r="I16" s="9" t="s">
        <v>411</v>
      </c>
      <c r="J16" s="9"/>
      <c r="K16" s="10" t="s">
        <v>66</v>
      </c>
      <c r="L16" s="9"/>
      <c r="M16" s="12">
        <v>2</v>
      </c>
      <c r="N16" s="9" t="s">
        <v>386</v>
      </c>
      <c r="O16" s="13">
        <v>411.6</v>
      </c>
      <c r="P16" s="14">
        <f>M16*O16</f>
        <v>823.2</v>
      </c>
      <c r="Q16" s="15">
        <v>0.8</v>
      </c>
      <c r="R16" s="14">
        <f>P16*Q16</f>
        <v>658.56000000000006</v>
      </c>
      <c r="S16" s="14">
        <f>P16-R16</f>
        <v>164.64</v>
      </c>
      <c r="T16" s="9" t="s">
        <v>387</v>
      </c>
      <c r="U16" s="9" t="s">
        <v>388</v>
      </c>
      <c r="V16" s="9"/>
    </row>
    <row r="17" spans="1:22">
      <c r="A17" s="16" t="s">
        <v>440</v>
      </c>
      <c r="B17" s="17" t="s">
        <v>57</v>
      </c>
      <c r="C17" s="17" t="s">
        <v>58</v>
      </c>
      <c r="D17" s="18">
        <v>46034</v>
      </c>
      <c r="E17" s="16" t="s">
        <v>41</v>
      </c>
      <c r="F17" s="16" t="s">
        <v>413</v>
      </c>
      <c r="G17" s="16" t="s">
        <v>414</v>
      </c>
      <c r="H17" s="16" t="s">
        <v>415</v>
      </c>
      <c r="I17" s="16" t="s">
        <v>416</v>
      </c>
      <c r="J17" s="16"/>
      <c r="K17" s="17" t="s">
        <v>66</v>
      </c>
      <c r="L17" s="16"/>
      <c r="M17" s="19">
        <v>1</v>
      </c>
      <c r="N17" s="16" t="s">
        <v>417</v>
      </c>
      <c r="O17" s="20">
        <v>343</v>
      </c>
      <c r="P17" s="21">
        <f>M17*O17</f>
        <v>343</v>
      </c>
      <c r="Q17" s="22">
        <v>0.8</v>
      </c>
      <c r="R17" s="21">
        <f>P17*Q17</f>
        <v>274.40000000000003</v>
      </c>
      <c r="S17" s="21">
        <f>P17-R17</f>
        <v>68.599999999999966</v>
      </c>
      <c r="T17" s="16" t="s">
        <v>387</v>
      </c>
      <c r="U17" s="16" t="s">
        <v>388</v>
      </c>
      <c r="V17" s="16"/>
    </row>
    <row r="18" spans="1:22">
      <c r="A18" s="9" t="s">
        <v>441</v>
      </c>
      <c r="B18" s="10" t="s">
        <v>57</v>
      </c>
      <c r="C18" s="10" t="s">
        <v>58</v>
      </c>
      <c r="D18" s="11">
        <v>46034</v>
      </c>
      <c r="E18" s="9" t="s">
        <v>41</v>
      </c>
      <c r="F18" s="9" t="s">
        <v>419</v>
      </c>
      <c r="G18" s="9" t="s">
        <v>420</v>
      </c>
      <c r="H18" s="9" t="s">
        <v>421</v>
      </c>
      <c r="I18" s="9" t="s">
        <v>422</v>
      </c>
      <c r="J18" s="9" t="s">
        <v>423</v>
      </c>
      <c r="K18" s="10" t="s">
        <v>66</v>
      </c>
      <c r="L18" s="9"/>
      <c r="M18" s="12">
        <v>1</v>
      </c>
      <c r="N18" s="9" t="s">
        <v>424</v>
      </c>
      <c r="O18" s="13">
        <v>205.8</v>
      </c>
      <c r="P18" s="14">
        <f>M18*O18</f>
        <v>205.8</v>
      </c>
      <c r="Q18" s="15">
        <v>0.8</v>
      </c>
      <c r="R18" s="14">
        <f>P18*Q18</f>
        <v>164.64000000000001</v>
      </c>
      <c r="S18" s="14">
        <f>P18-R18</f>
        <v>41.16</v>
      </c>
      <c r="T18" s="9" t="s">
        <v>387</v>
      </c>
      <c r="U18" s="9" t="s">
        <v>388</v>
      </c>
      <c r="V18" s="9"/>
    </row>
    <row r="19" spans="1:22">
      <c r="A19" s="16" t="s">
        <v>442</v>
      </c>
      <c r="B19" s="17" t="s">
        <v>57</v>
      </c>
      <c r="C19" s="17" t="s">
        <v>58</v>
      </c>
      <c r="D19" s="18">
        <v>46034</v>
      </c>
      <c r="E19" s="16" t="s">
        <v>41</v>
      </c>
      <c r="F19" s="16" t="s">
        <v>443</v>
      </c>
      <c r="G19" s="16" t="s">
        <v>444</v>
      </c>
      <c r="H19" s="16" t="s">
        <v>445</v>
      </c>
      <c r="I19" s="16" t="s">
        <v>446</v>
      </c>
      <c r="J19" s="16" t="s">
        <v>447</v>
      </c>
      <c r="K19" s="17" t="s">
        <v>66</v>
      </c>
      <c r="L19" s="16"/>
      <c r="M19" s="19">
        <v>1</v>
      </c>
      <c r="N19" s="16" t="s">
        <v>424</v>
      </c>
      <c r="O19" s="20">
        <v>112.7</v>
      </c>
      <c r="P19" s="21">
        <f>M19*O19</f>
        <v>112.7</v>
      </c>
      <c r="Q19" s="22">
        <v>0.8</v>
      </c>
      <c r="R19" s="21">
        <f>P19*Q19</f>
        <v>90.160000000000011</v>
      </c>
      <c r="S19" s="21">
        <f>P19-R19</f>
        <v>22.539999999999992</v>
      </c>
      <c r="T19" s="16" t="s">
        <v>387</v>
      </c>
      <c r="U19" s="16" t="s">
        <v>388</v>
      </c>
      <c r="V19" s="16"/>
    </row>
    <row r="20" spans="1:22">
      <c r="A20" s="9" t="s">
        <v>448</v>
      </c>
      <c r="B20" s="10" t="s">
        <v>57</v>
      </c>
      <c r="C20" s="10" t="s">
        <v>58</v>
      </c>
      <c r="D20" s="11">
        <v>46035</v>
      </c>
      <c r="E20" s="9" t="s">
        <v>41</v>
      </c>
      <c r="F20" s="9" t="s">
        <v>443</v>
      </c>
      <c r="G20" s="9" t="s">
        <v>444</v>
      </c>
      <c r="H20" s="9" t="s">
        <v>449</v>
      </c>
      <c r="I20" s="9" t="s">
        <v>450</v>
      </c>
      <c r="J20" s="9" t="s">
        <v>451</v>
      </c>
      <c r="K20" s="10" t="s">
        <v>66</v>
      </c>
      <c r="L20" s="9"/>
      <c r="M20" s="12">
        <v>1</v>
      </c>
      <c r="N20" s="9" t="s">
        <v>424</v>
      </c>
      <c r="O20" s="13">
        <v>872.2</v>
      </c>
      <c r="P20" s="14">
        <f>M20*O20</f>
        <v>872.2</v>
      </c>
      <c r="Q20" s="15">
        <v>0.8</v>
      </c>
      <c r="R20" s="14">
        <f>P20*Q20</f>
        <v>697.7600000000001</v>
      </c>
      <c r="S20" s="14">
        <f>P20-R20</f>
        <v>174.43999999999994</v>
      </c>
      <c r="T20" s="9" t="s">
        <v>387</v>
      </c>
      <c r="U20" s="9" t="s">
        <v>388</v>
      </c>
      <c r="V20" s="9"/>
    </row>
    <row r="21" spans="1:22">
      <c r="A21" s="16" t="s">
        <v>452</v>
      </c>
      <c r="B21" s="17" t="s">
        <v>75</v>
      </c>
      <c r="C21" s="17" t="s">
        <v>76</v>
      </c>
      <c r="D21" s="18">
        <v>46042</v>
      </c>
      <c r="E21" s="16" t="s">
        <v>41</v>
      </c>
      <c r="F21" s="16" t="s">
        <v>80</v>
      </c>
      <c r="G21" s="16" t="s">
        <v>384</v>
      </c>
      <c r="H21" s="16" t="s">
        <v>384</v>
      </c>
      <c r="I21" s="16" t="s">
        <v>385</v>
      </c>
      <c r="J21" s="16"/>
      <c r="K21" s="17" t="s">
        <v>83</v>
      </c>
      <c r="L21" s="16"/>
      <c r="M21" s="19">
        <v>5</v>
      </c>
      <c r="N21" s="16" t="s">
        <v>386</v>
      </c>
      <c r="O21" s="20">
        <v>725</v>
      </c>
      <c r="P21" s="21">
        <f>M21*O21</f>
        <v>3625</v>
      </c>
      <c r="Q21" s="22">
        <v>0.8</v>
      </c>
      <c r="R21" s="21">
        <f>P21*Q21</f>
        <v>2900</v>
      </c>
      <c r="S21" s="21">
        <f>P21-R21</f>
        <v>725</v>
      </c>
      <c r="T21" s="16" t="s">
        <v>387</v>
      </c>
      <c r="U21" s="16" t="s">
        <v>388</v>
      </c>
      <c r="V21" s="16"/>
    </row>
    <row r="22" spans="1:22">
      <c r="A22" s="9" t="s">
        <v>453</v>
      </c>
      <c r="B22" s="10" t="s">
        <v>75</v>
      </c>
      <c r="C22" s="10" t="s">
        <v>76</v>
      </c>
      <c r="D22" s="11">
        <v>46042</v>
      </c>
      <c r="E22" s="9" t="s">
        <v>41</v>
      </c>
      <c r="F22" s="9" t="s">
        <v>390</v>
      </c>
      <c r="G22" s="9" t="s">
        <v>391</v>
      </c>
      <c r="H22" s="9" t="s">
        <v>392</v>
      </c>
      <c r="I22" s="9" t="s">
        <v>393</v>
      </c>
      <c r="J22" s="9" t="s">
        <v>394</v>
      </c>
      <c r="K22" s="10" t="s">
        <v>83</v>
      </c>
      <c r="L22" s="9"/>
      <c r="M22" s="12">
        <v>1</v>
      </c>
      <c r="N22" s="9" t="s">
        <v>395</v>
      </c>
      <c r="O22" s="13">
        <v>310</v>
      </c>
      <c r="P22" s="14">
        <f>M22*O22</f>
        <v>310</v>
      </c>
      <c r="Q22" s="15">
        <v>0.8</v>
      </c>
      <c r="R22" s="14">
        <f>P22*Q22</f>
        <v>248</v>
      </c>
      <c r="S22" s="14">
        <f>P22-R22</f>
        <v>62</v>
      </c>
      <c r="T22" s="9" t="s">
        <v>387</v>
      </c>
      <c r="U22" s="9" t="s">
        <v>388</v>
      </c>
      <c r="V22" s="9"/>
    </row>
    <row r="23" spans="1:22">
      <c r="A23" s="16" t="s">
        <v>454</v>
      </c>
      <c r="B23" s="17" t="s">
        <v>75</v>
      </c>
      <c r="C23" s="17" t="s">
        <v>76</v>
      </c>
      <c r="D23" s="18">
        <v>46043</v>
      </c>
      <c r="E23" s="16" t="s">
        <v>41</v>
      </c>
      <c r="F23" s="16" t="s">
        <v>390</v>
      </c>
      <c r="G23" s="16" t="s">
        <v>391</v>
      </c>
      <c r="H23" s="16" t="s">
        <v>392</v>
      </c>
      <c r="I23" s="16" t="s">
        <v>393</v>
      </c>
      <c r="J23" s="16" t="s">
        <v>397</v>
      </c>
      <c r="K23" s="17" t="s">
        <v>83</v>
      </c>
      <c r="L23" s="16"/>
      <c r="M23" s="19">
        <v>4</v>
      </c>
      <c r="N23" s="16" t="s">
        <v>398</v>
      </c>
      <c r="O23" s="20">
        <v>185</v>
      </c>
      <c r="P23" s="21">
        <f>M23*O23</f>
        <v>740</v>
      </c>
      <c r="Q23" s="22">
        <v>0.8</v>
      </c>
      <c r="R23" s="21">
        <f>P23*Q23</f>
        <v>592</v>
      </c>
      <c r="S23" s="21">
        <f>P23-R23</f>
        <v>148</v>
      </c>
      <c r="T23" s="16" t="s">
        <v>387</v>
      </c>
      <c r="U23" s="16" t="s">
        <v>388</v>
      </c>
      <c r="V23" s="16"/>
    </row>
    <row r="24" spans="1:22">
      <c r="A24" s="9" t="s">
        <v>455</v>
      </c>
      <c r="B24" s="10" t="s">
        <v>75</v>
      </c>
      <c r="C24" s="10" t="s">
        <v>76</v>
      </c>
      <c r="D24" s="11">
        <v>46042</v>
      </c>
      <c r="E24" s="9" t="s">
        <v>41</v>
      </c>
      <c r="F24" s="9" t="s">
        <v>400</v>
      </c>
      <c r="G24" s="9" t="s">
        <v>400</v>
      </c>
      <c r="H24" s="9" t="s">
        <v>400</v>
      </c>
      <c r="I24" s="9" t="s">
        <v>401</v>
      </c>
      <c r="J24" s="9" t="s">
        <v>402</v>
      </c>
      <c r="K24" s="10" t="s">
        <v>83</v>
      </c>
      <c r="L24" s="9"/>
      <c r="M24" s="12">
        <v>1</v>
      </c>
      <c r="N24" s="9" t="s">
        <v>403</v>
      </c>
      <c r="O24" s="13">
        <v>95</v>
      </c>
      <c r="P24" s="14">
        <f>M24*O24</f>
        <v>95</v>
      </c>
      <c r="Q24" s="15">
        <v>0.8</v>
      </c>
      <c r="R24" s="14">
        <f>P24*Q24</f>
        <v>76</v>
      </c>
      <c r="S24" s="14">
        <f>P24-R24</f>
        <v>19</v>
      </c>
      <c r="T24" s="9" t="s">
        <v>387</v>
      </c>
      <c r="U24" s="9" t="s">
        <v>388</v>
      </c>
      <c r="V24" s="9"/>
    </row>
    <row r="25" spans="1:22">
      <c r="A25" s="16" t="s">
        <v>456</v>
      </c>
      <c r="B25" s="17" t="s">
        <v>75</v>
      </c>
      <c r="C25" s="17" t="s">
        <v>76</v>
      </c>
      <c r="D25" s="18">
        <v>46042</v>
      </c>
      <c r="E25" s="16" t="s">
        <v>41</v>
      </c>
      <c r="F25" s="16" t="s">
        <v>400</v>
      </c>
      <c r="G25" s="16" t="s">
        <v>400</v>
      </c>
      <c r="H25" s="16" t="s">
        <v>405</v>
      </c>
      <c r="I25" s="16" t="s">
        <v>406</v>
      </c>
      <c r="J25" s="16" t="s">
        <v>407</v>
      </c>
      <c r="K25" s="17" t="s">
        <v>83</v>
      </c>
      <c r="L25" s="16"/>
      <c r="M25" s="19">
        <v>1</v>
      </c>
      <c r="N25" s="16" t="s">
        <v>408</v>
      </c>
      <c r="O25" s="20">
        <v>130</v>
      </c>
      <c r="P25" s="21">
        <f>M25*O25</f>
        <v>130</v>
      </c>
      <c r="Q25" s="22">
        <v>0.8</v>
      </c>
      <c r="R25" s="21">
        <f>P25*Q25</f>
        <v>104</v>
      </c>
      <c r="S25" s="21">
        <f>P25-R25</f>
        <v>26</v>
      </c>
      <c r="T25" s="16" t="s">
        <v>387</v>
      </c>
      <c r="U25" s="16" t="s">
        <v>388</v>
      </c>
      <c r="V25" s="16"/>
    </row>
    <row r="26" spans="1:22">
      <c r="A26" s="9" t="s">
        <v>457</v>
      </c>
      <c r="B26" s="10" t="s">
        <v>75</v>
      </c>
      <c r="C26" s="10" t="s">
        <v>76</v>
      </c>
      <c r="D26" s="11">
        <v>46042</v>
      </c>
      <c r="E26" s="9" t="s">
        <v>41</v>
      </c>
      <c r="F26" s="9" t="s">
        <v>410</v>
      </c>
      <c r="G26" s="9" t="s">
        <v>410</v>
      </c>
      <c r="H26" s="9" t="s">
        <v>410</v>
      </c>
      <c r="I26" s="9" t="s">
        <v>411</v>
      </c>
      <c r="J26" s="9"/>
      <c r="K26" s="10" t="s">
        <v>83</v>
      </c>
      <c r="L26" s="9"/>
      <c r="M26" s="12">
        <v>5</v>
      </c>
      <c r="N26" s="9" t="s">
        <v>386</v>
      </c>
      <c r="O26" s="13">
        <v>420</v>
      </c>
      <c r="P26" s="14">
        <f>M26*O26</f>
        <v>2100</v>
      </c>
      <c r="Q26" s="15">
        <v>0.8</v>
      </c>
      <c r="R26" s="14">
        <f>P26*Q26</f>
        <v>1680</v>
      </c>
      <c r="S26" s="14">
        <f>P26-R26</f>
        <v>420</v>
      </c>
      <c r="T26" s="9" t="s">
        <v>387</v>
      </c>
      <c r="U26" s="9" t="s">
        <v>388</v>
      </c>
      <c r="V26" s="9"/>
    </row>
    <row r="27" spans="1:22">
      <c r="A27" s="16" t="s">
        <v>458</v>
      </c>
      <c r="B27" s="17" t="s">
        <v>75</v>
      </c>
      <c r="C27" s="17" t="s">
        <v>76</v>
      </c>
      <c r="D27" s="18">
        <v>46042</v>
      </c>
      <c r="E27" s="16" t="s">
        <v>41</v>
      </c>
      <c r="F27" s="16" t="s">
        <v>413</v>
      </c>
      <c r="G27" s="16" t="s">
        <v>414</v>
      </c>
      <c r="H27" s="16" t="s">
        <v>415</v>
      </c>
      <c r="I27" s="16" t="s">
        <v>416</v>
      </c>
      <c r="J27" s="16"/>
      <c r="K27" s="17" t="s">
        <v>83</v>
      </c>
      <c r="L27" s="16"/>
      <c r="M27" s="19">
        <v>2</v>
      </c>
      <c r="N27" s="16" t="s">
        <v>417</v>
      </c>
      <c r="O27" s="20">
        <v>350</v>
      </c>
      <c r="P27" s="21">
        <f>M27*O27</f>
        <v>700</v>
      </c>
      <c r="Q27" s="22">
        <v>0.8</v>
      </c>
      <c r="R27" s="21">
        <f>P27*Q27</f>
        <v>560</v>
      </c>
      <c r="S27" s="21">
        <f>P27-R27</f>
        <v>140</v>
      </c>
      <c r="T27" s="16" t="s">
        <v>387</v>
      </c>
      <c r="U27" s="16" t="s">
        <v>388</v>
      </c>
      <c r="V27" s="16"/>
    </row>
    <row r="28" spans="1:22">
      <c r="A28" s="9" t="s">
        <v>459</v>
      </c>
      <c r="B28" s="10" t="s">
        <v>75</v>
      </c>
      <c r="C28" s="10" t="s">
        <v>76</v>
      </c>
      <c r="D28" s="11">
        <v>46042</v>
      </c>
      <c r="E28" s="9" t="s">
        <v>41</v>
      </c>
      <c r="F28" s="9" t="s">
        <v>419</v>
      </c>
      <c r="G28" s="9" t="s">
        <v>420</v>
      </c>
      <c r="H28" s="9" t="s">
        <v>460</v>
      </c>
      <c r="I28" s="9" t="s">
        <v>461</v>
      </c>
      <c r="J28" s="9" t="s">
        <v>462</v>
      </c>
      <c r="K28" s="10" t="s">
        <v>83</v>
      </c>
      <c r="L28" s="9"/>
      <c r="M28" s="12">
        <v>1</v>
      </c>
      <c r="N28" s="9" t="s">
        <v>424</v>
      </c>
      <c r="O28" s="13">
        <v>1450</v>
      </c>
      <c r="P28" s="14">
        <f>M28*O28</f>
        <v>1450</v>
      </c>
      <c r="Q28" s="15">
        <v>0.8</v>
      </c>
      <c r="R28" s="14">
        <f>P28*Q28</f>
        <v>1160</v>
      </c>
      <c r="S28" s="14">
        <f>P28-R28</f>
        <v>290</v>
      </c>
      <c r="T28" s="9" t="s">
        <v>387</v>
      </c>
      <c r="U28" s="9" t="s">
        <v>388</v>
      </c>
      <c r="V28" s="9"/>
    </row>
    <row r="29" spans="1:22">
      <c r="A29" s="16" t="s">
        <v>463</v>
      </c>
      <c r="B29" s="17" t="s">
        <v>75</v>
      </c>
      <c r="C29" s="17" t="s">
        <v>76</v>
      </c>
      <c r="D29" s="18">
        <v>46043</v>
      </c>
      <c r="E29" s="16" t="s">
        <v>41</v>
      </c>
      <c r="F29" s="16" t="s">
        <v>464</v>
      </c>
      <c r="G29" s="16" t="s">
        <v>465</v>
      </c>
      <c r="H29" s="16" t="s">
        <v>466</v>
      </c>
      <c r="I29" s="16" t="s">
        <v>467</v>
      </c>
      <c r="J29" s="16" t="s">
        <v>394</v>
      </c>
      <c r="K29" s="17" t="s">
        <v>83</v>
      </c>
      <c r="L29" s="16"/>
      <c r="M29" s="19">
        <v>1</v>
      </c>
      <c r="N29" s="16" t="s">
        <v>468</v>
      </c>
      <c r="O29" s="20">
        <v>3200</v>
      </c>
      <c r="P29" s="21">
        <f>M29*O29</f>
        <v>3200</v>
      </c>
      <c r="Q29" s="22">
        <v>0.8</v>
      </c>
      <c r="R29" s="21">
        <f>P29*Q29</f>
        <v>2560</v>
      </c>
      <c r="S29" s="21">
        <f>P29-R29</f>
        <v>640</v>
      </c>
      <c r="T29" s="16" t="s">
        <v>387</v>
      </c>
      <c r="U29" s="16" t="s">
        <v>388</v>
      </c>
      <c r="V29" s="16"/>
    </row>
    <row r="30" spans="1:22">
      <c r="A30" s="9" t="s">
        <v>469</v>
      </c>
      <c r="B30" s="10" t="s">
        <v>75</v>
      </c>
      <c r="C30" s="10" t="s">
        <v>76</v>
      </c>
      <c r="D30" s="11">
        <v>46043</v>
      </c>
      <c r="E30" s="9" t="s">
        <v>41</v>
      </c>
      <c r="F30" s="9" t="s">
        <v>470</v>
      </c>
      <c r="G30" s="9" t="s">
        <v>471</v>
      </c>
      <c r="H30" s="9" t="s">
        <v>471</v>
      </c>
      <c r="I30" s="9" t="s">
        <v>472</v>
      </c>
      <c r="J30" s="9" t="s">
        <v>473</v>
      </c>
      <c r="K30" s="10" t="s">
        <v>83</v>
      </c>
      <c r="L30" s="9"/>
      <c r="M30" s="12">
        <v>1</v>
      </c>
      <c r="N30" s="9" t="s">
        <v>468</v>
      </c>
      <c r="O30" s="13">
        <v>1250</v>
      </c>
      <c r="P30" s="14">
        <f>M30*O30</f>
        <v>1250</v>
      </c>
      <c r="Q30" s="15">
        <v>0.8</v>
      </c>
      <c r="R30" s="14">
        <f>P30*Q30</f>
        <v>1000</v>
      </c>
      <c r="S30" s="14">
        <f>P30-R30</f>
        <v>250</v>
      </c>
      <c r="T30" s="9" t="s">
        <v>387</v>
      </c>
      <c r="U30" s="9" t="s">
        <v>388</v>
      </c>
      <c r="V30" s="9"/>
    </row>
    <row r="31" spans="1:22">
      <c r="A31" s="16" t="s">
        <v>474</v>
      </c>
      <c r="B31" s="17" t="s">
        <v>75</v>
      </c>
      <c r="C31" s="17" t="s">
        <v>76</v>
      </c>
      <c r="D31" s="18">
        <v>46043</v>
      </c>
      <c r="E31" s="16" t="s">
        <v>41</v>
      </c>
      <c r="F31" s="16" t="s">
        <v>475</v>
      </c>
      <c r="G31" s="16" t="s">
        <v>476</v>
      </c>
      <c r="H31" s="16" t="s">
        <v>477</v>
      </c>
      <c r="I31" s="16" t="s">
        <v>478</v>
      </c>
      <c r="J31" s="16"/>
      <c r="K31" s="17" t="s">
        <v>83</v>
      </c>
      <c r="L31" s="16"/>
      <c r="M31" s="19">
        <v>1</v>
      </c>
      <c r="N31" s="16" t="s">
        <v>479</v>
      </c>
      <c r="O31" s="20">
        <v>5800</v>
      </c>
      <c r="P31" s="21">
        <f>M31*O31</f>
        <v>5800</v>
      </c>
      <c r="Q31" s="22">
        <v>0.8</v>
      </c>
      <c r="R31" s="21">
        <f>P31*Q31</f>
        <v>4640</v>
      </c>
      <c r="S31" s="21">
        <f>P31-R31</f>
        <v>1160</v>
      </c>
      <c r="T31" s="16" t="s">
        <v>387</v>
      </c>
      <c r="U31" s="16" t="s">
        <v>388</v>
      </c>
      <c r="V31" s="16"/>
    </row>
    <row r="32" spans="1:22">
      <c r="A32" s="9" t="s">
        <v>480</v>
      </c>
      <c r="B32" s="10" t="s">
        <v>91</v>
      </c>
      <c r="C32" s="10" t="s">
        <v>92</v>
      </c>
      <c r="D32" s="11">
        <v>46050</v>
      </c>
      <c r="E32" s="9" t="s">
        <v>41</v>
      </c>
      <c r="F32" s="9" t="s">
        <v>42</v>
      </c>
      <c r="G32" s="9" t="s">
        <v>384</v>
      </c>
      <c r="H32" s="9" t="s">
        <v>384</v>
      </c>
      <c r="I32" s="9" t="s">
        <v>385</v>
      </c>
      <c r="J32" s="9"/>
      <c r="K32" s="10" t="s">
        <v>98</v>
      </c>
      <c r="L32" s="9"/>
      <c r="M32" s="12">
        <v>6</v>
      </c>
      <c r="N32" s="9" t="s">
        <v>386</v>
      </c>
      <c r="O32" s="13">
        <v>663</v>
      </c>
      <c r="P32" s="14">
        <f>M32*O32</f>
        <v>3978</v>
      </c>
      <c r="Q32" s="15">
        <v>0.85</v>
      </c>
      <c r="R32" s="14">
        <f>P32*Q32</f>
        <v>3381.2999999999997</v>
      </c>
      <c r="S32" s="14">
        <f>P32-R32</f>
        <v>596.70000000000027</v>
      </c>
      <c r="T32" s="9" t="s">
        <v>387</v>
      </c>
      <c r="U32" s="9" t="s">
        <v>388</v>
      </c>
      <c r="V32" s="9"/>
    </row>
    <row r="33" spans="1:22">
      <c r="A33" s="16" t="s">
        <v>481</v>
      </c>
      <c r="B33" s="17" t="s">
        <v>91</v>
      </c>
      <c r="C33" s="17" t="s">
        <v>92</v>
      </c>
      <c r="D33" s="18">
        <v>46050</v>
      </c>
      <c r="E33" s="16" t="s">
        <v>41</v>
      </c>
      <c r="F33" s="16" t="s">
        <v>390</v>
      </c>
      <c r="G33" s="16" t="s">
        <v>391</v>
      </c>
      <c r="H33" s="16" t="s">
        <v>392</v>
      </c>
      <c r="I33" s="16" t="s">
        <v>393</v>
      </c>
      <c r="J33" s="16" t="s">
        <v>394</v>
      </c>
      <c r="K33" s="17" t="s">
        <v>98</v>
      </c>
      <c r="L33" s="16"/>
      <c r="M33" s="19">
        <v>1</v>
      </c>
      <c r="N33" s="16" t="s">
        <v>395</v>
      </c>
      <c r="O33" s="20">
        <v>316.2</v>
      </c>
      <c r="P33" s="21">
        <f>M33*O33</f>
        <v>316.2</v>
      </c>
      <c r="Q33" s="22">
        <v>0.85</v>
      </c>
      <c r="R33" s="21">
        <f>P33*Q33</f>
        <v>268.77</v>
      </c>
      <c r="S33" s="21">
        <f>P33-R33</f>
        <v>47.430000000000007</v>
      </c>
      <c r="T33" s="16" t="s">
        <v>387</v>
      </c>
      <c r="U33" s="16" t="s">
        <v>388</v>
      </c>
      <c r="V33" s="16"/>
    </row>
    <row r="34" spans="1:22">
      <c r="A34" s="9" t="s">
        <v>482</v>
      </c>
      <c r="B34" s="10" t="s">
        <v>91</v>
      </c>
      <c r="C34" s="10" t="s">
        <v>92</v>
      </c>
      <c r="D34" s="11">
        <v>46051</v>
      </c>
      <c r="E34" s="9" t="s">
        <v>41</v>
      </c>
      <c r="F34" s="9" t="s">
        <v>390</v>
      </c>
      <c r="G34" s="9" t="s">
        <v>391</v>
      </c>
      <c r="H34" s="9" t="s">
        <v>392</v>
      </c>
      <c r="I34" s="9" t="s">
        <v>393</v>
      </c>
      <c r="J34" s="9" t="s">
        <v>397</v>
      </c>
      <c r="K34" s="10" t="s">
        <v>98</v>
      </c>
      <c r="L34" s="9"/>
      <c r="M34" s="12">
        <v>5</v>
      </c>
      <c r="N34" s="9" t="s">
        <v>398</v>
      </c>
      <c r="O34" s="13">
        <v>188.7</v>
      </c>
      <c r="P34" s="14">
        <f>M34*O34</f>
        <v>943.5</v>
      </c>
      <c r="Q34" s="15">
        <v>0.85</v>
      </c>
      <c r="R34" s="14">
        <f>P34*Q34</f>
        <v>801.97500000000002</v>
      </c>
      <c r="S34" s="14">
        <f>P34-R34</f>
        <v>141.52499999999998</v>
      </c>
      <c r="T34" s="9" t="s">
        <v>387</v>
      </c>
      <c r="U34" s="9" t="s">
        <v>388</v>
      </c>
      <c r="V34" s="9"/>
    </row>
    <row r="35" spans="1:22">
      <c r="A35" s="16" t="s">
        <v>483</v>
      </c>
      <c r="B35" s="17" t="s">
        <v>91</v>
      </c>
      <c r="C35" s="17" t="s">
        <v>92</v>
      </c>
      <c r="D35" s="18">
        <v>46050</v>
      </c>
      <c r="E35" s="16" t="s">
        <v>41</v>
      </c>
      <c r="F35" s="16" t="s">
        <v>400</v>
      </c>
      <c r="G35" s="16" t="s">
        <v>400</v>
      </c>
      <c r="H35" s="16" t="s">
        <v>400</v>
      </c>
      <c r="I35" s="16" t="s">
        <v>401</v>
      </c>
      <c r="J35" s="16" t="s">
        <v>402</v>
      </c>
      <c r="K35" s="17" t="s">
        <v>98</v>
      </c>
      <c r="L35" s="16"/>
      <c r="M35" s="19">
        <v>1</v>
      </c>
      <c r="N35" s="16" t="s">
        <v>403</v>
      </c>
      <c r="O35" s="20">
        <v>96.9</v>
      </c>
      <c r="P35" s="21">
        <f>M35*O35</f>
        <v>96.9</v>
      </c>
      <c r="Q35" s="22">
        <v>0.85</v>
      </c>
      <c r="R35" s="21">
        <f>P35*Q35</f>
        <v>82.365000000000009</v>
      </c>
      <c r="S35" s="21">
        <f>P35-R35</f>
        <v>14.534999999999997</v>
      </c>
      <c r="T35" s="16" t="s">
        <v>387</v>
      </c>
      <c r="U35" s="16" t="s">
        <v>388</v>
      </c>
      <c r="V35" s="16"/>
    </row>
    <row r="36" spans="1:22">
      <c r="A36" s="9" t="s">
        <v>484</v>
      </c>
      <c r="B36" s="10" t="s">
        <v>91</v>
      </c>
      <c r="C36" s="10" t="s">
        <v>92</v>
      </c>
      <c r="D36" s="11">
        <v>46050</v>
      </c>
      <c r="E36" s="9" t="s">
        <v>41</v>
      </c>
      <c r="F36" s="9" t="s">
        <v>400</v>
      </c>
      <c r="G36" s="9" t="s">
        <v>400</v>
      </c>
      <c r="H36" s="9" t="s">
        <v>405</v>
      </c>
      <c r="I36" s="9" t="s">
        <v>406</v>
      </c>
      <c r="J36" s="9" t="s">
        <v>407</v>
      </c>
      <c r="K36" s="10" t="s">
        <v>98</v>
      </c>
      <c r="L36" s="9"/>
      <c r="M36" s="12">
        <v>1</v>
      </c>
      <c r="N36" s="9" t="s">
        <v>408</v>
      </c>
      <c r="O36" s="13">
        <v>132.6</v>
      </c>
      <c r="P36" s="14">
        <f>M36*O36</f>
        <v>132.6</v>
      </c>
      <c r="Q36" s="15">
        <v>0.85</v>
      </c>
      <c r="R36" s="14">
        <f>P36*Q36</f>
        <v>112.71</v>
      </c>
      <c r="S36" s="14">
        <f>P36-R36</f>
        <v>19.89</v>
      </c>
      <c r="T36" s="9" t="s">
        <v>387</v>
      </c>
      <c r="U36" s="9" t="s">
        <v>388</v>
      </c>
      <c r="V36" s="9"/>
    </row>
    <row r="37" spans="1:22">
      <c r="A37" s="16" t="s">
        <v>485</v>
      </c>
      <c r="B37" s="17" t="s">
        <v>91</v>
      </c>
      <c r="C37" s="17" t="s">
        <v>92</v>
      </c>
      <c r="D37" s="18">
        <v>46050</v>
      </c>
      <c r="E37" s="16" t="s">
        <v>41</v>
      </c>
      <c r="F37" s="16" t="s">
        <v>410</v>
      </c>
      <c r="G37" s="16" t="s">
        <v>410</v>
      </c>
      <c r="H37" s="16" t="s">
        <v>410</v>
      </c>
      <c r="I37" s="16" t="s">
        <v>411</v>
      </c>
      <c r="J37" s="16"/>
      <c r="K37" s="17" t="s">
        <v>98</v>
      </c>
      <c r="L37" s="16"/>
      <c r="M37" s="19">
        <v>6</v>
      </c>
      <c r="N37" s="16" t="s">
        <v>386</v>
      </c>
      <c r="O37" s="20">
        <v>428.4</v>
      </c>
      <c r="P37" s="21">
        <f>M37*O37</f>
        <v>2570.3999999999996</v>
      </c>
      <c r="Q37" s="22">
        <v>0.85</v>
      </c>
      <c r="R37" s="21">
        <f>P37*Q37</f>
        <v>2184.8399999999997</v>
      </c>
      <c r="S37" s="21">
        <f>P37-R37</f>
        <v>385.55999999999995</v>
      </c>
      <c r="T37" s="16" t="s">
        <v>387</v>
      </c>
      <c r="U37" s="16" t="s">
        <v>388</v>
      </c>
      <c r="V37" s="16"/>
    </row>
    <row r="38" spans="1:22">
      <c r="A38" s="9" t="s">
        <v>486</v>
      </c>
      <c r="B38" s="10" t="s">
        <v>91</v>
      </c>
      <c r="C38" s="10" t="s">
        <v>92</v>
      </c>
      <c r="D38" s="11">
        <v>46050</v>
      </c>
      <c r="E38" s="9" t="s">
        <v>41</v>
      </c>
      <c r="F38" s="9" t="s">
        <v>413</v>
      </c>
      <c r="G38" s="9" t="s">
        <v>414</v>
      </c>
      <c r="H38" s="9" t="s">
        <v>415</v>
      </c>
      <c r="I38" s="9" t="s">
        <v>416</v>
      </c>
      <c r="J38" s="9"/>
      <c r="K38" s="10" t="s">
        <v>98</v>
      </c>
      <c r="L38" s="9"/>
      <c r="M38" s="12">
        <v>3</v>
      </c>
      <c r="N38" s="9" t="s">
        <v>417</v>
      </c>
      <c r="O38" s="13">
        <v>357</v>
      </c>
      <c r="P38" s="14">
        <f>M38*O38</f>
        <v>1071</v>
      </c>
      <c r="Q38" s="15">
        <v>0.85</v>
      </c>
      <c r="R38" s="14">
        <f>P38*Q38</f>
        <v>910.35</v>
      </c>
      <c r="S38" s="14">
        <f>P38-R38</f>
        <v>160.64999999999998</v>
      </c>
      <c r="T38" s="9" t="s">
        <v>387</v>
      </c>
      <c r="U38" s="9" t="s">
        <v>388</v>
      </c>
      <c r="V38" s="9"/>
    </row>
    <row r="39" spans="1:22">
      <c r="A39" s="16" t="s">
        <v>487</v>
      </c>
      <c r="B39" s="17" t="s">
        <v>91</v>
      </c>
      <c r="C39" s="17" t="s">
        <v>92</v>
      </c>
      <c r="D39" s="18">
        <v>46050</v>
      </c>
      <c r="E39" s="16" t="s">
        <v>41</v>
      </c>
      <c r="F39" s="16" t="s">
        <v>419</v>
      </c>
      <c r="G39" s="16" t="s">
        <v>420</v>
      </c>
      <c r="H39" s="16" t="s">
        <v>460</v>
      </c>
      <c r="I39" s="16" t="s">
        <v>461</v>
      </c>
      <c r="J39" s="16" t="s">
        <v>488</v>
      </c>
      <c r="K39" s="17" t="s">
        <v>98</v>
      </c>
      <c r="L39" s="16"/>
      <c r="M39" s="19">
        <v>1</v>
      </c>
      <c r="N39" s="16" t="s">
        <v>424</v>
      </c>
      <c r="O39" s="20">
        <v>1479</v>
      </c>
      <c r="P39" s="21">
        <f>M39*O39</f>
        <v>1479</v>
      </c>
      <c r="Q39" s="22">
        <v>0.85</v>
      </c>
      <c r="R39" s="21">
        <f>P39*Q39</f>
        <v>1257.1499999999999</v>
      </c>
      <c r="S39" s="21">
        <f>P39-R39</f>
        <v>221.85000000000014</v>
      </c>
      <c r="T39" s="16" t="s">
        <v>387</v>
      </c>
      <c r="U39" s="16" t="s">
        <v>388</v>
      </c>
      <c r="V39" s="16"/>
    </row>
    <row r="40" spans="1:22">
      <c r="A40" s="9" t="s">
        <v>489</v>
      </c>
      <c r="B40" s="10" t="s">
        <v>107</v>
      </c>
      <c r="C40" s="10" t="s">
        <v>108</v>
      </c>
      <c r="D40" s="11">
        <v>46058</v>
      </c>
      <c r="E40" s="9" t="s">
        <v>41</v>
      </c>
      <c r="F40" s="9" t="s">
        <v>113</v>
      </c>
      <c r="G40" s="9" t="s">
        <v>384</v>
      </c>
      <c r="H40" s="9" t="s">
        <v>384</v>
      </c>
      <c r="I40" s="9" t="s">
        <v>385</v>
      </c>
      <c r="J40" s="9"/>
      <c r="K40" s="10" t="s">
        <v>116</v>
      </c>
      <c r="L40" s="9"/>
      <c r="M40" s="12">
        <v>3</v>
      </c>
      <c r="N40" s="9" t="s">
        <v>386</v>
      </c>
      <c r="O40" s="13">
        <v>811.2</v>
      </c>
      <c r="P40" s="14">
        <f>M40*O40</f>
        <v>2433.6000000000004</v>
      </c>
      <c r="Q40" s="15">
        <v>0.85</v>
      </c>
      <c r="R40" s="14">
        <f>P40*Q40</f>
        <v>2068.5600000000004</v>
      </c>
      <c r="S40" s="14">
        <f>P40-R40</f>
        <v>365.03999999999996</v>
      </c>
      <c r="T40" s="9" t="s">
        <v>387</v>
      </c>
      <c r="U40" s="9" t="s">
        <v>388</v>
      </c>
      <c r="V40" s="9"/>
    </row>
    <row r="41" spans="1:22">
      <c r="A41" s="16" t="s">
        <v>490</v>
      </c>
      <c r="B41" s="17" t="s">
        <v>107</v>
      </c>
      <c r="C41" s="17" t="s">
        <v>108</v>
      </c>
      <c r="D41" s="18">
        <v>46058</v>
      </c>
      <c r="E41" s="16" t="s">
        <v>41</v>
      </c>
      <c r="F41" s="16" t="s">
        <v>390</v>
      </c>
      <c r="G41" s="16" t="s">
        <v>391</v>
      </c>
      <c r="H41" s="16" t="s">
        <v>392</v>
      </c>
      <c r="I41" s="16" t="s">
        <v>393</v>
      </c>
      <c r="J41" s="16" t="s">
        <v>394</v>
      </c>
      <c r="K41" s="17" t="s">
        <v>116</v>
      </c>
      <c r="L41" s="16"/>
      <c r="M41" s="19">
        <v>1</v>
      </c>
      <c r="N41" s="16" t="s">
        <v>395</v>
      </c>
      <c r="O41" s="20">
        <v>322.39999999999998</v>
      </c>
      <c r="P41" s="21">
        <f>M41*O41</f>
        <v>322.39999999999998</v>
      </c>
      <c r="Q41" s="22">
        <v>0.85</v>
      </c>
      <c r="R41" s="21">
        <f>P41*Q41</f>
        <v>274.03999999999996</v>
      </c>
      <c r="S41" s="21">
        <f>P41-R41</f>
        <v>48.360000000000014</v>
      </c>
      <c r="T41" s="16" t="s">
        <v>387</v>
      </c>
      <c r="U41" s="16" t="s">
        <v>388</v>
      </c>
      <c r="V41" s="16"/>
    </row>
    <row r="42" spans="1:22">
      <c r="A42" s="9" t="s">
        <v>491</v>
      </c>
      <c r="B42" s="10" t="s">
        <v>107</v>
      </c>
      <c r="C42" s="10" t="s">
        <v>108</v>
      </c>
      <c r="D42" s="11">
        <v>46059</v>
      </c>
      <c r="E42" s="9" t="s">
        <v>41</v>
      </c>
      <c r="F42" s="9" t="s">
        <v>390</v>
      </c>
      <c r="G42" s="9" t="s">
        <v>391</v>
      </c>
      <c r="H42" s="9" t="s">
        <v>392</v>
      </c>
      <c r="I42" s="9" t="s">
        <v>393</v>
      </c>
      <c r="J42" s="9" t="s">
        <v>397</v>
      </c>
      <c r="K42" s="10" t="s">
        <v>116</v>
      </c>
      <c r="L42" s="9"/>
      <c r="M42" s="12">
        <v>2</v>
      </c>
      <c r="N42" s="9" t="s">
        <v>398</v>
      </c>
      <c r="O42" s="13">
        <v>192.4</v>
      </c>
      <c r="P42" s="14">
        <f>M42*O42</f>
        <v>384.8</v>
      </c>
      <c r="Q42" s="15">
        <v>0.85</v>
      </c>
      <c r="R42" s="14">
        <f>P42*Q42</f>
        <v>327.08</v>
      </c>
      <c r="S42" s="14">
        <f>P42-R42</f>
        <v>57.720000000000027</v>
      </c>
      <c r="T42" s="9" t="s">
        <v>387</v>
      </c>
      <c r="U42" s="9" t="s">
        <v>388</v>
      </c>
      <c r="V42" s="9"/>
    </row>
    <row r="43" spans="1:22">
      <c r="A43" s="16" t="s">
        <v>492</v>
      </c>
      <c r="B43" s="17" t="s">
        <v>107</v>
      </c>
      <c r="C43" s="17" t="s">
        <v>108</v>
      </c>
      <c r="D43" s="18">
        <v>46058</v>
      </c>
      <c r="E43" s="16" t="s">
        <v>41</v>
      </c>
      <c r="F43" s="16" t="s">
        <v>400</v>
      </c>
      <c r="G43" s="16" t="s">
        <v>400</v>
      </c>
      <c r="H43" s="16" t="s">
        <v>400</v>
      </c>
      <c r="I43" s="16" t="s">
        <v>401</v>
      </c>
      <c r="J43" s="16" t="s">
        <v>402</v>
      </c>
      <c r="K43" s="17" t="s">
        <v>116</v>
      </c>
      <c r="L43" s="16"/>
      <c r="M43" s="19">
        <v>1</v>
      </c>
      <c r="N43" s="16" t="s">
        <v>403</v>
      </c>
      <c r="O43" s="20">
        <v>98.8</v>
      </c>
      <c r="P43" s="21">
        <f>M43*O43</f>
        <v>98.8</v>
      </c>
      <c r="Q43" s="22">
        <v>0.85</v>
      </c>
      <c r="R43" s="21">
        <f>P43*Q43</f>
        <v>83.97999999999999</v>
      </c>
      <c r="S43" s="21">
        <f>P43-R43</f>
        <v>14.820000000000007</v>
      </c>
      <c r="T43" s="16" t="s">
        <v>387</v>
      </c>
      <c r="U43" s="16" t="s">
        <v>388</v>
      </c>
      <c r="V43" s="16"/>
    </row>
    <row r="44" spans="1:22">
      <c r="A44" s="9" t="s">
        <v>493</v>
      </c>
      <c r="B44" s="10" t="s">
        <v>107</v>
      </c>
      <c r="C44" s="10" t="s">
        <v>108</v>
      </c>
      <c r="D44" s="11">
        <v>46058</v>
      </c>
      <c r="E44" s="9" t="s">
        <v>41</v>
      </c>
      <c r="F44" s="9" t="s">
        <v>400</v>
      </c>
      <c r="G44" s="9" t="s">
        <v>400</v>
      </c>
      <c r="H44" s="9" t="s">
        <v>405</v>
      </c>
      <c r="I44" s="9" t="s">
        <v>406</v>
      </c>
      <c r="J44" s="9" t="s">
        <v>407</v>
      </c>
      <c r="K44" s="10" t="s">
        <v>116</v>
      </c>
      <c r="L44" s="9"/>
      <c r="M44" s="12">
        <v>1</v>
      </c>
      <c r="N44" s="9" t="s">
        <v>408</v>
      </c>
      <c r="O44" s="13">
        <v>135.19999999999999</v>
      </c>
      <c r="P44" s="14">
        <f>M44*O44</f>
        <v>135.19999999999999</v>
      </c>
      <c r="Q44" s="15">
        <v>0.85</v>
      </c>
      <c r="R44" s="14">
        <f>P44*Q44</f>
        <v>114.91999999999999</v>
      </c>
      <c r="S44" s="14">
        <f>P44-R44</f>
        <v>20.28</v>
      </c>
      <c r="T44" s="9" t="s">
        <v>387</v>
      </c>
      <c r="U44" s="9" t="s">
        <v>388</v>
      </c>
      <c r="V44" s="9"/>
    </row>
    <row r="45" spans="1:22">
      <c r="A45" s="16" t="s">
        <v>494</v>
      </c>
      <c r="B45" s="17" t="s">
        <v>107</v>
      </c>
      <c r="C45" s="17" t="s">
        <v>108</v>
      </c>
      <c r="D45" s="18">
        <v>46058</v>
      </c>
      <c r="E45" s="16" t="s">
        <v>41</v>
      </c>
      <c r="F45" s="16" t="s">
        <v>410</v>
      </c>
      <c r="G45" s="16" t="s">
        <v>410</v>
      </c>
      <c r="H45" s="16" t="s">
        <v>410</v>
      </c>
      <c r="I45" s="16" t="s">
        <v>411</v>
      </c>
      <c r="J45" s="16"/>
      <c r="K45" s="17" t="s">
        <v>116</v>
      </c>
      <c r="L45" s="16"/>
      <c r="M45" s="19">
        <v>3</v>
      </c>
      <c r="N45" s="16" t="s">
        <v>386</v>
      </c>
      <c r="O45" s="20">
        <v>436.8</v>
      </c>
      <c r="P45" s="21">
        <f>M45*O45</f>
        <v>1310.4000000000001</v>
      </c>
      <c r="Q45" s="22">
        <v>0.85</v>
      </c>
      <c r="R45" s="21">
        <f>P45*Q45</f>
        <v>1113.8400000000001</v>
      </c>
      <c r="S45" s="21">
        <f>P45-R45</f>
        <v>196.55999999999995</v>
      </c>
      <c r="T45" s="16" t="s">
        <v>387</v>
      </c>
      <c r="U45" s="16" t="s">
        <v>388</v>
      </c>
      <c r="V45" s="16"/>
    </row>
    <row r="46" spans="1:22">
      <c r="A46" s="9" t="s">
        <v>495</v>
      </c>
      <c r="B46" s="10" t="s">
        <v>107</v>
      </c>
      <c r="C46" s="10" t="s">
        <v>108</v>
      </c>
      <c r="D46" s="11">
        <v>46058</v>
      </c>
      <c r="E46" s="9" t="s">
        <v>41</v>
      </c>
      <c r="F46" s="9" t="s">
        <v>413</v>
      </c>
      <c r="G46" s="9" t="s">
        <v>414</v>
      </c>
      <c r="H46" s="9" t="s">
        <v>415</v>
      </c>
      <c r="I46" s="9" t="s">
        <v>416</v>
      </c>
      <c r="J46" s="9"/>
      <c r="K46" s="10" t="s">
        <v>116</v>
      </c>
      <c r="L46" s="9"/>
      <c r="M46" s="12">
        <v>2</v>
      </c>
      <c r="N46" s="9" t="s">
        <v>417</v>
      </c>
      <c r="O46" s="13">
        <v>364</v>
      </c>
      <c r="P46" s="14">
        <f>M46*O46</f>
        <v>728</v>
      </c>
      <c r="Q46" s="15">
        <v>0.85</v>
      </c>
      <c r="R46" s="14">
        <f>P46*Q46</f>
        <v>618.79999999999995</v>
      </c>
      <c r="S46" s="14">
        <f>P46-R46</f>
        <v>109.20000000000005</v>
      </c>
      <c r="T46" s="9" t="s">
        <v>387</v>
      </c>
      <c r="U46" s="9" t="s">
        <v>388</v>
      </c>
      <c r="V46" s="9"/>
    </row>
    <row r="47" spans="1:22">
      <c r="A47" s="16" t="s">
        <v>496</v>
      </c>
      <c r="B47" s="17" t="s">
        <v>107</v>
      </c>
      <c r="C47" s="17" t="s">
        <v>108</v>
      </c>
      <c r="D47" s="18">
        <v>46058</v>
      </c>
      <c r="E47" s="16" t="s">
        <v>41</v>
      </c>
      <c r="F47" s="16" t="s">
        <v>419</v>
      </c>
      <c r="G47" s="16" t="s">
        <v>420</v>
      </c>
      <c r="H47" s="16" t="s">
        <v>421</v>
      </c>
      <c r="I47" s="16" t="s">
        <v>422</v>
      </c>
      <c r="J47" s="16" t="s">
        <v>423</v>
      </c>
      <c r="K47" s="17" t="s">
        <v>116</v>
      </c>
      <c r="L47" s="16"/>
      <c r="M47" s="19">
        <v>1</v>
      </c>
      <c r="N47" s="16" t="s">
        <v>424</v>
      </c>
      <c r="O47" s="20">
        <v>218.4</v>
      </c>
      <c r="P47" s="21">
        <f>M47*O47</f>
        <v>218.4</v>
      </c>
      <c r="Q47" s="22">
        <v>0.85</v>
      </c>
      <c r="R47" s="21">
        <f>P47*Q47</f>
        <v>185.64</v>
      </c>
      <c r="S47" s="21">
        <f>P47-R47</f>
        <v>32.760000000000019</v>
      </c>
      <c r="T47" s="16" t="s">
        <v>387</v>
      </c>
      <c r="U47" s="16" t="s">
        <v>388</v>
      </c>
      <c r="V47" s="16"/>
    </row>
    <row r="48" spans="1:22">
      <c r="A48" s="9" t="s">
        <v>497</v>
      </c>
      <c r="B48" s="10" t="s">
        <v>107</v>
      </c>
      <c r="C48" s="10" t="s">
        <v>108</v>
      </c>
      <c r="D48" s="11">
        <v>46059</v>
      </c>
      <c r="E48" s="9" t="s">
        <v>41</v>
      </c>
      <c r="F48" s="9" t="s">
        <v>464</v>
      </c>
      <c r="G48" s="9" t="s">
        <v>465</v>
      </c>
      <c r="H48" s="9" t="s">
        <v>466</v>
      </c>
      <c r="I48" s="9" t="s">
        <v>467</v>
      </c>
      <c r="J48" s="9" t="s">
        <v>498</v>
      </c>
      <c r="K48" s="10" t="s">
        <v>116</v>
      </c>
      <c r="L48" s="9"/>
      <c r="M48" s="12">
        <v>1</v>
      </c>
      <c r="N48" s="9" t="s">
        <v>468</v>
      </c>
      <c r="O48" s="13">
        <v>3328</v>
      </c>
      <c r="P48" s="14">
        <f>M48*O48</f>
        <v>3328</v>
      </c>
      <c r="Q48" s="15">
        <v>0.85</v>
      </c>
      <c r="R48" s="14">
        <f>P48*Q48</f>
        <v>2828.7999999999997</v>
      </c>
      <c r="S48" s="14">
        <f>P48-R48</f>
        <v>499.20000000000027</v>
      </c>
      <c r="T48" s="9" t="s">
        <v>387</v>
      </c>
      <c r="U48" s="9" t="s">
        <v>388</v>
      </c>
      <c r="V48" s="9"/>
    </row>
    <row r="49" spans="1:22">
      <c r="A49" s="16" t="s">
        <v>499</v>
      </c>
      <c r="B49" s="17" t="s">
        <v>107</v>
      </c>
      <c r="C49" s="17" t="s">
        <v>108</v>
      </c>
      <c r="D49" s="18">
        <v>46059</v>
      </c>
      <c r="E49" s="16" t="s">
        <v>41</v>
      </c>
      <c r="F49" s="16" t="s">
        <v>470</v>
      </c>
      <c r="G49" s="16" t="s">
        <v>471</v>
      </c>
      <c r="H49" s="16" t="s">
        <v>471</v>
      </c>
      <c r="I49" s="16" t="s">
        <v>472</v>
      </c>
      <c r="J49" s="16" t="s">
        <v>500</v>
      </c>
      <c r="K49" s="17" t="s">
        <v>116</v>
      </c>
      <c r="L49" s="16"/>
      <c r="M49" s="19">
        <v>1</v>
      </c>
      <c r="N49" s="16" t="s">
        <v>468</v>
      </c>
      <c r="O49" s="20">
        <v>1300</v>
      </c>
      <c r="P49" s="21">
        <f>M49*O49</f>
        <v>1300</v>
      </c>
      <c r="Q49" s="22">
        <v>0.85</v>
      </c>
      <c r="R49" s="21">
        <f>P49*Q49</f>
        <v>1105</v>
      </c>
      <c r="S49" s="21">
        <f>P49-R49</f>
        <v>195</v>
      </c>
      <c r="T49" s="16" t="s">
        <v>387</v>
      </c>
      <c r="U49" s="16" t="s">
        <v>388</v>
      </c>
      <c r="V49" s="16"/>
    </row>
    <row r="50" spans="1:22">
      <c r="A50" s="9" t="s">
        <v>501</v>
      </c>
      <c r="B50" s="10" t="s">
        <v>107</v>
      </c>
      <c r="C50" s="10" t="s">
        <v>108</v>
      </c>
      <c r="D50" s="11">
        <v>46059</v>
      </c>
      <c r="E50" s="9" t="s">
        <v>41</v>
      </c>
      <c r="F50" s="9" t="s">
        <v>475</v>
      </c>
      <c r="G50" s="9" t="s">
        <v>476</v>
      </c>
      <c r="H50" s="9" t="s">
        <v>477</v>
      </c>
      <c r="I50" s="9" t="s">
        <v>478</v>
      </c>
      <c r="J50" s="9"/>
      <c r="K50" s="10" t="s">
        <v>116</v>
      </c>
      <c r="L50" s="9"/>
      <c r="M50" s="12">
        <v>1</v>
      </c>
      <c r="N50" s="9" t="s">
        <v>479</v>
      </c>
      <c r="O50" s="13">
        <v>6032</v>
      </c>
      <c r="P50" s="14">
        <f>M50*O50</f>
        <v>6032</v>
      </c>
      <c r="Q50" s="15">
        <v>0.85</v>
      </c>
      <c r="R50" s="14">
        <f>P50*Q50</f>
        <v>5127.2</v>
      </c>
      <c r="S50" s="14">
        <f>P50-R50</f>
        <v>904.80000000000018</v>
      </c>
      <c r="T50" s="9" t="s">
        <v>387</v>
      </c>
      <c r="U50" s="9" t="s">
        <v>388</v>
      </c>
      <c r="V50" s="9"/>
    </row>
    <row r="51" spans="1:22">
      <c r="A51" s="16" t="s">
        <v>502</v>
      </c>
      <c r="B51" s="17" t="s">
        <v>107</v>
      </c>
      <c r="C51" s="17" t="s">
        <v>108</v>
      </c>
      <c r="D51" s="18">
        <v>46060</v>
      </c>
      <c r="E51" s="16" t="s">
        <v>41</v>
      </c>
      <c r="F51" s="16" t="s">
        <v>503</v>
      </c>
      <c r="G51" s="16" t="s">
        <v>427</v>
      </c>
      <c r="H51" s="16" t="s">
        <v>504</v>
      </c>
      <c r="I51" s="16" t="s">
        <v>505</v>
      </c>
      <c r="J51" s="16" t="s">
        <v>506</v>
      </c>
      <c r="K51" s="17" t="s">
        <v>116</v>
      </c>
      <c r="L51" s="16"/>
      <c r="M51" s="19">
        <v>1</v>
      </c>
      <c r="N51" s="16" t="s">
        <v>431</v>
      </c>
      <c r="O51" s="20">
        <v>197.6</v>
      </c>
      <c r="P51" s="21">
        <f>M51*O51</f>
        <v>197.6</v>
      </c>
      <c r="Q51" s="22">
        <v>0.85</v>
      </c>
      <c r="R51" s="21">
        <f>P51*Q51</f>
        <v>167.95999999999998</v>
      </c>
      <c r="S51" s="21">
        <f>P51-R51</f>
        <v>29.640000000000015</v>
      </c>
      <c r="T51" s="16" t="s">
        <v>387</v>
      </c>
      <c r="U51" s="16" t="s">
        <v>388</v>
      </c>
      <c r="V51" s="16"/>
    </row>
    <row r="52" spans="1:22">
      <c r="A52" s="9" t="s">
        <v>507</v>
      </c>
      <c r="B52" s="10" t="s">
        <v>127</v>
      </c>
      <c r="C52" s="10" t="s">
        <v>128</v>
      </c>
      <c r="D52" s="11">
        <v>46066</v>
      </c>
      <c r="E52" s="9" t="s">
        <v>41</v>
      </c>
      <c r="F52" s="9" t="s">
        <v>132</v>
      </c>
      <c r="G52" s="9" t="s">
        <v>384</v>
      </c>
      <c r="H52" s="9" t="s">
        <v>508</v>
      </c>
      <c r="I52" s="9" t="s">
        <v>509</v>
      </c>
      <c r="J52" s="9"/>
      <c r="K52" s="10" t="s">
        <v>135</v>
      </c>
      <c r="L52" s="9"/>
      <c r="M52" s="12">
        <v>5</v>
      </c>
      <c r="N52" s="9" t="s">
        <v>386</v>
      </c>
      <c r="O52" s="13">
        <v>2809</v>
      </c>
      <c r="P52" s="14">
        <f>M52*O52</f>
        <v>14045</v>
      </c>
      <c r="Q52" s="15">
        <v>0.8</v>
      </c>
      <c r="R52" s="14">
        <f>P52*Q52</f>
        <v>11236</v>
      </c>
      <c r="S52" s="14">
        <f>P52-R52</f>
        <v>2809</v>
      </c>
      <c r="T52" s="9" t="s">
        <v>387</v>
      </c>
      <c r="U52" s="9" t="s">
        <v>388</v>
      </c>
      <c r="V52" s="9"/>
    </row>
    <row r="53" spans="1:22">
      <c r="A53" s="16" t="s">
        <v>510</v>
      </c>
      <c r="B53" s="17" t="s">
        <v>127</v>
      </c>
      <c r="C53" s="17" t="s">
        <v>128</v>
      </c>
      <c r="D53" s="18">
        <v>46066</v>
      </c>
      <c r="E53" s="16" t="s">
        <v>41</v>
      </c>
      <c r="F53" s="16" t="s">
        <v>390</v>
      </c>
      <c r="G53" s="16" t="s">
        <v>391</v>
      </c>
      <c r="H53" s="16" t="s">
        <v>392</v>
      </c>
      <c r="I53" s="16" t="s">
        <v>393</v>
      </c>
      <c r="J53" s="16" t="s">
        <v>394</v>
      </c>
      <c r="K53" s="17" t="s">
        <v>135</v>
      </c>
      <c r="L53" s="16"/>
      <c r="M53" s="19">
        <v>1</v>
      </c>
      <c r="N53" s="16" t="s">
        <v>395</v>
      </c>
      <c r="O53" s="20">
        <v>328.6</v>
      </c>
      <c r="P53" s="21">
        <f>M53*O53</f>
        <v>328.6</v>
      </c>
      <c r="Q53" s="22">
        <v>0.8</v>
      </c>
      <c r="R53" s="21">
        <f>P53*Q53</f>
        <v>262.88000000000005</v>
      </c>
      <c r="S53" s="21">
        <f>P53-R53</f>
        <v>65.71999999999997</v>
      </c>
      <c r="T53" s="16" t="s">
        <v>387</v>
      </c>
      <c r="U53" s="16" t="s">
        <v>388</v>
      </c>
      <c r="V53" s="16"/>
    </row>
    <row r="54" spans="1:22">
      <c r="A54" s="9" t="s">
        <v>511</v>
      </c>
      <c r="B54" s="10" t="s">
        <v>127</v>
      </c>
      <c r="C54" s="10" t="s">
        <v>128</v>
      </c>
      <c r="D54" s="11">
        <v>46067</v>
      </c>
      <c r="E54" s="9" t="s">
        <v>41</v>
      </c>
      <c r="F54" s="9" t="s">
        <v>390</v>
      </c>
      <c r="G54" s="9" t="s">
        <v>391</v>
      </c>
      <c r="H54" s="9" t="s">
        <v>392</v>
      </c>
      <c r="I54" s="9" t="s">
        <v>393</v>
      </c>
      <c r="J54" s="9" t="s">
        <v>397</v>
      </c>
      <c r="K54" s="10" t="s">
        <v>135</v>
      </c>
      <c r="L54" s="9"/>
      <c r="M54" s="12">
        <v>4</v>
      </c>
      <c r="N54" s="9" t="s">
        <v>398</v>
      </c>
      <c r="O54" s="13">
        <v>196.1</v>
      </c>
      <c r="P54" s="14">
        <f>M54*O54</f>
        <v>784.4</v>
      </c>
      <c r="Q54" s="15">
        <v>0.8</v>
      </c>
      <c r="R54" s="14">
        <f>P54*Q54</f>
        <v>627.52</v>
      </c>
      <c r="S54" s="14">
        <f>P54-R54</f>
        <v>156.88</v>
      </c>
      <c r="T54" s="9" t="s">
        <v>387</v>
      </c>
      <c r="U54" s="9" t="s">
        <v>388</v>
      </c>
      <c r="V54" s="9"/>
    </row>
    <row r="55" spans="1:22">
      <c r="A55" s="16" t="s">
        <v>512</v>
      </c>
      <c r="B55" s="17" t="s">
        <v>127</v>
      </c>
      <c r="C55" s="17" t="s">
        <v>128</v>
      </c>
      <c r="D55" s="18">
        <v>46066</v>
      </c>
      <c r="E55" s="16" t="s">
        <v>41</v>
      </c>
      <c r="F55" s="16" t="s">
        <v>400</v>
      </c>
      <c r="G55" s="16" t="s">
        <v>400</v>
      </c>
      <c r="H55" s="16" t="s">
        <v>400</v>
      </c>
      <c r="I55" s="16" t="s">
        <v>401</v>
      </c>
      <c r="J55" s="16" t="s">
        <v>402</v>
      </c>
      <c r="K55" s="17" t="s">
        <v>135</v>
      </c>
      <c r="L55" s="16"/>
      <c r="M55" s="19">
        <v>1</v>
      </c>
      <c r="N55" s="16" t="s">
        <v>403</v>
      </c>
      <c r="O55" s="20">
        <v>100.7</v>
      </c>
      <c r="P55" s="21">
        <f>M55*O55</f>
        <v>100.7</v>
      </c>
      <c r="Q55" s="22">
        <v>0.8</v>
      </c>
      <c r="R55" s="21">
        <f>P55*Q55</f>
        <v>80.56</v>
      </c>
      <c r="S55" s="21">
        <f>P55-R55</f>
        <v>20.14</v>
      </c>
      <c r="T55" s="16" t="s">
        <v>387</v>
      </c>
      <c r="U55" s="16" t="s">
        <v>388</v>
      </c>
      <c r="V55" s="16"/>
    </row>
    <row r="56" spans="1:22">
      <c r="A56" s="9" t="s">
        <v>513</v>
      </c>
      <c r="B56" s="10" t="s">
        <v>127</v>
      </c>
      <c r="C56" s="10" t="s">
        <v>128</v>
      </c>
      <c r="D56" s="11">
        <v>46066</v>
      </c>
      <c r="E56" s="9" t="s">
        <v>41</v>
      </c>
      <c r="F56" s="9" t="s">
        <v>400</v>
      </c>
      <c r="G56" s="9" t="s">
        <v>400</v>
      </c>
      <c r="H56" s="9" t="s">
        <v>405</v>
      </c>
      <c r="I56" s="9" t="s">
        <v>406</v>
      </c>
      <c r="J56" s="9" t="s">
        <v>407</v>
      </c>
      <c r="K56" s="10" t="s">
        <v>135</v>
      </c>
      <c r="L56" s="9"/>
      <c r="M56" s="12">
        <v>1</v>
      </c>
      <c r="N56" s="9" t="s">
        <v>408</v>
      </c>
      <c r="O56" s="13">
        <v>137.80000000000001</v>
      </c>
      <c r="P56" s="14">
        <f>M56*O56</f>
        <v>137.80000000000001</v>
      </c>
      <c r="Q56" s="15">
        <v>0.8</v>
      </c>
      <c r="R56" s="14">
        <f>P56*Q56</f>
        <v>110.24000000000001</v>
      </c>
      <c r="S56" s="14">
        <f>P56-R56</f>
        <v>27.560000000000002</v>
      </c>
      <c r="T56" s="9" t="s">
        <v>387</v>
      </c>
      <c r="U56" s="9" t="s">
        <v>388</v>
      </c>
      <c r="V56" s="9"/>
    </row>
    <row r="57" spans="1:22">
      <c r="A57" s="16" t="s">
        <v>514</v>
      </c>
      <c r="B57" s="17" t="s">
        <v>127</v>
      </c>
      <c r="C57" s="17" t="s">
        <v>128</v>
      </c>
      <c r="D57" s="18">
        <v>46066</v>
      </c>
      <c r="E57" s="16" t="s">
        <v>41</v>
      </c>
      <c r="F57" s="16" t="s">
        <v>410</v>
      </c>
      <c r="G57" s="16" t="s">
        <v>410</v>
      </c>
      <c r="H57" s="16" t="s">
        <v>410</v>
      </c>
      <c r="I57" s="16" t="s">
        <v>411</v>
      </c>
      <c r="J57" s="16"/>
      <c r="K57" s="17" t="s">
        <v>135</v>
      </c>
      <c r="L57" s="16"/>
      <c r="M57" s="19">
        <v>5</v>
      </c>
      <c r="N57" s="16" t="s">
        <v>386</v>
      </c>
      <c r="O57" s="20">
        <v>445.2</v>
      </c>
      <c r="P57" s="21">
        <f>M57*O57</f>
        <v>2226</v>
      </c>
      <c r="Q57" s="22">
        <v>0.8</v>
      </c>
      <c r="R57" s="21">
        <f>P57*Q57</f>
        <v>1780.8000000000002</v>
      </c>
      <c r="S57" s="21">
        <f>P57-R57</f>
        <v>445.19999999999982</v>
      </c>
      <c r="T57" s="16" t="s">
        <v>387</v>
      </c>
      <c r="U57" s="16" t="s">
        <v>388</v>
      </c>
      <c r="V57" s="16"/>
    </row>
    <row r="58" spans="1:22">
      <c r="A58" s="9" t="s">
        <v>515</v>
      </c>
      <c r="B58" s="10" t="s">
        <v>127</v>
      </c>
      <c r="C58" s="10" t="s">
        <v>128</v>
      </c>
      <c r="D58" s="11">
        <v>46066</v>
      </c>
      <c r="E58" s="9" t="s">
        <v>41</v>
      </c>
      <c r="F58" s="9" t="s">
        <v>413</v>
      </c>
      <c r="G58" s="9" t="s">
        <v>414</v>
      </c>
      <c r="H58" s="9" t="s">
        <v>415</v>
      </c>
      <c r="I58" s="9" t="s">
        <v>416</v>
      </c>
      <c r="J58" s="9"/>
      <c r="K58" s="10" t="s">
        <v>135</v>
      </c>
      <c r="L58" s="9"/>
      <c r="M58" s="12">
        <v>2</v>
      </c>
      <c r="N58" s="9" t="s">
        <v>417</v>
      </c>
      <c r="O58" s="13">
        <v>371</v>
      </c>
      <c r="P58" s="14">
        <f>M58*O58</f>
        <v>742</v>
      </c>
      <c r="Q58" s="15">
        <v>0.8</v>
      </c>
      <c r="R58" s="14">
        <f>P58*Q58</f>
        <v>593.6</v>
      </c>
      <c r="S58" s="14">
        <f>P58-R58</f>
        <v>148.39999999999998</v>
      </c>
      <c r="T58" s="9" t="s">
        <v>387</v>
      </c>
      <c r="U58" s="9" t="s">
        <v>388</v>
      </c>
      <c r="V58" s="9"/>
    </row>
    <row r="59" spans="1:22">
      <c r="A59" s="16" t="s">
        <v>516</v>
      </c>
      <c r="B59" s="17" t="s">
        <v>127</v>
      </c>
      <c r="C59" s="17" t="s">
        <v>128</v>
      </c>
      <c r="D59" s="18">
        <v>46066</v>
      </c>
      <c r="E59" s="16" t="s">
        <v>41</v>
      </c>
      <c r="F59" s="16" t="s">
        <v>443</v>
      </c>
      <c r="G59" s="16" t="s">
        <v>444</v>
      </c>
      <c r="H59" s="16" t="s">
        <v>445</v>
      </c>
      <c r="I59" s="16" t="s">
        <v>446</v>
      </c>
      <c r="J59" s="16" t="s">
        <v>447</v>
      </c>
      <c r="K59" s="17" t="s">
        <v>135</v>
      </c>
      <c r="L59" s="16"/>
      <c r="M59" s="19">
        <v>1</v>
      </c>
      <c r="N59" s="16" t="s">
        <v>424</v>
      </c>
      <c r="O59" s="20">
        <v>121.9</v>
      </c>
      <c r="P59" s="21">
        <f>M59*O59</f>
        <v>121.9</v>
      </c>
      <c r="Q59" s="22">
        <v>0.8</v>
      </c>
      <c r="R59" s="21">
        <f>P59*Q59</f>
        <v>97.52000000000001</v>
      </c>
      <c r="S59" s="21">
        <f>P59-R59</f>
        <v>24.379999999999995</v>
      </c>
      <c r="T59" s="16" t="s">
        <v>387</v>
      </c>
      <c r="U59" s="16" t="s">
        <v>388</v>
      </c>
      <c r="V59" s="16"/>
    </row>
    <row r="60" spans="1:22">
      <c r="A60" s="9" t="s">
        <v>517</v>
      </c>
      <c r="B60" s="10" t="s">
        <v>127</v>
      </c>
      <c r="C60" s="10" t="s">
        <v>128</v>
      </c>
      <c r="D60" s="11">
        <v>46067</v>
      </c>
      <c r="E60" s="9" t="s">
        <v>41</v>
      </c>
      <c r="F60" s="9" t="s">
        <v>464</v>
      </c>
      <c r="G60" s="9" t="s">
        <v>465</v>
      </c>
      <c r="H60" s="9" t="s">
        <v>466</v>
      </c>
      <c r="I60" s="9" t="s">
        <v>467</v>
      </c>
      <c r="J60" s="9" t="s">
        <v>394</v>
      </c>
      <c r="K60" s="10" t="s">
        <v>135</v>
      </c>
      <c r="L60" s="9"/>
      <c r="M60" s="12">
        <v>1</v>
      </c>
      <c r="N60" s="9" t="s">
        <v>468</v>
      </c>
      <c r="O60" s="13">
        <v>3392</v>
      </c>
      <c r="P60" s="14">
        <f>M60*O60</f>
        <v>3392</v>
      </c>
      <c r="Q60" s="15">
        <v>0.8</v>
      </c>
      <c r="R60" s="14">
        <f>P60*Q60</f>
        <v>2713.6000000000004</v>
      </c>
      <c r="S60" s="14">
        <f>P60-R60</f>
        <v>678.39999999999964</v>
      </c>
      <c r="T60" s="9" t="s">
        <v>387</v>
      </c>
      <c r="U60" s="9" t="s">
        <v>388</v>
      </c>
      <c r="V60" s="9"/>
    </row>
    <row r="61" spans="1:22">
      <c r="A61" s="16" t="s">
        <v>518</v>
      </c>
      <c r="B61" s="17" t="s">
        <v>127</v>
      </c>
      <c r="C61" s="17" t="s">
        <v>128</v>
      </c>
      <c r="D61" s="18">
        <v>46067</v>
      </c>
      <c r="E61" s="16" t="s">
        <v>41</v>
      </c>
      <c r="F61" s="16" t="s">
        <v>470</v>
      </c>
      <c r="G61" s="16" t="s">
        <v>471</v>
      </c>
      <c r="H61" s="16" t="s">
        <v>471</v>
      </c>
      <c r="I61" s="16" t="s">
        <v>472</v>
      </c>
      <c r="J61" s="16" t="s">
        <v>519</v>
      </c>
      <c r="K61" s="17" t="s">
        <v>135</v>
      </c>
      <c r="L61" s="16"/>
      <c r="M61" s="19">
        <v>1</v>
      </c>
      <c r="N61" s="16" t="s">
        <v>468</v>
      </c>
      <c r="O61" s="20">
        <v>1325</v>
      </c>
      <c r="P61" s="21">
        <f>M61*O61</f>
        <v>1325</v>
      </c>
      <c r="Q61" s="22">
        <v>0.8</v>
      </c>
      <c r="R61" s="21">
        <f>P61*Q61</f>
        <v>1060</v>
      </c>
      <c r="S61" s="21">
        <f>P61-R61</f>
        <v>265</v>
      </c>
      <c r="T61" s="16" t="s">
        <v>387</v>
      </c>
      <c r="U61" s="16" t="s">
        <v>388</v>
      </c>
      <c r="V61" s="16"/>
    </row>
    <row r="62" spans="1:22">
      <c r="A62" s="9" t="s">
        <v>520</v>
      </c>
      <c r="B62" s="10" t="s">
        <v>127</v>
      </c>
      <c r="C62" s="10" t="s">
        <v>128</v>
      </c>
      <c r="D62" s="11">
        <v>46067</v>
      </c>
      <c r="E62" s="9" t="s">
        <v>41</v>
      </c>
      <c r="F62" s="9" t="s">
        <v>475</v>
      </c>
      <c r="G62" s="9" t="s">
        <v>476</v>
      </c>
      <c r="H62" s="9" t="s">
        <v>477</v>
      </c>
      <c r="I62" s="9" t="s">
        <v>478</v>
      </c>
      <c r="J62" s="9"/>
      <c r="K62" s="10" t="s">
        <v>135</v>
      </c>
      <c r="L62" s="9"/>
      <c r="M62" s="12">
        <v>1</v>
      </c>
      <c r="N62" s="9" t="s">
        <v>479</v>
      </c>
      <c r="O62" s="13">
        <v>6148</v>
      </c>
      <c r="P62" s="14">
        <f>M62*O62</f>
        <v>6148</v>
      </c>
      <c r="Q62" s="15">
        <v>0.8</v>
      </c>
      <c r="R62" s="14">
        <f>P62*Q62</f>
        <v>4918.4000000000005</v>
      </c>
      <c r="S62" s="14">
        <f>P62-R62</f>
        <v>1229.5999999999995</v>
      </c>
      <c r="T62" s="9" t="s">
        <v>387</v>
      </c>
      <c r="U62" s="9" t="s">
        <v>388</v>
      </c>
      <c r="V62" s="9"/>
    </row>
    <row r="63" spans="1:22">
      <c r="A63" s="16" t="s">
        <v>521</v>
      </c>
      <c r="B63" s="17" t="s">
        <v>127</v>
      </c>
      <c r="C63" s="17" t="s">
        <v>128</v>
      </c>
      <c r="D63" s="18">
        <v>46066</v>
      </c>
      <c r="E63" s="16" t="s">
        <v>41</v>
      </c>
      <c r="F63" s="16" t="s">
        <v>522</v>
      </c>
      <c r="G63" s="16" t="s">
        <v>523</v>
      </c>
      <c r="H63" s="16" t="s">
        <v>522</v>
      </c>
      <c r="I63" s="16" t="s">
        <v>524</v>
      </c>
      <c r="J63" s="16" t="s">
        <v>525</v>
      </c>
      <c r="K63" s="17" t="s">
        <v>135</v>
      </c>
      <c r="L63" s="16"/>
      <c r="M63" s="19">
        <v>3</v>
      </c>
      <c r="N63" s="16" t="s">
        <v>386</v>
      </c>
      <c r="O63" s="20">
        <v>2226</v>
      </c>
      <c r="P63" s="21">
        <f>M63*O63</f>
        <v>6678</v>
      </c>
      <c r="Q63" s="22">
        <v>0.8</v>
      </c>
      <c r="R63" s="21">
        <f>P63*Q63</f>
        <v>5342.4000000000005</v>
      </c>
      <c r="S63" s="21">
        <f>P63-R63</f>
        <v>1335.5999999999995</v>
      </c>
      <c r="T63" s="16" t="s">
        <v>387</v>
      </c>
      <c r="U63" s="16" t="s">
        <v>388</v>
      </c>
      <c r="V63" s="16"/>
    </row>
    <row r="64" spans="1:22">
      <c r="A64" s="9" t="s">
        <v>526</v>
      </c>
      <c r="B64" s="10" t="s">
        <v>142</v>
      </c>
      <c r="C64" s="10" t="s">
        <v>143</v>
      </c>
      <c r="D64" s="11">
        <v>46074</v>
      </c>
      <c r="E64" s="9" t="s">
        <v>41</v>
      </c>
      <c r="F64" s="9" t="s">
        <v>42</v>
      </c>
      <c r="G64" s="9" t="s">
        <v>384</v>
      </c>
      <c r="H64" s="9" t="s">
        <v>384</v>
      </c>
      <c r="I64" s="9" t="s">
        <v>385</v>
      </c>
      <c r="J64" s="9"/>
      <c r="K64" s="10" t="s">
        <v>149</v>
      </c>
      <c r="L64" s="9"/>
      <c r="M64" s="12">
        <v>8</v>
      </c>
      <c r="N64" s="9" t="s">
        <v>386</v>
      </c>
      <c r="O64" s="13">
        <v>611</v>
      </c>
      <c r="P64" s="14">
        <f>M64*O64</f>
        <v>4888</v>
      </c>
      <c r="Q64" s="15">
        <v>0</v>
      </c>
      <c r="R64" s="14">
        <f>P64*Q64</f>
        <v>0</v>
      </c>
      <c r="S64" s="14">
        <f>P64-R64</f>
        <v>4888</v>
      </c>
      <c r="T64" s="9" t="s">
        <v>387</v>
      </c>
      <c r="U64" s="9" t="s">
        <v>388</v>
      </c>
      <c r="V64" s="9"/>
    </row>
    <row r="65" spans="1:22">
      <c r="A65" s="16" t="s">
        <v>527</v>
      </c>
      <c r="B65" s="17" t="s">
        <v>142</v>
      </c>
      <c r="C65" s="17" t="s">
        <v>143</v>
      </c>
      <c r="D65" s="18">
        <v>46074</v>
      </c>
      <c r="E65" s="16" t="s">
        <v>41</v>
      </c>
      <c r="F65" s="16" t="s">
        <v>390</v>
      </c>
      <c r="G65" s="16" t="s">
        <v>391</v>
      </c>
      <c r="H65" s="16" t="s">
        <v>392</v>
      </c>
      <c r="I65" s="16" t="s">
        <v>393</v>
      </c>
      <c r="J65" s="16" t="s">
        <v>394</v>
      </c>
      <c r="K65" s="17" t="s">
        <v>149</v>
      </c>
      <c r="L65" s="16"/>
      <c r="M65" s="19">
        <v>1</v>
      </c>
      <c r="N65" s="16" t="s">
        <v>395</v>
      </c>
      <c r="O65" s="20">
        <v>291.39999999999998</v>
      </c>
      <c r="P65" s="21">
        <f>M65*O65</f>
        <v>291.39999999999998</v>
      </c>
      <c r="Q65" s="22">
        <v>0</v>
      </c>
      <c r="R65" s="21">
        <f>P65*Q65</f>
        <v>0</v>
      </c>
      <c r="S65" s="21">
        <f>P65-R65</f>
        <v>291.39999999999998</v>
      </c>
      <c r="T65" s="16" t="s">
        <v>387</v>
      </c>
      <c r="U65" s="16" t="s">
        <v>388</v>
      </c>
      <c r="V65" s="16"/>
    </row>
    <row r="66" spans="1:22">
      <c r="A66" s="9" t="s">
        <v>528</v>
      </c>
      <c r="B66" s="10" t="s">
        <v>142</v>
      </c>
      <c r="C66" s="10" t="s">
        <v>143</v>
      </c>
      <c r="D66" s="11">
        <v>46075</v>
      </c>
      <c r="E66" s="9" t="s">
        <v>41</v>
      </c>
      <c r="F66" s="9" t="s">
        <v>390</v>
      </c>
      <c r="G66" s="9" t="s">
        <v>391</v>
      </c>
      <c r="H66" s="9" t="s">
        <v>392</v>
      </c>
      <c r="I66" s="9" t="s">
        <v>393</v>
      </c>
      <c r="J66" s="9" t="s">
        <v>397</v>
      </c>
      <c r="K66" s="10" t="s">
        <v>149</v>
      </c>
      <c r="L66" s="9"/>
      <c r="M66" s="12">
        <v>7</v>
      </c>
      <c r="N66" s="9" t="s">
        <v>398</v>
      </c>
      <c r="O66" s="13">
        <v>173.9</v>
      </c>
      <c r="P66" s="14">
        <f>M66*O66</f>
        <v>1217.3</v>
      </c>
      <c r="Q66" s="15">
        <v>0</v>
      </c>
      <c r="R66" s="14">
        <f>P66*Q66</f>
        <v>0</v>
      </c>
      <c r="S66" s="14">
        <f>P66-R66</f>
        <v>1217.3</v>
      </c>
      <c r="T66" s="9" t="s">
        <v>387</v>
      </c>
      <c r="U66" s="9" t="s">
        <v>388</v>
      </c>
      <c r="V66" s="9"/>
    </row>
    <row r="67" spans="1:22">
      <c r="A67" s="16" t="s">
        <v>529</v>
      </c>
      <c r="B67" s="17" t="s">
        <v>142</v>
      </c>
      <c r="C67" s="17" t="s">
        <v>143</v>
      </c>
      <c r="D67" s="18">
        <v>46074</v>
      </c>
      <c r="E67" s="16" t="s">
        <v>41</v>
      </c>
      <c r="F67" s="16" t="s">
        <v>400</v>
      </c>
      <c r="G67" s="16" t="s">
        <v>400</v>
      </c>
      <c r="H67" s="16" t="s">
        <v>400</v>
      </c>
      <c r="I67" s="16" t="s">
        <v>401</v>
      </c>
      <c r="J67" s="16" t="s">
        <v>402</v>
      </c>
      <c r="K67" s="17" t="s">
        <v>149</v>
      </c>
      <c r="L67" s="16"/>
      <c r="M67" s="19">
        <v>1</v>
      </c>
      <c r="N67" s="16" t="s">
        <v>403</v>
      </c>
      <c r="O67" s="20">
        <v>89.3</v>
      </c>
      <c r="P67" s="21">
        <f>M67*O67</f>
        <v>89.3</v>
      </c>
      <c r="Q67" s="22">
        <v>0</v>
      </c>
      <c r="R67" s="21">
        <f>P67*Q67</f>
        <v>0</v>
      </c>
      <c r="S67" s="21">
        <f>P67-R67</f>
        <v>89.3</v>
      </c>
      <c r="T67" s="16" t="s">
        <v>387</v>
      </c>
      <c r="U67" s="16" t="s">
        <v>388</v>
      </c>
      <c r="V67" s="16"/>
    </row>
    <row r="68" spans="1:22">
      <c r="A68" s="9" t="s">
        <v>530</v>
      </c>
      <c r="B68" s="10" t="s">
        <v>142</v>
      </c>
      <c r="C68" s="10" t="s">
        <v>143</v>
      </c>
      <c r="D68" s="11">
        <v>46074</v>
      </c>
      <c r="E68" s="9" t="s">
        <v>41</v>
      </c>
      <c r="F68" s="9" t="s">
        <v>400</v>
      </c>
      <c r="G68" s="9" t="s">
        <v>400</v>
      </c>
      <c r="H68" s="9" t="s">
        <v>405</v>
      </c>
      <c r="I68" s="9" t="s">
        <v>406</v>
      </c>
      <c r="J68" s="9" t="s">
        <v>407</v>
      </c>
      <c r="K68" s="10" t="s">
        <v>149</v>
      </c>
      <c r="L68" s="9"/>
      <c r="M68" s="12">
        <v>1</v>
      </c>
      <c r="N68" s="9" t="s">
        <v>408</v>
      </c>
      <c r="O68" s="13">
        <v>122.2</v>
      </c>
      <c r="P68" s="14">
        <f>M68*O68</f>
        <v>122.2</v>
      </c>
      <c r="Q68" s="15">
        <v>0</v>
      </c>
      <c r="R68" s="14">
        <f>P68*Q68</f>
        <v>0</v>
      </c>
      <c r="S68" s="14">
        <f>P68-R68</f>
        <v>122.2</v>
      </c>
      <c r="T68" s="9" t="s">
        <v>387</v>
      </c>
      <c r="U68" s="9" t="s">
        <v>388</v>
      </c>
      <c r="V68" s="9"/>
    </row>
    <row r="69" spans="1:22">
      <c r="A69" s="16" t="s">
        <v>531</v>
      </c>
      <c r="B69" s="17" t="s">
        <v>142</v>
      </c>
      <c r="C69" s="17" t="s">
        <v>143</v>
      </c>
      <c r="D69" s="18">
        <v>46074</v>
      </c>
      <c r="E69" s="16" t="s">
        <v>41</v>
      </c>
      <c r="F69" s="16" t="s">
        <v>410</v>
      </c>
      <c r="G69" s="16" t="s">
        <v>410</v>
      </c>
      <c r="H69" s="16" t="s">
        <v>410</v>
      </c>
      <c r="I69" s="16" t="s">
        <v>411</v>
      </c>
      <c r="J69" s="16"/>
      <c r="K69" s="17" t="s">
        <v>149</v>
      </c>
      <c r="L69" s="16"/>
      <c r="M69" s="19">
        <v>8</v>
      </c>
      <c r="N69" s="16" t="s">
        <v>386</v>
      </c>
      <c r="O69" s="20">
        <v>394.8</v>
      </c>
      <c r="P69" s="21">
        <f>M69*O69</f>
        <v>3158.4</v>
      </c>
      <c r="Q69" s="22">
        <v>0</v>
      </c>
      <c r="R69" s="21">
        <f>P69*Q69</f>
        <v>0</v>
      </c>
      <c r="S69" s="21">
        <f>P69-R69</f>
        <v>3158.4</v>
      </c>
      <c r="T69" s="16" t="s">
        <v>387</v>
      </c>
      <c r="U69" s="23" t="s">
        <v>532</v>
      </c>
      <c r="V69" s="23" t="s">
        <v>533</v>
      </c>
    </row>
    <row r="70" spans="1:22">
      <c r="A70" s="9" t="s">
        <v>534</v>
      </c>
      <c r="B70" s="10" t="s">
        <v>142</v>
      </c>
      <c r="C70" s="10" t="s">
        <v>143</v>
      </c>
      <c r="D70" s="11">
        <v>46074</v>
      </c>
      <c r="E70" s="9" t="s">
        <v>41</v>
      </c>
      <c r="F70" s="9" t="s">
        <v>413</v>
      </c>
      <c r="G70" s="9" t="s">
        <v>414</v>
      </c>
      <c r="H70" s="9" t="s">
        <v>415</v>
      </c>
      <c r="I70" s="9" t="s">
        <v>416</v>
      </c>
      <c r="J70" s="9"/>
      <c r="K70" s="10" t="s">
        <v>149</v>
      </c>
      <c r="L70" s="9"/>
      <c r="M70" s="12">
        <v>4</v>
      </c>
      <c r="N70" s="9" t="s">
        <v>417</v>
      </c>
      <c r="O70" s="13">
        <v>329</v>
      </c>
      <c r="P70" s="14">
        <f>M70*O70</f>
        <v>1316</v>
      </c>
      <c r="Q70" s="15">
        <v>0</v>
      </c>
      <c r="R70" s="14">
        <f>P70*Q70</f>
        <v>0</v>
      </c>
      <c r="S70" s="14">
        <f>P70-R70</f>
        <v>1316</v>
      </c>
      <c r="T70" s="9" t="s">
        <v>387</v>
      </c>
      <c r="U70" s="9" t="s">
        <v>388</v>
      </c>
      <c r="V70" s="9"/>
    </row>
    <row r="71" spans="1:22">
      <c r="A71" s="16" t="s">
        <v>535</v>
      </c>
      <c r="B71" s="17" t="s">
        <v>157</v>
      </c>
      <c r="C71" s="17" t="s">
        <v>158</v>
      </c>
      <c r="D71" s="18">
        <v>46082</v>
      </c>
      <c r="E71" s="16" t="s">
        <v>41</v>
      </c>
      <c r="F71" s="16" t="s">
        <v>113</v>
      </c>
      <c r="G71" s="16" t="s">
        <v>384</v>
      </c>
      <c r="H71" s="16" t="s">
        <v>384</v>
      </c>
      <c r="I71" s="16" t="s">
        <v>385</v>
      </c>
      <c r="J71" s="16"/>
      <c r="K71" s="17" t="s">
        <v>162</v>
      </c>
      <c r="L71" s="16"/>
      <c r="M71" s="19">
        <v>8</v>
      </c>
      <c r="N71" s="16" t="s">
        <v>386</v>
      </c>
      <c r="O71" s="20">
        <v>748.8</v>
      </c>
      <c r="P71" s="21">
        <f>M71*O71</f>
        <v>5990.4</v>
      </c>
      <c r="Q71" s="22">
        <v>0.8</v>
      </c>
      <c r="R71" s="21">
        <f>P71*Q71</f>
        <v>4792.32</v>
      </c>
      <c r="S71" s="21">
        <f>P71-R71</f>
        <v>1198.08</v>
      </c>
      <c r="T71" s="16" t="s">
        <v>387</v>
      </c>
      <c r="U71" s="16" t="s">
        <v>388</v>
      </c>
      <c r="V71" s="16"/>
    </row>
    <row r="72" spans="1:22">
      <c r="A72" s="9" t="s">
        <v>536</v>
      </c>
      <c r="B72" s="10" t="s">
        <v>157</v>
      </c>
      <c r="C72" s="10" t="s">
        <v>158</v>
      </c>
      <c r="D72" s="11">
        <v>46082</v>
      </c>
      <c r="E72" s="9" t="s">
        <v>41</v>
      </c>
      <c r="F72" s="9" t="s">
        <v>390</v>
      </c>
      <c r="G72" s="9" t="s">
        <v>391</v>
      </c>
      <c r="H72" s="9" t="s">
        <v>392</v>
      </c>
      <c r="I72" s="9" t="s">
        <v>393</v>
      </c>
      <c r="J72" s="9" t="s">
        <v>394</v>
      </c>
      <c r="K72" s="10" t="s">
        <v>162</v>
      </c>
      <c r="L72" s="9"/>
      <c r="M72" s="12">
        <v>1</v>
      </c>
      <c r="N72" s="9" t="s">
        <v>395</v>
      </c>
      <c r="O72" s="13">
        <v>297.60000000000002</v>
      </c>
      <c r="P72" s="14">
        <f>M72*O72</f>
        <v>297.60000000000002</v>
      </c>
      <c r="Q72" s="15">
        <v>0.8</v>
      </c>
      <c r="R72" s="14">
        <f>P72*Q72</f>
        <v>238.08000000000004</v>
      </c>
      <c r="S72" s="14">
        <f>P72-R72</f>
        <v>59.519999999999982</v>
      </c>
      <c r="T72" s="9" t="s">
        <v>387</v>
      </c>
      <c r="U72" s="9" t="s">
        <v>388</v>
      </c>
      <c r="V72" s="9"/>
    </row>
    <row r="73" spans="1:22">
      <c r="A73" s="16" t="s">
        <v>537</v>
      </c>
      <c r="B73" s="17" t="s">
        <v>157</v>
      </c>
      <c r="C73" s="17" t="s">
        <v>158</v>
      </c>
      <c r="D73" s="18">
        <v>46083</v>
      </c>
      <c r="E73" s="16" t="s">
        <v>41</v>
      </c>
      <c r="F73" s="16" t="s">
        <v>390</v>
      </c>
      <c r="G73" s="16" t="s">
        <v>391</v>
      </c>
      <c r="H73" s="16" t="s">
        <v>392</v>
      </c>
      <c r="I73" s="16" t="s">
        <v>393</v>
      </c>
      <c r="J73" s="16" t="s">
        <v>397</v>
      </c>
      <c r="K73" s="17" t="s">
        <v>162</v>
      </c>
      <c r="L73" s="16"/>
      <c r="M73" s="19">
        <v>7</v>
      </c>
      <c r="N73" s="16" t="s">
        <v>398</v>
      </c>
      <c r="O73" s="20">
        <v>177.6</v>
      </c>
      <c r="P73" s="21">
        <f>M73*O73</f>
        <v>1243.2</v>
      </c>
      <c r="Q73" s="22">
        <v>0.8</v>
      </c>
      <c r="R73" s="21">
        <f>P73*Q73</f>
        <v>994.56000000000006</v>
      </c>
      <c r="S73" s="21">
        <f>P73-R73</f>
        <v>248.64</v>
      </c>
      <c r="T73" s="16" t="s">
        <v>387</v>
      </c>
      <c r="U73" s="16" t="s">
        <v>388</v>
      </c>
      <c r="V73" s="16"/>
    </row>
    <row r="74" spans="1:22">
      <c r="A74" s="9" t="s">
        <v>538</v>
      </c>
      <c r="B74" s="10" t="s">
        <v>157</v>
      </c>
      <c r="C74" s="10" t="s">
        <v>158</v>
      </c>
      <c r="D74" s="11">
        <v>46082</v>
      </c>
      <c r="E74" s="9" t="s">
        <v>41</v>
      </c>
      <c r="F74" s="9" t="s">
        <v>400</v>
      </c>
      <c r="G74" s="9" t="s">
        <v>400</v>
      </c>
      <c r="H74" s="9" t="s">
        <v>400</v>
      </c>
      <c r="I74" s="9" t="s">
        <v>401</v>
      </c>
      <c r="J74" s="9" t="s">
        <v>402</v>
      </c>
      <c r="K74" s="10" t="s">
        <v>162</v>
      </c>
      <c r="L74" s="9"/>
      <c r="M74" s="12">
        <v>1</v>
      </c>
      <c r="N74" s="9" t="s">
        <v>403</v>
      </c>
      <c r="O74" s="13">
        <v>91.2</v>
      </c>
      <c r="P74" s="14">
        <f>M74*O74</f>
        <v>91.2</v>
      </c>
      <c r="Q74" s="15">
        <v>0.8</v>
      </c>
      <c r="R74" s="14">
        <f>P74*Q74</f>
        <v>72.960000000000008</v>
      </c>
      <c r="S74" s="14">
        <f>P74-R74</f>
        <v>18.239999999999995</v>
      </c>
      <c r="T74" s="9" t="s">
        <v>387</v>
      </c>
      <c r="U74" s="9" t="s">
        <v>388</v>
      </c>
      <c r="V74" s="9"/>
    </row>
    <row r="75" spans="1:22">
      <c r="A75" s="16" t="s">
        <v>539</v>
      </c>
      <c r="B75" s="17" t="s">
        <v>157</v>
      </c>
      <c r="C75" s="17" t="s">
        <v>158</v>
      </c>
      <c r="D75" s="18">
        <v>46082</v>
      </c>
      <c r="E75" s="16" t="s">
        <v>41</v>
      </c>
      <c r="F75" s="16" t="s">
        <v>400</v>
      </c>
      <c r="G75" s="16" t="s">
        <v>400</v>
      </c>
      <c r="H75" s="16" t="s">
        <v>405</v>
      </c>
      <c r="I75" s="16" t="s">
        <v>406</v>
      </c>
      <c r="J75" s="16" t="s">
        <v>407</v>
      </c>
      <c r="K75" s="17" t="s">
        <v>162</v>
      </c>
      <c r="L75" s="16"/>
      <c r="M75" s="19">
        <v>1</v>
      </c>
      <c r="N75" s="16" t="s">
        <v>408</v>
      </c>
      <c r="O75" s="20">
        <v>124.8</v>
      </c>
      <c r="P75" s="21">
        <f>M75*O75</f>
        <v>124.8</v>
      </c>
      <c r="Q75" s="22">
        <v>0.8</v>
      </c>
      <c r="R75" s="21">
        <f>P75*Q75</f>
        <v>99.84</v>
      </c>
      <c r="S75" s="21">
        <f>P75-R75</f>
        <v>24.959999999999994</v>
      </c>
      <c r="T75" s="16" t="s">
        <v>387</v>
      </c>
      <c r="U75" s="16" t="s">
        <v>388</v>
      </c>
      <c r="V75" s="16"/>
    </row>
    <row r="76" spans="1:22">
      <c r="A76" s="9" t="s">
        <v>540</v>
      </c>
      <c r="B76" s="10" t="s">
        <v>157</v>
      </c>
      <c r="C76" s="10" t="s">
        <v>158</v>
      </c>
      <c r="D76" s="11">
        <v>46082</v>
      </c>
      <c r="E76" s="9" t="s">
        <v>41</v>
      </c>
      <c r="F76" s="9" t="s">
        <v>410</v>
      </c>
      <c r="G76" s="9" t="s">
        <v>410</v>
      </c>
      <c r="H76" s="9" t="s">
        <v>410</v>
      </c>
      <c r="I76" s="9" t="s">
        <v>411</v>
      </c>
      <c r="J76" s="9"/>
      <c r="K76" s="10" t="s">
        <v>162</v>
      </c>
      <c r="L76" s="9"/>
      <c r="M76" s="12">
        <v>8</v>
      </c>
      <c r="N76" s="9" t="s">
        <v>386</v>
      </c>
      <c r="O76" s="13">
        <v>403.2</v>
      </c>
      <c r="P76" s="14">
        <f>M76*O76</f>
        <v>3225.6</v>
      </c>
      <c r="Q76" s="15">
        <v>0.8</v>
      </c>
      <c r="R76" s="14">
        <f>P76*Q76</f>
        <v>2580.48</v>
      </c>
      <c r="S76" s="14">
        <f>P76-R76</f>
        <v>645.11999999999989</v>
      </c>
      <c r="T76" s="9" t="s">
        <v>387</v>
      </c>
      <c r="U76" s="9" t="s">
        <v>388</v>
      </c>
      <c r="V76" s="9"/>
    </row>
    <row r="77" spans="1:22">
      <c r="A77" s="16" t="s">
        <v>541</v>
      </c>
      <c r="B77" s="17" t="s">
        <v>157</v>
      </c>
      <c r="C77" s="17" t="s">
        <v>158</v>
      </c>
      <c r="D77" s="18">
        <v>46082</v>
      </c>
      <c r="E77" s="16" t="s">
        <v>41</v>
      </c>
      <c r="F77" s="16" t="s">
        <v>413</v>
      </c>
      <c r="G77" s="16" t="s">
        <v>414</v>
      </c>
      <c r="H77" s="16" t="s">
        <v>415</v>
      </c>
      <c r="I77" s="16" t="s">
        <v>416</v>
      </c>
      <c r="J77" s="16"/>
      <c r="K77" s="17" t="s">
        <v>162</v>
      </c>
      <c r="L77" s="16"/>
      <c r="M77" s="19">
        <v>4</v>
      </c>
      <c r="N77" s="16" t="s">
        <v>417</v>
      </c>
      <c r="O77" s="20">
        <v>336</v>
      </c>
      <c r="P77" s="21">
        <f>M77*O77</f>
        <v>1344</v>
      </c>
      <c r="Q77" s="22">
        <v>0.8</v>
      </c>
      <c r="R77" s="21">
        <f>P77*Q77</f>
        <v>1075.2</v>
      </c>
      <c r="S77" s="21">
        <f>P77-R77</f>
        <v>268.79999999999995</v>
      </c>
      <c r="T77" s="16" t="s">
        <v>387</v>
      </c>
      <c r="U77" s="16" t="s">
        <v>388</v>
      </c>
      <c r="V77" s="16"/>
    </row>
    <row r="78" spans="1:22">
      <c r="A78" s="9" t="s">
        <v>542</v>
      </c>
      <c r="B78" s="10" t="s">
        <v>157</v>
      </c>
      <c r="C78" s="10" t="s">
        <v>158</v>
      </c>
      <c r="D78" s="11">
        <v>46082</v>
      </c>
      <c r="E78" s="9" t="s">
        <v>41</v>
      </c>
      <c r="F78" s="9" t="s">
        <v>419</v>
      </c>
      <c r="G78" s="9" t="s">
        <v>420</v>
      </c>
      <c r="H78" s="9" t="s">
        <v>421</v>
      </c>
      <c r="I78" s="9" t="s">
        <v>422</v>
      </c>
      <c r="J78" s="9" t="s">
        <v>423</v>
      </c>
      <c r="K78" s="10" t="s">
        <v>162</v>
      </c>
      <c r="L78" s="9"/>
      <c r="M78" s="12">
        <v>1</v>
      </c>
      <c r="N78" s="9" t="s">
        <v>424</v>
      </c>
      <c r="O78" s="13">
        <v>201.6</v>
      </c>
      <c r="P78" s="14">
        <f>M78*O78</f>
        <v>201.6</v>
      </c>
      <c r="Q78" s="15">
        <v>0.8</v>
      </c>
      <c r="R78" s="14">
        <f>P78*Q78</f>
        <v>161.28</v>
      </c>
      <c r="S78" s="14">
        <f>P78-R78</f>
        <v>40.319999999999993</v>
      </c>
      <c r="T78" s="9" t="s">
        <v>387</v>
      </c>
      <c r="U78" s="9" t="s">
        <v>388</v>
      </c>
      <c r="V78" s="9"/>
    </row>
    <row r="79" spans="1:22">
      <c r="A79" s="16" t="s">
        <v>543</v>
      </c>
      <c r="B79" s="17" t="s">
        <v>157</v>
      </c>
      <c r="C79" s="17" t="s">
        <v>158</v>
      </c>
      <c r="D79" s="18">
        <v>46083</v>
      </c>
      <c r="E79" s="16" t="s">
        <v>41</v>
      </c>
      <c r="F79" s="16" t="s">
        <v>464</v>
      </c>
      <c r="G79" s="16" t="s">
        <v>465</v>
      </c>
      <c r="H79" s="16" t="s">
        <v>466</v>
      </c>
      <c r="I79" s="16" t="s">
        <v>467</v>
      </c>
      <c r="J79" s="16" t="s">
        <v>544</v>
      </c>
      <c r="K79" s="17" t="s">
        <v>162</v>
      </c>
      <c r="L79" s="16"/>
      <c r="M79" s="19">
        <v>1</v>
      </c>
      <c r="N79" s="16" t="s">
        <v>468</v>
      </c>
      <c r="O79" s="20">
        <v>3072</v>
      </c>
      <c r="P79" s="21">
        <f>M79*O79</f>
        <v>3072</v>
      </c>
      <c r="Q79" s="22">
        <v>0.8</v>
      </c>
      <c r="R79" s="21">
        <f>P79*Q79</f>
        <v>2457.6000000000004</v>
      </c>
      <c r="S79" s="21">
        <f>P79-R79</f>
        <v>614.39999999999964</v>
      </c>
      <c r="T79" s="16" t="s">
        <v>387</v>
      </c>
      <c r="U79" s="16" t="s">
        <v>388</v>
      </c>
      <c r="V79" s="16"/>
    </row>
    <row r="80" spans="1:22">
      <c r="A80" s="9" t="s">
        <v>545</v>
      </c>
      <c r="B80" s="10" t="s">
        <v>157</v>
      </c>
      <c r="C80" s="10" t="s">
        <v>158</v>
      </c>
      <c r="D80" s="11">
        <v>46083</v>
      </c>
      <c r="E80" s="9" t="s">
        <v>41</v>
      </c>
      <c r="F80" s="9" t="s">
        <v>470</v>
      </c>
      <c r="G80" s="9" t="s">
        <v>471</v>
      </c>
      <c r="H80" s="9" t="s">
        <v>471</v>
      </c>
      <c r="I80" s="9" t="s">
        <v>472</v>
      </c>
      <c r="J80" s="9" t="s">
        <v>546</v>
      </c>
      <c r="K80" s="10" t="s">
        <v>162</v>
      </c>
      <c r="L80" s="9"/>
      <c r="M80" s="12">
        <v>1</v>
      </c>
      <c r="N80" s="9" t="s">
        <v>468</v>
      </c>
      <c r="O80" s="13">
        <v>1200</v>
      </c>
      <c r="P80" s="14">
        <f>M80*O80</f>
        <v>1200</v>
      </c>
      <c r="Q80" s="15">
        <v>0.8</v>
      </c>
      <c r="R80" s="14">
        <f>P80*Q80</f>
        <v>960</v>
      </c>
      <c r="S80" s="14">
        <f>P80-R80</f>
        <v>240</v>
      </c>
      <c r="T80" s="9" t="s">
        <v>387</v>
      </c>
      <c r="U80" s="9" t="s">
        <v>388</v>
      </c>
      <c r="V80" s="9"/>
    </row>
    <row r="81" spans="1:22">
      <c r="A81" s="16" t="s">
        <v>547</v>
      </c>
      <c r="B81" s="17" t="s">
        <v>157</v>
      </c>
      <c r="C81" s="17" t="s">
        <v>158</v>
      </c>
      <c r="D81" s="18">
        <v>46083</v>
      </c>
      <c r="E81" s="16" t="s">
        <v>41</v>
      </c>
      <c r="F81" s="16" t="s">
        <v>475</v>
      </c>
      <c r="G81" s="16" t="s">
        <v>476</v>
      </c>
      <c r="H81" s="16" t="s">
        <v>477</v>
      </c>
      <c r="I81" s="16" t="s">
        <v>478</v>
      </c>
      <c r="J81" s="16"/>
      <c r="K81" s="17" t="s">
        <v>162</v>
      </c>
      <c r="L81" s="16"/>
      <c r="M81" s="19">
        <v>1</v>
      </c>
      <c r="N81" s="16" t="s">
        <v>479</v>
      </c>
      <c r="O81" s="20">
        <v>5568</v>
      </c>
      <c r="P81" s="21">
        <f>M81*O81</f>
        <v>5568</v>
      </c>
      <c r="Q81" s="22">
        <v>0.8</v>
      </c>
      <c r="R81" s="21">
        <f>P81*Q81</f>
        <v>4454.4000000000005</v>
      </c>
      <c r="S81" s="21">
        <f>P81-R81</f>
        <v>1113.5999999999995</v>
      </c>
      <c r="T81" s="16" t="s">
        <v>387</v>
      </c>
      <c r="U81" s="16" t="s">
        <v>388</v>
      </c>
      <c r="V81" s="16"/>
    </row>
    <row r="82" spans="1:22">
      <c r="A82" s="9" t="s">
        <v>548</v>
      </c>
      <c r="B82" s="10" t="s">
        <v>157</v>
      </c>
      <c r="C82" s="10" t="s">
        <v>158</v>
      </c>
      <c r="D82" s="11">
        <v>46084</v>
      </c>
      <c r="E82" s="9" t="s">
        <v>41</v>
      </c>
      <c r="F82" s="9" t="s">
        <v>503</v>
      </c>
      <c r="G82" s="9" t="s">
        <v>427</v>
      </c>
      <c r="H82" s="9" t="s">
        <v>504</v>
      </c>
      <c r="I82" s="9" t="s">
        <v>505</v>
      </c>
      <c r="J82" s="9" t="s">
        <v>506</v>
      </c>
      <c r="K82" s="10" t="s">
        <v>162</v>
      </c>
      <c r="L82" s="9"/>
      <c r="M82" s="12">
        <v>6</v>
      </c>
      <c r="N82" s="9" t="s">
        <v>431</v>
      </c>
      <c r="O82" s="13">
        <v>182.4</v>
      </c>
      <c r="P82" s="14">
        <f>M82*O82</f>
        <v>1094.4000000000001</v>
      </c>
      <c r="Q82" s="15">
        <v>0.8</v>
      </c>
      <c r="R82" s="14">
        <f>P82*Q82</f>
        <v>875.5200000000001</v>
      </c>
      <c r="S82" s="14">
        <f>P82-R82</f>
        <v>218.88</v>
      </c>
      <c r="T82" s="9" t="s">
        <v>387</v>
      </c>
      <c r="U82" s="9" t="s">
        <v>388</v>
      </c>
      <c r="V82" s="9"/>
    </row>
    <row r="83" spans="1:22">
      <c r="A83" s="16" t="s">
        <v>549</v>
      </c>
      <c r="B83" s="17" t="s">
        <v>168</v>
      </c>
      <c r="C83" s="17" t="s">
        <v>169</v>
      </c>
      <c r="D83" s="18">
        <v>46090</v>
      </c>
      <c r="E83" s="16" t="s">
        <v>41</v>
      </c>
      <c r="F83" s="16" t="s">
        <v>80</v>
      </c>
      <c r="G83" s="16" t="s">
        <v>384</v>
      </c>
      <c r="H83" s="16" t="s">
        <v>384</v>
      </c>
      <c r="I83" s="16" t="s">
        <v>385</v>
      </c>
      <c r="J83" s="16"/>
      <c r="K83" s="17" t="s">
        <v>173</v>
      </c>
      <c r="L83" s="16"/>
      <c r="M83" s="19">
        <v>5</v>
      </c>
      <c r="N83" s="16" t="s">
        <v>386</v>
      </c>
      <c r="O83" s="20">
        <v>710.5</v>
      </c>
      <c r="P83" s="21">
        <f>M83*O83</f>
        <v>3552.5</v>
      </c>
      <c r="Q83" s="22">
        <v>0.8</v>
      </c>
      <c r="R83" s="21">
        <f>P83*Q83</f>
        <v>2842</v>
      </c>
      <c r="S83" s="21">
        <f>P83-R83</f>
        <v>710.5</v>
      </c>
      <c r="T83" s="16" t="s">
        <v>387</v>
      </c>
      <c r="U83" s="16" t="s">
        <v>388</v>
      </c>
      <c r="V83" s="16"/>
    </row>
    <row r="84" spans="1:22">
      <c r="A84" s="9" t="s">
        <v>550</v>
      </c>
      <c r="B84" s="10" t="s">
        <v>168</v>
      </c>
      <c r="C84" s="10" t="s">
        <v>169</v>
      </c>
      <c r="D84" s="11">
        <v>46090</v>
      </c>
      <c r="E84" s="9" t="s">
        <v>41</v>
      </c>
      <c r="F84" s="9" t="s">
        <v>390</v>
      </c>
      <c r="G84" s="9" t="s">
        <v>391</v>
      </c>
      <c r="H84" s="9" t="s">
        <v>392</v>
      </c>
      <c r="I84" s="9" t="s">
        <v>393</v>
      </c>
      <c r="J84" s="9" t="s">
        <v>394</v>
      </c>
      <c r="K84" s="10" t="s">
        <v>173</v>
      </c>
      <c r="L84" s="9"/>
      <c r="M84" s="12">
        <v>1</v>
      </c>
      <c r="N84" s="9" t="s">
        <v>395</v>
      </c>
      <c r="O84" s="13">
        <v>303.8</v>
      </c>
      <c r="P84" s="14">
        <f>M84*O84</f>
        <v>303.8</v>
      </c>
      <c r="Q84" s="15">
        <v>0.8</v>
      </c>
      <c r="R84" s="14">
        <f>P84*Q84</f>
        <v>243.04000000000002</v>
      </c>
      <c r="S84" s="14">
        <f>P84-R84</f>
        <v>60.759999999999991</v>
      </c>
      <c r="T84" s="9" t="s">
        <v>387</v>
      </c>
      <c r="U84" s="9" t="s">
        <v>388</v>
      </c>
      <c r="V84" s="9"/>
    </row>
    <row r="85" spans="1:22">
      <c r="A85" s="16" t="s">
        <v>551</v>
      </c>
      <c r="B85" s="17" t="s">
        <v>168</v>
      </c>
      <c r="C85" s="17" t="s">
        <v>169</v>
      </c>
      <c r="D85" s="18">
        <v>46091</v>
      </c>
      <c r="E85" s="16" t="s">
        <v>41</v>
      </c>
      <c r="F85" s="16" t="s">
        <v>390</v>
      </c>
      <c r="G85" s="16" t="s">
        <v>391</v>
      </c>
      <c r="H85" s="16" t="s">
        <v>392</v>
      </c>
      <c r="I85" s="16" t="s">
        <v>393</v>
      </c>
      <c r="J85" s="16" t="s">
        <v>397</v>
      </c>
      <c r="K85" s="17" t="s">
        <v>173</v>
      </c>
      <c r="L85" s="16"/>
      <c r="M85" s="19">
        <v>4</v>
      </c>
      <c r="N85" s="16" t="s">
        <v>398</v>
      </c>
      <c r="O85" s="20">
        <v>181.3</v>
      </c>
      <c r="P85" s="21">
        <f>M85*O85</f>
        <v>725.2</v>
      </c>
      <c r="Q85" s="22">
        <v>0.8</v>
      </c>
      <c r="R85" s="21">
        <f>P85*Q85</f>
        <v>580.16000000000008</v>
      </c>
      <c r="S85" s="21">
        <f>P85-R85</f>
        <v>145.03999999999996</v>
      </c>
      <c r="T85" s="16" t="s">
        <v>387</v>
      </c>
      <c r="U85" s="16" t="s">
        <v>388</v>
      </c>
      <c r="V85" s="16"/>
    </row>
    <row r="86" spans="1:22">
      <c r="A86" s="9" t="s">
        <v>552</v>
      </c>
      <c r="B86" s="10" t="s">
        <v>168</v>
      </c>
      <c r="C86" s="10" t="s">
        <v>169</v>
      </c>
      <c r="D86" s="11">
        <v>46090</v>
      </c>
      <c r="E86" s="9" t="s">
        <v>41</v>
      </c>
      <c r="F86" s="9" t="s">
        <v>400</v>
      </c>
      <c r="G86" s="9" t="s">
        <v>400</v>
      </c>
      <c r="H86" s="9" t="s">
        <v>400</v>
      </c>
      <c r="I86" s="9" t="s">
        <v>401</v>
      </c>
      <c r="J86" s="9" t="s">
        <v>402</v>
      </c>
      <c r="K86" s="10" t="s">
        <v>173</v>
      </c>
      <c r="L86" s="9"/>
      <c r="M86" s="12">
        <v>1</v>
      </c>
      <c r="N86" s="9" t="s">
        <v>403</v>
      </c>
      <c r="O86" s="13">
        <v>93.1</v>
      </c>
      <c r="P86" s="14">
        <f>M86*O86</f>
        <v>93.1</v>
      </c>
      <c r="Q86" s="15">
        <v>0.8</v>
      </c>
      <c r="R86" s="14">
        <f>P86*Q86</f>
        <v>74.48</v>
      </c>
      <c r="S86" s="14">
        <f>P86-R86</f>
        <v>18.61999999999999</v>
      </c>
      <c r="T86" s="9" t="s">
        <v>387</v>
      </c>
      <c r="U86" s="9" t="s">
        <v>388</v>
      </c>
      <c r="V86" s="9"/>
    </row>
    <row r="87" spans="1:22">
      <c r="A87" s="16" t="s">
        <v>553</v>
      </c>
      <c r="B87" s="17" t="s">
        <v>168</v>
      </c>
      <c r="C87" s="17" t="s">
        <v>169</v>
      </c>
      <c r="D87" s="18">
        <v>46090</v>
      </c>
      <c r="E87" s="16" t="s">
        <v>41</v>
      </c>
      <c r="F87" s="16" t="s">
        <v>400</v>
      </c>
      <c r="G87" s="16" t="s">
        <v>400</v>
      </c>
      <c r="H87" s="16" t="s">
        <v>405</v>
      </c>
      <c r="I87" s="16" t="s">
        <v>406</v>
      </c>
      <c r="J87" s="16" t="s">
        <v>407</v>
      </c>
      <c r="K87" s="17" t="s">
        <v>173</v>
      </c>
      <c r="L87" s="16"/>
      <c r="M87" s="19">
        <v>1</v>
      </c>
      <c r="N87" s="16" t="s">
        <v>408</v>
      </c>
      <c r="O87" s="20">
        <v>127.4</v>
      </c>
      <c r="P87" s="21">
        <f>M87*O87</f>
        <v>127.4</v>
      </c>
      <c r="Q87" s="22">
        <v>0.8</v>
      </c>
      <c r="R87" s="21">
        <f>P87*Q87</f>
        <v>101.92000000000002</v>
      </c>
      <c r="S87" s="21">
        <f>P87-R87</f>
        <v>25.47999999999999</v>
      </c>
      <c r="T87" s="16" t="s">
        <v>387</v>
      </c>
      <c r="U87" s="16" t="s">
        <v>388</v>
      </c>
      <c r="V87" s="16"/>
    </row>
    <row r="88" spans="1:22">
      <c r="A88" s="9" t="s">
        <v>554</v>
      </c>
      <c r="B88" s="10" t="s">
        <v>168</v>
      </c>
      <c r="C88" s="10" t="s">
        <v>169</v>
      </c>
      <c r="D88" s="11">
        <v>46090</v>
      </c>
      <c r="E88" s="9" t="s">
        <v>41</v>
      </c>
      <c r="F88" s="9" t="s">
        <v>410</v>
      </c>
      <c r="G88" s="9" t="s">
        <v>410</v>
      </c>
      <c r="H88" s="9" t="s">
        <v>410</v>
      </c>
      <c r="I88" s="9" t="s">
        <v>411</v>
      </c>
      <c r="J88" s="9"/>
      <c r="K88" s="10" t="s">
        <v>173</v>
      </c>
      <c r="L88" s="9"/>
      <c r="M88" s="12">
        <v>5</v>
      </c>
      <c r="N88" s="9" t="s">
        <v>386</v>
      </c>
      <c r="O88" s="13">
        <v>411.6</v>
      </c>
      <c r="P88" s="14">
        <f>M88*O88</f>
        <v>2058</v>
      </c>
      <c r="Q88" s="15">
        <v>0.8</v>
      </c>
      <c r="R88" s="14">
        <f>P88*Q88</f>
        <v>1646.4</v>
      </c>
      <c r="S88" s="14">
        <f>P88-R88</f>
        <v>411.59999999999991</v>
      </c>
      <c r="T88" s="9" t="s">
        <v>387</v>
      </c>
      <c r="U88" s="9" t="s">
        <v>388</v>
      </c>
      <c r="V88" s="9"/>
    </row>
    <row r="89" spans="1:22">
      <c r="A89" s="16" t="s">
        <v>555</v>
      </c>
      <c r="B89" s="17" t="s">
        <v>168</v>
      </c>
      <c r="C89" s="17" t="s">
        <v>169</v>
      </c>
      <c r="D89" s="18">
        <v>46090</v>
      </c>
      <c r="E89" s="16" t="s">
        <v>41</v>
      </c>
      <c r="F89" s="16" t="s">
        <v>413</v>
      </c>
      <c r="G89" s="16" t="s">
        <v>414</v>
      </c>
      <c r="H89" s="16" t="s">
        <v>415</v>
      </c>
      <c r="I89" s="16" t="s">
        <v>416</v>
      </c>
      <c r="J89" s="16"/>
      <c r="K89" s="17" t="s">
        <v>173</v>
      </c>
      <c r="L89" s="16"/>
      <c r="M89" s="19">
        <v>2</v>
      </c>
      <c r="N89" s="16" t="s">
        <v>417</v>
      </c>
      <c r="O89" s="20">
        <v>343</v>
      </c>
      <c r="P89" s="21">
        <f>M89*O89</f>
        <v>686</v>
      </c>
      <c r="Q89" s="22">
        <v>0.8</v>
      </c>
      <c r="R89" s="21">
        <f>P89*Q89</f>
        <v>548.80000000000007</v>
      </c>
      <c r="S89" s="21">
        <f>P89-R89</f>
        <v>137.19999999999993</v>
      </c>
      <c r="T89" s="16" t="s">
        <v>387</v>
      </c>
      <c r="U89" s="16" t="s">
        <v>388</v>
      </c>
      <c r="V89" s="16"/>
    </row>
    <row r="90" spans="1:22">
      <c r="A90" s="9" t="s">
        <v>556</v>
      </c>
      <c r="B90" s="10" t="s">
        <v>168</v>
      </c>
      <c r="C90" s="10" t="s">
        <v>169</v>
      </c>
      <c r="D90" s="11">
        <v>46090</v>
      </c>
      <c r="E90" s="9" t="s">
        <v>41</v>
      </c>
      <c r="F90" s="9" t="s">
        <v>419</v>
      </c>
      <c r="G90" s="9" t="s">
        <v>420</v>
      </c>
      <c r="H90" s="9" t="s">
        <v>557</v>
      </c>
      <c r="I90" s="9" t="s">
        <v>558</v>
      </c>
      <c r="J90" s="9" t="s">
        <v>559</v>
      </c>
      <c r="K90" s="10" t="s">
        <v>173</v>
      </c>
      <c r="L90" s="9"/>
      <c r="M90" s="12">
        <v>1</v>
      </c>
      <c r="N90" s="9" t="s">
        <v>424</v>
      </c>
      <c r="O90" s="13">
        <v>421.4</v>
      </c>
      <c r="P90" s="14">
        <f>M90*O90</f>
        <v>421.4</v>
      </c>
      <c r="Q90" s="15">
        <v>0.8</v>
      </c>
      <c r="R90" s="14">
        <f>P90*Q90</f>
        <v>337.12</v>
      </c>
      <c r="S90" s="14">
        <f>P90-R90</f>
        <v>84.279999999999973</v>
      </c>
      <c r="T90" s="9" t="s">
        <v>387</v>
      </c>
      <c r="U90" s="9" t="s">
        <v>388</v>
      </c>
      <c r="V90" s="9"/>
    </row>
    <row r="91" spans="1:22">
      <c r="A91" s="16" t="s">
        <v>560</v>
      </c>
      <c r="B91" s="17" t="s">
        <v>168</v>
      </c>
      <c r="C91" s="17" t="s">
        <v>169</v>
      </c>
      <c r="D91" s="18">
        <v>46091</v>
      </c>
      <c r="E91" s="16" t="s">
        <v>41</v>
      </c>
      <c r="F91" s="16" t="s">
        <v>464</v>
      </c>
      <c r="G91" s="16" t="s">
        <v>465</v>
      </c>
      <c r="H91" s="16" t="s">
        <v>466</v>
      </c>
      <c r="I91" s="16" t="s">
        <v>467</v>
      </c>
      <c r="J91" s="16" t="s">
        <v>561</v>
      </c>
      <c r="K91" s="17" t="s">
        <v>173</v>
      </c>
      <c r="L91" s="16"/>
      <c r="M91" s="19">
        <v>1</v>
      </c>
      <c r="N91" s="16" t="s">
        <v>468</v>
      </c>
      <c r="O91" s="20">
        <v>3136</v>
      </c>
      <c r="P91" s="21">
        <f>M91*O91</f>
        <v>3136</v>
      </c>
      <c r="Q91" s="22">
        <v>0.8</v>
      </c>
      <c r="R91" s="21">
        <f>P91*Q91</f>
        <v>2508.8000000000002</v>
      </c>
      <c r="S91" s="21">
        <f>P91-R91</f>
        <v>627.19999999999982</v>
      </c>
      <c r="T91" s="16" t="s">
        <v>387</v>
      </c>
      <c r="U91" s="16" t="s">
        <v>388</v>
      </c>
      <c r="V91" s="16"/>
    </row>
    <row r="92" spans="1:22">
      <c r="A92" s="9" t="s">
        <v>562</v>
      </c>
      <c r="B92" s="10" t="s">
        <v>168</v>
      </c>
      <c r="C92" s="10" t="s">
        <v>169</v>
      </c>
      <c r="D92" s="11">
        <v>46091</v>
      </c>
      <c r="E92" s="9" t="s">
        <v>41</v>
      </c>
      <c r="F92" s="9" t="s">
        <v>470</v>
      </c>
      <c r="G92" s="9" t="s">
        <v>471</v>
      </c>
      <c r="H92" s="9" t="s">
        <v>471</v>
      </c>
      <c r="I92" s="9" t="s">
        <v>472</v>
      </c>
      <c r="J92" s="9" t="s">
        <v>563</v>
      </c>
      <c r="K92" s="10" t="s">
        <v>173</v>
      </c>
      <c r="L92" s="9"/>
      <c r="M92" s="12">
        <v>1</v>
      </c>
      <c r="N92" s="9" t="s">
        <v>468</v>
      </c>
      <c r="O92" s="13">
        <v>1225</v>
      </c>
      <c r="P92" s="14">
        <f>M92*O92</f>
        <v>1225</v>
      </c>
      <c r="Q92" s="15">
        <v>0.8</v>
      </c>
      <c r="R92" s="14">
        <f>P92*Q92</f>
        <v>980</v>
      </c>
      <c r="S92" s="14">
        <f>P92-R92</f>
        <v>245</v>
      </c>
      <c r="T92" s="9" t="s">
        <v>387</v>
      </c>
      <c r="U92" s="9" t="s">
        <v>388</v>
      </c>
      <c r="V92" s="9"/>
    </row>
    <row r="93" spans="1:22">
      <c r="A93" s="16" t="s">
        <v>564</v>
      </c>
      <c r="B93" s="17" t="s">
        <v>168</v>
      </c>
      <c r="C93" s="17" t="s">
        <v>169</v>
      </c>
      <c r="D93" s="18">
        <v>46091</v>
      </c>
      <c r="E93" s="16" t="s">
        <v>41</v>
      </c>
      <c r="F93" s="16" t="s">
        <v>475</v>
      </c>
      <c r="G93" s="16" t="s">
        <v>476</v>
      </c>
      <c r="H93" s="16" t="s">
        <v>477</v>
      </c>
      <c r="I93" s="16" t="s">
        <v>478</v>
      </c>
      <c r="J93" s="16"/>
      <c r="K93" s="17" t="s">
        <v>173</v>
      </c>
      <c r="L93" s="16"/>
      <c r="M93" s="19">
        <v>1</v>
      </c>
      <c r="N93" s="16" t="s">
        <v>479</v>
      </c>
      <c r="O93" s="20">
        <v>5684</v>
      </c>
      <c r="P93" s="21">
        <f>M93*O93</f>
        <v>5684</v>
      </c>
      <c r="Q93" s="22">
        <v>0.8</v>
      </c>
      <c r="R93" s="21">
        <f>P93*Q93</f>
        <v>4547.2</v>
      </c>
      <c r="S93" s="21">
        <f>P93-R93</f>
        <v>1136.8000000000002</v>
      </c>
      <c r="T93" s="16" t="s">
        <v>387</v>
      </c>
      <c r="U93" s="16" t="s">
        <v>388</v>
      </c>
      <c r="V93" s="16"/>
    </row>
    <row r="94" spans="1:22">
      <c r="A94" s="9" t="s">
        <v>565</v>
      </c>
      <c r="B94" s="10" t="s">
        <v>180</v>
      </c>
      <c r="C94" s="10" t="s">
        <v>181</v>
      </c>
      <c r="D94" s="11">
        <v>46098</v>
      </c>
      <c r="E94" s="9" t="s">
        <v>41</v>
      </c>
      <c r="F94" s="9" t="s">
        <v>184</v>
      </c>
      <c r="G94" s="9" t="s">
        <v>384</v>
      </c>
      <c r="H94" s="9" t="s">
        <v>384</v>
      </c>
      <c r="I94" s="9" t="s">
        <v>385</v>
      </c>
      <c r="J94" s="9"/>
      <c r="K94" s="10" t="s">
        <v>186</v>
      </c>
      <c r="L94" s="9"/>
      <c r="M94" s="12">
        <v>3</v>
      </c>
      <c r="N94" s="9" t="s">
        <v>386</v>
      </c>
      <c r="O94" s="13">
        <v>700</v>
      </c>
      <c r="P94" s="14">
        <f>M94*O94</f>
        <v>2100</v>
      </c>
      <c r="Q94" s="15">
        <v>0.8</v>
      </c>
      <c r="R94" s="14">
        <f>P94*Q94</f>
        <v>1680</v>
      </c>
      <c r="S94" s="14">
        <f>P94-R94</f>
        <v>420</v>
      </c>
      <c r="T94" s="9" t="s">
        <v>387</v>
      </c>
      <c r="U94" s="9" t="s">
        <v>388</v>
      </c>
      <c r="V94" s="9"/>
    </row>
    <row r="95" spans="1:22">
      <c r="A95" s="16" t="s">
        <v>566</v>
      </c>
      <c r="B95" s="17" t="s">
        <v>180</v>
      </c>
      <c r="C95" s="17" t="s">
        <v>181</v>
      </c>
      <c r="D95" s="18">
        <v>46098</v>
      </c>
      <c r="E95" s="16" t="s">
        <v>41</v>
      </c>
      <c r="F95" s="16" t="s">
        <v>390</v>
      </c>
      <c r="G95" s="16" t="s">
        <v>391</v>
      </c>
      <c r="H95" s="16" t="s">
        <v>392</v>
      </c>
      <c r="I95" s="16" t="s">
        <v>393</v>
      </c>
      <c r="J95" s="16" t="s">
        <v>394</v>
      </c>
      <c r="K95" s="17" t="s">
        <v>186</v>
      </c>
      <c r="L95" s="16"/>
      <c r="M95" s="19">
        <v>1</v>
      </c>
      <c r="N95" s="16" t="s">
        <v>395</v>
      </c>
      <c r="O95" s="20">
        <v>310</v>
      </c>
      <c r="P95" s="21">
        <f>M95*O95</f>
        <v>310</v>
      </c>
      <c r="Q95" s="22">
        <v>0.8</v>
      </c>
      <c r="R95" s="21">
        <f>P95*Q95</f>
        <v>248</v>
      </c>
      <c r="S95" s="21">
        <f>P95-R95</f>
        <v>62</v>
      </c>
      <c r="T95" s="16" t="s">
        <v>387</v>
      </c>
      <c r="U95" s="16" t="s">
        <v>388</v>
      </c>
      <c r="V95" s="16"/>
    </row>
    <row r="96" spans="1:22">
      <c r="A96" s="9" t="s">
        <v>567</v>
      </c>
      <c r="B96" s="10" t="s">
        <v>180</v>
      </c>
      <c r="C96" s="10" t="s">
        <v>181</v>
      </c>
      <c r="D96" s="11">
        <v>46099</v>
      </c>
      <c r="E96" s="9" t="s">
        <v>41</v>
      </c>
      <c r="F96" s="9" t="s">
        <v>390</v>
      </c>
      <c r="G96" s="9" t="s">
        <v>391</v>
      </c>
      <c r="H96" s="9" t="s">
        <v>392</v>
      </c>
      <c r="I96" s="9" t="s">
        <v>393</v>
      </c>
      <c r="J96" s="9" t="s">
        <v>397</v>
      </c>
      <c r="K96" s="10" t="s">
        <v>186</v>
      </c>
      <c r="L96" s="9"/>
      <c r="M96" s="12">
        <v>2</v>
      </c>
      <c r="N96" s="9" t="s">
        <v>398</v>
      </c>
      <c r="O96" s="13">
        <v>185</v>
      </c>
      <c r="P96" s="14">
        <f>M96*O96</f>
        <v>370</v>
      </c>
      <c r="Q96" s="15">
        <v>0.8</v>
      </c>
      <c r="R96" s="14">
        <f>P96*Q96</f>
        <v>296</v>
      </c>
      <c r="S96" s="14">
        <f>P96-R96</f>
        <v>74</v>
      </c>
      <c r="T96" s="9" t="s">
        <v>387</v>
      </c>
      <c r="U96" s="9" t="s">
        <v>388</v>
      </c>
      <c r="V96" s="9"/>
    </row>
    <row r="97" spans="1:22">
      <c r="A97" s="16" t="s">
        <v>568</v>
      </c>
      <c r="B97" s="17" t="s">
        <v>180</v>
      </c>
      <c r="C97" s="17" t="s">
        <v>181</v>
      </c>
      <c r="D97" s="18">
        <v>46098</v>
      </c>
      <c r="E97" s="16" t="s">
        <v>41</v>
      </c>
      <c r="F97" s="16" t="s">
        <v>400</v>
      </c>
      <c r="G97" s="16" t="s">
        <v>400</v>
      </c>
      <c r="H97" s="16" t="s">
        <v>400</v>
      </c>
      <c r="I97" s="16" t="s">
        <v>401</v>
      </c>
      <c r="J97" s="16" t="s">
        <v>402</v>
      </c>
      <c r="K97" s="17" t="s">
        <v>186</v>
      </c>
      <c r="L97" s="16"/>
      <c r="M97" s="19">
        <v>1</v>
      </c>
      <c r="N97" s="16" t="s">
        <v>403</v>
      </c>
      <c r="O97" s="20">
        <v>95</v>
      </c>
      <c r="P97" s="21">
        <f>M97*O97</f>
        <v>95</v>
      </c>
      <c r="Q97" s="22">
        <v>0.8</v>
      </c>
      <c r="R97" s="21">
        <f>P97*Q97</f>
        <v>76</v>
      </c>
      <c r="S97" s="21">
        <f>P97-R97</f>
        <v>19</v>
      </c>
      <c r="T97" s="16" t="s">
        <v>387</v>
      </c>
      <c r="U97" s="16" t="s">
        <v>388</v>
      </c>
      <c r="V97" s="16"/>
    </row>
    <row r="98" spans="1:22">
      <c r="A98" s="9" t="s">
        <v>569</v>
      </c>
      <c r="B98" s="10" t="s">
        <v>180</v>
      </c>
      <c r="C98" s="10" t="s">
        <v>181</v>
      </c>
      <c r="D98" s="11">
        <v>46098</v>
      </c>
      <c r="E98" s="9" t="s">
        <v>41</v>
      </c>
      <c r="F98" s="9" t="s">
        <v>400</v>
      </c>
      <c r="G98" s="9" t="s">
        <v>400</v>
      </c>
      <c r="H98" s="9" t="s">
        <v>405</v>
      </c>
      <c r="I98" s="9" t="s">
        <v>406</v>
      </c>
      <c r="J98" s="9" t="s">
        <v>407</v>
      </c>
      <c r="K98" s="10" t="s">
        <v>186</v>
      </c>
      <c r="L98" s="9"/>
      <c r="M98" s="12">
        <v>1</v>
      </c>
      <c r="N98" s="9" t="s">
        <v>408</v>
      </c>
      <c r="O98" s="13">
        <v>130</v>
      </c>
      <c r="P98" s="14">
        <f>M98*O98</f>
        <v>130</v>
      </c>
      <c r="Q98" s="15">
        <v>0.8</v>
      </c>
      <c r="R98" s="14">
        <f>P98*Q98</f>
        <v>104</v>
      </c>
      <c r="S98" s="14">
        <f>P98-R98</f>
        <v>26</v>
      </c>
      <c r="T98" s="9" t="s">
        <v>387</v>
      </c>
      <c r="U98" s="9" t="s">
        <v>388</v>
      </c>
      <c r="V98" s="9"/>
    </row>
    <row r="99" spans="1:22">
      <c r="A99" s="16" t="s">
        <v>570</v>
      </c>
      <c r="B99" s="17" t="s">
        <v>180</v>
      </c>
      <c r="C99" s="17" t="s">
        <v>181</v>
      </c>
      <c r="D99" s="18">
        <v>46098</v>
      </c>
      <c r="E99" s="16" t="s">
        <v>41</v>
      </c>
      <c r="F99" s="16" t="s">
        <v>410</v>
      </c>
      <c r="G99" s="16" t="s">
        <v>410</v>
      </c>
      <c r="H99" s="16" t="s">
        <v>410</v>
      </c>
      <c r="I99" s="16" t="s">
        <v>411</v>
      </c>
      <c r="J99" s="16"/>
      <c r="K99" s="17" t="s">
        <v>186</v>
      </c>
      <c r="L99" s="16"/>
      <c r="M99" s="19">
        <v>3</v>
      </c>
      <c r="N99" s="16" t="s">
        <v>386</v>
      </c>
      <c r="O99" s="20">
        <v>420</v>
      </c>
      <c r="P99" s="21">
        <f>M99*O99</f>
        <v>1260</v>
      </c>
      <c r="Q99" s="22">
        <v>0.8</v>
      </c>
      <c r="R99" s="21">
        <f>P99*Q99</f>
        <v>1008</v>
      </c>
      <c r="S99" s="21">
        <f>P99-R99</f>
        <v>252</v>
      </c>
      <c r="T99" s="16" t="s">
        <v>387</v>
      </c>
      <c r="U99" s="16" t="s">
        <v>388</v>
      </c>
      <c r="V99" s="16"/>
    </row>
    <row r="100" spans="1:22">
      <c r="A100" s="9" t="s">
        <v>571</v>
      </c>
      <c r="B100" s="10" t="s">
        <v>180</v>
      </c>
      <c r="C100" s="10" t="s">
        <v>181</v>
      </c>
      <c r="D100" s="11">
        <v>46098</v>
      </c>
      <c r="E100" s="9" t="s">
        <v>41</v>
      </c>
      <c r="F100" s="9" t="s">
        <v>413</v>
      </c>
      <c r="G100" s="9" t="s">
        <v>414</v>
      </c>
      <c r="H100" s="9" t="s">
        <v>415</v>
      </c>
      <c r="I100" s="9" t="s">
        <v>416</v>
      </c>
      <c r="J100" s="9"/>
      <c r="K100" s="10" t="s">
        <v>186</v>
      </c>
      <c r="L100" s="9"/>
      <c r="M100" s="12">
        <v>2</v>
      </c>
      <c r="N100" s="9" t="s">
        <v>417</v>
      </c>
      <c r="O100" s="13">
        <v>350</v>
      </c>
      <c r="P100" s="14">
        <f>M100*O100</f>
        <v>700</v>
      </c>
      <c r="Q100" s="15">
        <v>0.8</v>
      </c>
      <c r="R100" s="14">
        <f>P100*Q100</f>
        <v>560</v>
      </c>
      <c r="S100" s="14">
        <f>P100-R100</f>
        <v>140</v>
      </c>
      <c r="T100" s="9" t="s">
        <v>387</v>
      </c>
      <c r="U100" s="9" t="s">
        <v>388</v>
      </c>
      <c r="V100" s="9"/>
    </row>
    <row r="101" spans="1:22">
      <c r="A101" s="16" t="s">
        <v>572</v>
      </c>
      <c r="B101" s="17" t="s">
        <v>180</v>
      </c>
      <c r="C101" s="17" t="s">
        <v>181</v>
      </c>
      <c r="D101" s="18">
        <v>46098</v>
      </c>
      <c r="E101" s="16" t="s">
        <v>41</v>
      </c>
      <c r="F101" s="16" t="s">
        <v>419</v>
      </c>
      <c r="G101" s="16" t="s">
        <v>420</v>
      </c>
      <c r="H101" s="16" t="s">
        <v>421</v>
      </c>
      <c r="I101" s="16" t="s">
        <v>422</v>
      </c>
      <c r="J101" s="16" t="s">
        <v>423</v>
      </c>
      <c r="K101" s="17" t="s">
        <v>186</v>
      </c>
      <c r="L101" s="16"/>
      <c r="M101" s="19">
        <v>1</v>
      </c>
      <c r="N101" s="16" t="s">
        <v>424</v>
      </c>
      <c r="O101" s="20">
        <v>210</v>
      </c>
      <c r="P101" s="21">
        <f>M101*O101</f>
        <v>210</v>
      </c>
      <c r="Q101" s="22">
        <v>0.8</v>
      </c>
      <c r="R101" s="21">
        <f>P101*Q101</f>
        <v>168</v>
      </c>
      <c r="S101" s="21">
        <f>P101-R101</f>
        <v>42</v>
      </c>
      <c r="T101" s="16" t="s">
        <v>387</v>
      </c>
      <c r="U101" s="16" t="s">
        <v>388</v>
      </c>
      <c r="V101" s="16"/>
    </row>
    <row r="102" spans="1:22">
      <c r="A102" s="9" t="s">
        <v>573</v>
      </c>
      <c r="B102" s="10" t="s">
        <v>180</v>
      </c>
      <c r="C102" s="10" t="s">
        <v>181</v>
      </c>
      <c r="D102" s="11">
        <v>46098</v>
      </c>
      <c r="E102" s="9" t="s">
        <v>41</v>
      </c>
      <c r="F102" s="9" t="s">
        <v>426</v>
      </c>
      <c r="G102" s="9" t="s">
        <v>427</v>
      </c>
      <c r="H102" s="9" t="s">
        <v>428</v>
      </c>
      <c r="I102" s="9" t="s">
        <v>429</v>
      </c>
      <c r="J102" s="9" t="s">
        <v>430</v>
      </c>
      <c r="K102" s="10" t="s">
        <v>186</v>
      </c>
      <c r="L102" s="9"/>
      <c r="M102" s="12">
        <v>3</v>
      </c>
      <c r="N102" s="9" t="s">
        <v>431</v>
      </c>
      <c r="O102" s="13">
        <v>210</v>
      </c>
      <c r="P102" s="14">
        <f>M102*O102</f>
        <v>630</v>
      </c>
      <c r="Q102" s="15">
        <v>0.8</v>
      </c>
      <c r="R102" s="14">
        <f>P102*Q102</f>
        <v>504</v>
      </c>
      <c r="S102" s="14">
        <f>P102-R102</f>
        <v>126</v>
      </c>
      <c r="T102" s="9" t="s">
        <v>387</v>
      </c>
      <c r="U102" s="9" t="s">
        <v>388</v>
      </c>
      <c r="V102" s="9"/>
    </row>
    <row r="103" spans="1:22">
      <c r="A103" s="16" t="s">
        <v>574</v>
      </c>
      <c r="B103" s="17" t="s">
        <v>192</v>
      </c>
      <c r="C103" s="17" t="s">
        <v>193</v>
      </c>
      <c r="D103" s="18">
        <v>46106</v>
      </c>
      <c r="E103" s="16" t="s">
        <v>41</v>
      </c>
      <c r="F103" s="16" t="s">
        <v>196</v>
      </c>
      <c r="G103" s="16" t="s">
        <v>384</v>
      </c>
      <c r="H103" s="16" t="s">
        <v>575</v>
      </c>
      <c r="I103" s="16" t="s">
        <v>524</v>
      </c>
      <c r="J103" s="16"/>
      <c r="K103" s="17" t="s">
        <v>198</v>
      </c>
      <c r="L103" s="16"/>
      <c r="M103" s="19">
        <v>7</v>
      </c>
      <c r="N103" s="16" t="s">
        <v>386</v>
      </c>
      <c r="O103" s="20">
        <v>2499</v>
      </c>
      <c r="P103" s="21">
        <f>M103*O103</f>
        <v>17493</v>
      </c>
      <c r="Q103" s="22">
        <v>0.85</v>
      </c>
      <c r="R103" s="21">
        <f>P103*Q103</f>
        <v>14869.05</v>
      </c>
      <c r="S103" s="21">
        <f>P103-R103</f>
        <v>2623.9500000000007</v>
      </c>
      <c r="T103" s="16" t="s">
        <v>387</v>
      </c>
      <c r="U103" s="16" t="s">
        <v>388</v>
      </c>
      <c r="V103" s="16"/>
    </row>
    <row r="104" spans="1:22">
      <c r="A104" s="9" t="s">
        <v>576</v>
      </c>
      <c r="B104" s="10" t="s">
        <v>192</v>
      </c>
      <c r="C104" s="10" t="s">
        <v>193</v>
      </c>
      <c r="D104" s="11">
        <v>46106</v>
      </c>
      <c r="E104" s="9" t="s">
        <v>41</v>
      </c>
      <c r="F104" s="9" t="s">
        <v>390</v>
      </c>
      <c r="G104" s="9" t="s">
        <v>391</v>
      </c>
      <c r="H104" s="9" t="s">
        <v>392</v>
      </c>
      <c r="I104" s="9" t="s">
        <v>393</v>
      </c>
      <c r="J104" s="9" t="s">
        <v>394</v>
      </c>
      <c r="K104" s="10" t="s">
        <v>198</v>
      </c>
      <c r="L104" s="9"/>
      <c r="M104" s="12">
        <v>1</v>
      </c>
      <c r="N104" s="9" t="s">
        <v>395</v>
      </c>
      <c r="O104" s="13">
        <v>316.2</v>
      </c>
      <c r="P104" s="14">
        <f>M104*O104</f>
        <v>316.2</v>
      </c>
      <c r="Q104" s="15">
        <v>0.85</v>
      </c>
      <c r="R104" s="14">
        <f>P104*Q104</f>
        <v>268.77</v>
      </c>
      <c r="S104" s="14">
        <f>P104-R104</f>
        <v>47.430000000000007</v>
      </c>
      <c r="T104" s="9" t="s">
        <v>387</v>
      </c>
      <c r="U104" s="9" t="s">
        <v>388</v>
      </c>
      <c r="V104" s="9"/>
    </row>
    <row r="105" spans="1:22">
      <c r="A105" s="16" t="s">
        <v>577</v>
      </c>
      <c r="B105" s="17" t="s">
        <v>192</v>
      </c>
      <c r="C105" s="17" t="s">
        <v>193</v>
      </c>
      <c r="D105" s="18">
        <v>46107</v>
      </c>
      <c r="E105" s="16" t="s">
        <v>41</v>
      </c>
      <c r="F105" s="16" t="s">
        <v>390</v>
      </c>
      <c r="G105" s="16" t="s">
        <v>391</v>
      </c>
      <c r="H105" s="16" t="s">
        <v>392</v>
      </c>
      <c r="I105" s="16" t="s">
        <v>393</v>
      </c>
      <c r="J105" s="16" t="s">
        <v>397</v>
      </c>
      <c r="K105" s="17" t="s">
        <v>198</v>
      </c>
      <c r="L105" s="16"/>
      <c r="M105" s="19">
        <v>6</v>
      </c>
      <c r="N105" s="16" t="s">
        <v>398</v>
      </c>
      <c r="O105" s="20">
        <v>188.7</v>
      </c>
      <c r="P105" s="21">
        <f>M105*O105</f>
        <v>1132.1999999999998</v>
      </c>
      <c r="Q105" s="22">
        <v>0.85</v>
      </c>
      <c r="R105" s="21">
        <f>P105*Q105</f>
        <v>962.36999999999978</v>
      </c>
      <c r="S105" s="21">
        <f>P105-R105</f>
        <v>169.83000000000004</v>
      </c>
      <c r="T105" s="16" t="s">
        <v>387</v>
      </c>
      <c r="U105" s="16" t="s">
        <v>388</v>
      </c>
      <c r="V105" s="16"/>
    </row>
    <row r="106" spans="1:22">
      <c r="A106" s="9" t="s">
        <v>578</v>
      </c>
      <c r="B106" s="10" t="s">
        <v>192</v>
      </c>
      <c r="C106" s="10" t="s">
        <v>193</v>
      </c>
      <c r="D106" s="11">
        <v>46106</v>
      </c>
      <c r="E106" s="9" t="s">
        <v>41</v>
      </c>
      <c r="F106" s="9" t="s">
        <v>400</v>
      </c>
      <c r="G106" s="9" t="s">
        <v>400</v>
      </c>
      <c r="H106" s="9" t="s">
        <v>400</v>
      </c>
      <c r="I106" s="9" t="s">
        <v>401</v>
      </c>
      <c r="J106" s="9" t="s">
        <v>402</v>
      </c>
      <c r="K106" s="10" t="s">
        <v>198</v>
      </c>
      <c r="L106" s="9"/>
      <c r="M106" s="12">
        <v>1</v>
      </c>
      <c r="N106" s="9" t="s">
        <v>403</v>
      </c>
      <c r="O106" s="13">
        <v>96.9</v>
      </c>
      <c r="P106" s="14">
        <f>M106*O106</f>
        <v>96.9</v>
      </c>
      <c r="Q106" s="15">
        <v>0.85</v>
      </c>
      <c r="R106" s="14">
        <f>P106*Q106</f>
        <v>82.365000000000009</v>
      </c>
      <c r="S106" s="14">
        <f>P106-R106</f>
        <v>14.534999999999997</v>
      </c>
      <c r="T106" s="9" t="s">
        <v>387</v>
      </c>
      <c r="U106" s="9" t="s">
        <v>388</v>
      </c>
      <c r="V106" s="9"/>
    </row>
    <row r="107" spans="1:22">
      <c r="A107" s="16" t="s">
        <v>579</v>
      </c>
      <c r="B107" s="17" t="s">
        <v>192</v>
      </c>
      <c r="C107" s="17" t="s">
        <v>193</v>
      </c>
      <c r="D107" s="18">
        <v>46106</v>
      </c>
      <c r="E107" s="16" t="s">
        <v>41</v>
      </c>
      <c r="F107" s="16" t="s">
        <v>400</v>
      </c>
      <c r="G107" s="16" t="s">
        <v>400</v>
      </c>
      <c r="H107" s="16" t="s">
        <v>405</v>
      </c>
      <c r="I107" s="16" t="s">
        <v>406</v>
      </c>
      <c r="J107" s="16" t="s">
        <v>407</v>
      </c>
      <c r="K107" s="17" t="s">
        <v>198</v>
      </c>
      <c r="L107" s="16"/>
      <c r="M107" s="19">
        <v>1</v>
      </c>
      <c r="N107" s="16" t="s">
        <v>408</v>
      </c>
      <c r="O107" s="20">
        <v>132.6</v>
      </c>
      <c r="P107" s="21">
        <f>M107*O107</f>
        <v>132.6</v>
      </c>
      <c r="Q107" s="22">
        <v>0.85</v>
      </c>
      <c r="R107" s="21">
        <f>P107*Q107</f>
        <v>112.71</v>
      </c>
      <c r="S107" s="21">
        <f>P107-R107</f>
        <v>19.89</v>
      </c>
      <c r="T107" s="16" t="s">
        <v>387</v>
      </c>
      <c r="U107" s="16" t="s">
        <v>388</v>
      </c>
      <c r="V107" s="16"/>
    </row>
    <row r="108" spans="1:22">
      <c r="A108" s="9" t="s">
        <v>580</v>
      </c>
      <c r="B108" s="10" t="s">
        <v>192</v>
      </c>
      <c r="C108" s="10" t="s">
        <v>193</v>
      </c>
      <c r="D108" s="11">
        <v>46106</v>
      </c>
      <c r="E108" s="9" t="s">
        <v>41</v>
      </c>
      <c r="F108" s="9" t="s">
        <v>410</v>
      </c>
      <c r="G108" s="9" t="s">
        <v>410</v>
      </c>
      <c r="H108" s="9" t="s">
        <v>410</v>
      </c>
      <c r="I108" s="9" t="s">
        <v>411</v>
      </c>
      <c r="J108" s="9"/>
      <c r="K108" s="10" t="s">
        <v>198</v>
      </c>
      <c r="L108" s="9"/>
      <c r="M108" s="12">
        <v>7</v>
      </c>
      <c r="N108" s="9" t="s">
        <v>386</v>
      </c>
      <c r="O108" s="13">
        <v>428.4</v>
      </c>
      <c r="P108" s="14">
        <f>M108*O108</f>
        <v>2998.7999999999997</v>
      </c>
      <c r="Q108" s="15">
        <v>0.85</v>
      </c>
      <c r="R108" s="14">
        <f>P108*Q108</f>
        <v>2548.9799999999996</v>
      </c>
      <c r="S108" s="14">
        <f>P108-R108</f>
        <v>449.82000000000016</v>
      </c>
      <c r="T108" s="9" t="s">
        <v>387</v>
      </c>
      <c r="U108" s="9" t="s">
        <v>388</v>
      </c>
      <c r="V108" s="9"/>
    </row>
    <row r="109" spans="1:22">
      <c r="A109" s="16" t="s">
        <v>581</v>
      </c>
      <c r="B109" s="17" t="s">
        <v>192</v>
      </c>
      <c r="C109" s="17" t="s">
        <v>193</v>
      </c>
      <c r="D109" s="18">
        <v>46106</v>
      </c>
      <c r="E109" s="16" t="s">
        <v>41</v>
      </c>
      <c r="F109" s="16" t="s">
        <v>413</v>
      </c>
      <c r="G109" s="16" t="s">
        <v>414</v>
      </c>
      <c r="H109" s="16" t="s">
        <v>415</v>
      </c>
      <c r="I109" s="16" t="s">
        <v>416</v>
      </c>
      <c r="J109" s="16"/>
      <c r="K109" s="17" t="s">
        <v>198</v>
      </c>
      <c r="L109" s="16"/>
      <c r="M109" s="19">
        <v>4</v>
      </c>
      <c r="N109" s="16" t="s">
        <v>417</v>
      </c>
      <c r="O109" s="20">
        <v>357</v>
      </c>
      <c r="P109" s="21">
        <f>M109*O109</f>
        <v>1428</v>
      </c>
      <c r="Q109" s="22">
        <v>0.85</v>
      </c>
      <c r="R109" s="21">
        <f>P109*Q109</f>
        <v>1213.8</v>
      </c>
      <c r="S109" s="21">
        <f>P109-R109</f>
        <v>214.20000000000005</v>
      </c>
      <c r="T109" s="16" t="s">
        <v>387</v>
      </c>
      <c r="U109" s="16" t="s">
        <v>388</v>
      </c>
      <c r="V109" s="16"/>
    </row>
    <row r="110" spans="1:22">
      <c r="A110" s="9" t="s">
        <v>582</v>
      </c>
      <c r="B110" s="10" t="s">
        <v>192</v>
      </c>
      <c r="C110" s="10" t="s">
        <v>193</v>
      </c>
      <c r="D110" s="11">
        <v>46106</v>
      </c>
      <c r="E110" s="9" t="s">
        <v>41</v>
      </c>
      <c r="F110" s="9" t="s">
        <v>522</v>
      </c>
      <c r="G110" s="9" t="s">
        <v>523</v>
      </c>
      <c r="H110" s="9" t="s">
        <v>522</v>
      </c>
      <c r="I110" s="9" t="s">
        <v>524</v>
      </c>
      <c r="J110" s="9" t="s">
        <v>525</v>
      </c>
      <c r="K110" s="10" t="s">
        <v>198</v>
      </c>
      <c r="L110" s="9"/>
      <c r="M110" s="12">
        <v>3</v>
      </c>
      <c r="N110" s="9" t="s">
        <v>386</v>
      </c>
      <c r="O110" s="13">
        <v>2142</v>
      </c>
      <c r="P110" s="14">
        <f>M110*O110</f>
        <v>6426</v>
      </c>
      <c r="Q110" s="15">
        <v>0.85</v>
      </c>
      <c r="R110" s="14">
        <f>P110*Q110</f>
        <v>5462.0999999999995</v>
      </c>
      <c r="S110" s="14">
        <f>P110-R110</f>
        <v>963.90000000000055</v>
      </c>
      <c r="T110" s="9" t="s">
        <v>387</v>
      </c>
      <c r="U110" s="9" t="s">
        <v>388</v>
      </c>
      <c r="V110" s="9"/>
    </row>
    <row r="111" spans="1:22">
      <c r="A111" s="16" t="s">
        <v>583</v>
      </c>
      <c r="B111" s="17" t="s">
        <v>204</v>
      </c>
      <c r="C111" s="17" t="s">
        <v>205</v>
      </c>
      <c r="D111" s="18">
        <v>46114</v>
      </c>
      <c r="E111" s="16" t="s">
        <v>41</v>
      </c>
      <c r="F111" s="16" t="s">
        <v>208</v>
      </c>
      <c r="G111" s="16" t="s">
        <v>384</v>
      </c>
      <c r="H111" s="16" t="s">
        <v>584</v>
      </c>
      <c r="I111" s="16" t="s">
        <v>585</v>
      </c>
      <c r="J111" s="16"/>
      <c r="K111" s="17" t="s">
        <v>210</v>
      </c>
      <c r="L111" s="16"/>
      <c r="M111" s="19">
        <v>7</v>
      </c>
      <c r="N111" s="16" t="s">
        <v>386</v>
      </c>
      <c r="O111" s="20">
        <v>2652</v>
      </c>
      <c r="P111" s="21">
        <f>M111*O111</f>
        <v>18564</v>
      </c>
      <c r="Q111" s="22">
        <v>0.85</v>
      </c>
      <c r="R111" s="21">
        <f>P111*Q111</f>
        <v>15779.4</v>
      </c>
      <c r="S111" s="21">
        <f>P111-R111</f>
        <v>2784.6000000000004</v>
      </c>
      <c r="T111" s="16" t="s">
        <v>387</v>
      </c>
      <c r="U111" s="16" t="s">
        <v>388</v>
      </c>
      <c r="V111" s="16"/>
    </row>
    <row r="112" spans="1:22">
      <c r="A112" s="9" t="s">
        <v>586</v>
      </c>
      <c r="B112" s="10" t="s">
        <v>204</v>
      </c>
      <c r="C112" s="10" t="s">
        <v>205</v>
      </c>
      <c r="D112" s="11">
        <v>46114</v>
      </c>
      <c r="E112" s="9" t="s">
        <v>41</v>
      </c>
      <c r="F112" s="9" t="s">
        <v>390</v>
      </c>
      <c r="G112" s="9" t="s">
        <v>391</v>
      </c>
      <c r="H112" s="9" t="s">
        <v>392</v>
      </c>
      <c r="I112" s="9" t="s">
        <v>393</v>
      </c>
      <c r="J112" s="9" t="s">
        <v>394</v>
      </c>
      <c r="K112" s="10" t="s">
        <v>210</v>
      </c>
      <c r="L112" s="9"/>
      <c r="M112" s="12">
        <v>1</v>
      </c>
      <c r="N112" s="9" t="s">
        <v>395</v>
      </c>
      <c r="O112" s="13">
        <v>322.39999999999998</v>
      </c>
      <c r="P112" s="14">
        <f>M112*O112</f>
        <v>322.39999999999998</v>
      </c>
      <c r="Q112" s="15">
        <v>0.85</v>
      </c>
      <c r="R112" s="14">
        <f>P112*Q112</f>
        <v>274.03999999999996</v>
      </c>
      <c r="S112" s="14">
        <f>P112-R112</f>
        <v>48.360000000000014</v>
      </c>
      <c r="T112" s="9" t="s">
        <v>387</v>
      </c>
      <c r="U112" s="9" t="s">
        <v>388</v>
      </c>
      <c r="V112" s="9"/>
    </row>
    <row r="113" spans="1:22">
      <c r="A113" s="16" t="s">
        <v>587</v>
      </c>
      <c r="B113" s="17" t="s">
        <v>204</v>
      </c>
      <c r="C113" s="17" t="s">
        <v>205</v>
      </c>
      <c r="D113" s="18">
        <v>46115</v>
      </c>
      <c r="E113" s="16" t="s">
        <v>41</v>
      </c>
      <c r="F113" s="16" t="s">
        <v>390</v>
      </c>
      <c r="G113" s="16" t="s">
        <v>391</v>
      </c>
      <c r="H113" s="16" t="s">
        <v>392</v>
      </c>
      <c r="I113" s="16" t="s">
        <v>393</v>
      </c>
      <c r="J113" s="16" t="s">
        <v>397</v>
      </c>
      <c r="K113" s="17" t="s">
        <v>210</v>
      </c>
      <c r="L113" s="16"/>
      <c r="M113" s="19">
        <v>6</v>
      </c>
      <c r="N113" s="16" t="s">
        <v>398</v>
      </c>
      <c r="O113" s="20">
        <v>192.4</v>
      </c>
      <c r="P113" s="21">
        <f>M113*O113</f>
        <v>1154.4000000000001</v>
      </c>
      <c r="Q113" s="22">
        <v>0.85</v>
      </c>
      <c r="R113" s="21">
        <f>P113*Q113</f>
        <v>981.24</v>
      </c>
      <c r="S113" s="21">
        <f>P113-R113</f>
        <v>173.16000000000008</v>
      </c>
      <c r="T113" s="16" t="s">
        <v>387</v>
      </c>
      <c r="U113" s="16" t="s">
        <v>388</v>
      </c>
      <c r="V113" s="16"/>
    </row>
    <row r="114" spans="1:22">
      <c r="A114" s="9" t="s">
        <v>588</v>
      </c>
      <c r="B114" s="10" t="s">
        <v>204</v>
      </c>
      <c r="C114" s="10" t="s">
        <v>205</v>
      </c>
      <c r="D114" s="11">
        <v>46114</v>
      </c>
      <c r="E114" s="9" t="s">
        <v>41</v>
      </c>
      <c r="F114" s="9" t="s">
        <v>400</v>
      </c>
      <c r="G114" s="9" t="s">
        <v>400</v>
      </c>
      <c r="H114" s="9" t="s">
        <v>400</v>
      </c>
      <c r="I114" s="9" t="s">
        <v>401</v>
      </c>
      <c r="J114" s="9" t="s">
        <v>402</v>
      </c>
      <c r="K114" s="10" t="s">
        <v>210</v>
      </c>
      <c r="L114" s="9"/>
      <c r="M114" s="12">
        <v>1</v>
      </c>
      <c r="N114" s="9" t="s">
        <v>403</v>
      </c>
      <c r="O114" s="13">
        <v>98.8</v>
      </c>
      <c r="P114" s="14">
        <f>M114*O114</f>
        <v>98.8</v>
      </c>
      <c r="Q114" s="15">
        <v>0.85</v>
      </c>
      <c r="R114" s="14">
        <f>P114*Q114</f>
        <v>83.97999999999999</v>
      </c>
      <c r="S114" s="14">
        <f>P114-R114</f>
        <v>14.820000000000007</v>
      </c>
      <c r="T114" s="9" t="s">
        <v>387</v>
      </c>
      <c r="U114" s="9" t="s">
        <v>388</v>
      </c>
      <c r="V114" s="9"/>
    </row>
    <row r="115" spans="1:22">
      <c r="A115" s="16" t="s">
        <v>589</v>
      </c>
      <c r="B115" s="17" t="s">
        <v>204</v>
      </c>
      <c r="C115" s="17" t="s">
        <v>205</v>
      </c>
      <c r="D115" s="18">
        <v>46114</v>
      </c>
      <c r="E115" s="16" t="s">
        <v>41</v>
      </c>
      <c r="F115" s="16" t="s">
        <v>400</v>
      </c>
      <c r="G115" s="16" t="s">
        <v>400</v>
      </c>
      <c r="H115" s="16" t="s">
        <v>405</v>
      </c>
      <c r="I115" s="16" t="s">
        <v>406</v>
      </c>
      <c r="J115" s="16" t="s">
        <v>407</v>
      </c>
      <c r="K115" s="17" t="s">
        <v>210</v>
      </c>
      <c r="L115" s="16"/>
      <c r="M115" s="19">
        <v>1</v>
      </c>
      <c r="N115" s="16" t="s">
        <v>408</v>
      </c>
      <c r="O115" s="20">
        <v>135.19999999999999</v>
      </c>
      <c r="P115" s="21">
        <f>M115*O115</f>
        <v>135.19999999999999</v>
      </c>
      <c r="Q115" s="22">
        <v>0.85</v>
      </c>
      <c r="R115" s="21">
        <f>P115*Q115</f>
        <v>114.91999999999999</v>
      </c>
      <c r="S115" s="21">
        <f>P115-R115</f>
        <v>20.28</v>
      </c>
      <c r="T115" s="16" t="s">
        <v>387</v>
      </c>
      <c r="U115" s="16" t="s">
        <v>388</v>
      </c>
      <c r="V115" s="16"/>
    </row>
    <row r="116" spans="1:22">
      <c r="A116" s="9" t="s">
        <v>590</v>
      </c>
      <c r="B116" s="10" t="s">
        <v>204</v>
      </c>
      <c r="C116" s="10" t="s">
        <v>205</v>
      </c>
      <c r="D116" s="11">
        <v>46114</v>
      </c>
      <c r="E116" s="9" t="s">
        <v>41</v>
      </c>
      <c r="F116" s="9" t="s">
        <v>410</v>
      </c>
      <c r="G116" s="9" t="s">
        <v>410</v>
      </c>
      <c r="H116" s="9" t="s">
        <v>410</v>
      </c>
      <c r="I116" s="9" t="s">
        <v>411</v>
      </c>
      <c r="J116" s="9"/>
      <c r="K116" s="10" t="s">
        <v>210</v>
      </c>
      <c r="L116" s="9"/>
      <c r="M116" s="12">
        <v>7</v>
      </c>
      <c r="N116" s="9" t="s">
        <v>386</v>
      </c>
      <c r="O116" s="13">
        <v>436.8</v>
      </c>
      <c r="P116" s="14">
        <f>M116*O116</f>
        <v>3057.6</v>
      </c>
      <c r="Q116" s="15">
        <v>0.85</v>
      </c>
      <c r="R116" s="14">
        <f>P116*Q116</f>
        <v>2598.96</v>
      </c>
      <c r="S116" s="14">
        <f>P116-R116</f>
        <v>458.63999999999987</v>
      </c>
      <c r="T116" s="9" t="s">
        <v>387</v>
      </c>
      <c r="U116" s="9" t="s">
        <v>388</v>
      </c>
      <c r="V116" s="9"/>
    </row>
    <row r="117" spans="1:22">
      <c r="A117" s="16" t="s">
        <v>591</v>
      </c>
      <c r="B117" s="17" t="s">
        <v>204</v>
      </c>
      <c r="C117" s="17" t="s">
        <v>205</v>
      </c>
      <c r="D117" s="18">
        <v>46114</v>
      </c>
      <c r="E117" s="16" t="s">
        <v>41</v>
      </c>
      <c r="F117" s="16" t="s">
        <v>413</v>
      </c>
      <c r="G117" s="16" t="s">
        <v>414</v>
      </c>
      <c r="H117" s="16" t="s">
        <v>415</v>
      </c>
      <c r="I117" s="16" t="s">
        <v>416</v>
      </c>
      <c r="J117" s="16"/>
      <c r="K117" s="17" t="s">
        <v>210</v>
      </c>
      <c r="L117" s="16"/>
      <c r="M117" s="19">
        <v>4</v>
      </c>
      <c r="N117" s="16" t="s">
        <v>417</v>
      </c>
      <c r="O117" s="20">
        <v>364</v>
      </c>
      <c r="P117" s="21">
        <f>M117*O117</f>
        <v>1456</v>
      </c>
      <c r="Q117" s="22">
        <v>0.85</v>
      </c>
      <c r="R117" s="21">
        <f>P117*Q117</f>
        <v>1237.5999999999999</v>
      </c>
      <c r="S117" s="21">
        <f>P117-R117</f>
        <v>218.40000000000009</v>
      </c>
      <c r="T117" s="16" t="s">
        <v>387</v>
      </c>
      <c r="U117" s="16" t="s">
        <v>388</v>
      </c>
      <c r="V117" s="16"/>
    </row>
    <row r="118" spans="1:22">
      <c r="A118" s="9" t="s">
        <v>592</v>
      </c>
      <c r="B118" s="10" t="s">
        <v>204</v>
      </c>
      <c r="C118" s="10" t="s">
        <v>205</v>
      </c>
      <c r="D118" s="11">
        <v>46114</v>
      </c>
      <c r="E118" s="9" t="s">
        <v>41</v>
      </c>
      <c r="F118" s="9" t="s">
        <v>419</v>
      </c>
      <c r="G118" s="9" t="s">
        <v>420</v>
      </c>
      <c r="H118" s="9" t="s">
        <v>460</v>
      </c>
      <c r="I118" s="9" t="s">
        <v>461</v>
      </c>
      <c r="J118" s="9" t="s">
        <v>488</v>
      </c>
      <c r="K118" s="10" t="s">
        <v>210</v>
      </c>
      <c r="L118" s="9"/>
      <c r="M118" s="12">
        <v>1</v>
      </c>
      <c r="N118" s="9" t="s">
        <v>424</v>
      </c>
      <c r="O118" s="13">
        <v>1508</v>
      </c>
      <c r="P118" s="14">
        <f>M118*O118</f>
        <v>1508</v>
      </c>
      <c r="Q118" s="15">
        <v>0.85</v>
      </c>
      <c r="R118" s="14">
        <f>P118*Q118</f>
        <v>1281.8</v>
      </c>
      <c r="S118" s="14">
        <f>P118-R118</f>
        <v>226.20000000000005</v>
      </c>
      <c r="T118" s="9" t="s">
        <v>387</v>
      </c>
      <c r="U118" s="9" t="s">
        <v>388</v>
      </c>
      <c r="V118" s="9"/>
    </row>
    <row r="119" spans="1:22">
      <c r="A119" s="16" t="s">
        <v>593</v>
      </c>
      <c r="B119" s="17" t="s">
        <v>204</v>
      </c>
      <c r="C119" s="17" t="s">
        <v>205</v>
      </c>
      <c r="D119" s="18">
        <v>46115</v>
      </c>
      <c r="E119" s="16" t="s">
        <v>41</v>
      </c>
      <c r="F119" s="16" t="s">
        <v>419</v>
      </c>
      <c r="G119" s="16" t="s">
        <v>420</v>
      </c>
      <c r="H119" s="16" t="s">
        <v>594</v>
      </c>
      <c r="I119" s="16" t="s">
        <v>595</v>
      </c>
      <c r="J119" s="16" t="s">
        <v>596</v>
      </c>
      <c r="K119" s="17" t="s">
        <v>210</v>
      </c>
      <c r="L119" s="16"/>
      <c r="M119" s="19">
        <v>1</v>
      </c>
      <c r="N119" s="16" t="s">
        <v>424</v>
      </c>
      <c r="O119" s="20">
        <v>2288</v>
      </c>
      <c r="P119" s="21">
        <f>M119*O119</f>
        <v>2288</v>
      </c>
      <c r="Q119" s="22">
        <v>0.85</v>
      </c>
      <c r="R119" s="21">
        <f>P119*Q119</f>
        <v>1944.8</v>
      </c>
      <c r="S119" s="21">
        <f>P119-R119</f>
        <v>343.20000000000005</v>
      </c>
      <c r="T119" s="16" t="s">
        <v>387</v>
      </c>
      <c r="U119" s="16" t="s">
        <v>388</v>
      </c>
      <c r="V119" s="16"/>
    </row>
    <row r="120" spans="1:22">
      <c r="A120" s="9" t="s">
        <v>597</v>
      </c>
      <c r="B120" s="10" t="s">
        <v>204</v>
      </c>
      <c r="C120" s="10" t="s">
        <v>205</v>
      </c>
      <c r="D120" s="11">
        <v>46116</v>
      </c>
      <c r="E120" s="9" t="s">
        <v>41</v>
      </c>
      <c r="F120" s="9" t="s">
        <v>503</v>
      </c>
      <c r="G120" s="9" t="s">
        <v>427</v>
      </c>
      <c r="H120" s="9" t="s">
        <v>504</v>
      </c>
      <c r="I120" s="9" t="s">
        <v>505</v>
      </c>
      <c r="J120" s="9" t="s">
        <v>506</v>
      </c>
      <c r="K120" s="10" t="s">
        <v>210</v>
      </c>
      <c r="L120" s="9"/>
      <c r="M120" s="12">
        <v>5</v>
      </c>
      <c r="N120" s="9" t="s">
        <v>431</v>
      </c>
      <c r="O120" s="13">
        <v>197.6</v>
      </c>
      <c r="P120" s="14">
        <f>M120*O120</f>
        <v>988</v>
      </c>
      <c r="Q120" s="15">
        <v>0.85</v>
      </c>
      <c r="R120" s="14">
        <f>P120*Q120</f>
        <v>839.8</v>
      </c>
      <c r="S120" s="14">
        <f>P120-R120</f>
        <v>148.20000000000005</v>
      </c>
      <c r="T120" s="9" t="s">
        <v>387</v>
      </c>
      <c r="U120" s="9" t="s">
        <v>388</v>
      </c>
      <c r="V120" s="9"/>
    </row>
    <row r="121" spans="1:22">
      <c r="A121" s="16" t="s">
        <v>598</v>
      </c>
      <c r="B121" s="17" t="s">
        <v>204</v>
      </c>
      <c r="C121" s="17" t="s">
        <v>205</v>
      </c>
      <c r="D121" s="18">
        <v>46114</v>
      </c>
      <c r="E121" s="16" t="s">
        <v>41</v>
      </c>
      <c r="F121" s="16" t="s">
        <v>522</v>
      </c>
      <c r="G121" s="16" t="s">
        <v>523</v>
      </c>
      <c r="H121" s="16" t="s">
        <v>522</v>
      </c>
      <c r="I121" s="16" t="s">
        <v>524</v>
      </c>
      <c r="J121" s="16" t="s">
        <v>525</v>
      </c>
      <c r="K121" s="17" t="s">
        <v>210</v>
      </c>
      <c r="L121" s="16"/>
      <c r="M121" s="19">
        <v>3</v>
      </c>
      <c r="N121" s="16" t="s">
        <v>386</v>
      </c>
      <c r="O121" s="20">
        <v>2184</v>
      </c>
      <c r="P121" s="21">
        <f>M121*O121</f>
        <v>6552</v>
      </c>
      <c r="Q121" s="22">
        <v>0.85</v>
      </c>
      <c r="R121" s="21">
        <f>P121*Q121</f>
        <v>5569.2</v>
      </c>
      <c r="S121" s="21">
        <f>P121-R121</f>
        <v>982.80000000000018</v>
      </c>
      <c r="T121" s="16" t="s">
        <v>387</v>
      </c>
      <c r="U121" s="16" t="s">
        <v>388</v>
      </c>
      <c r="V121" s="16"/>
    </row>
    <row r="122" spans="1:22">
      <c r="A122" s="9" t="s">
        <v>599</v>
      </c>
      <c r="B122" s="10" t="s">
        <v>216</v>
      </c>
      <c r="C122" s="10" t="s">
        <v>217</v>
      </c>
      <c r="D122" s="11">
        <v>46122</v>
      </c>
      <c r="E122" s="9" t="s">
        <v>41</v>
      </c>
      <c r="F122" s="9" t="s">
        <v>42</v>
      </c>
      <c r="G122" s="9" t="s">
        <v>384</v>
      </c>
      <c r="H122" s="9" t="s">
        <v>384</v>
      </c>
      <c r="I122" s="9" t="s">
        <v>385</v>
      </c>
      <c r="J122" s="9"/>
      <c r="K122" s="10" t="s">
        <v>221</v>
      </c>
      <c r="L122" s="9"/>
      <c r="M122" s="12">
        <v>5</v>
      </c>
      <c r="N122" s="9" t="s">
        <v>386</v>
      </c>
      <c r="O122" s="13">
        <v>689</v>
      </c>
      <c r="P122" s="14">
        <f>M122*O122</f>
        <v>3445</v>
      </c>
      <c r="Q122" s="15">
        <v>0.8</v>
      </c>
      <c r="R122" s="14">
        <f>P122*Q122</f>
        <v>2756</v>
      </c>
      <c r="S122" s="14">
        <f>P122-R122</f>
        <v>689</v>
      </c>
      <c r="T122" s="9" t="s">
        <v>387</v>
      </c>
      <c r="U122" s="9" t="s">
        <v>388</v>
      </c>
      <c r="V122" s="9"/>
    </row>
    <row r="123" spans="1:22">
      <c r="A123" s="16" t="s">
        <v>600</v>
      </c>
      <c r="B123" s="17" t="s">
        <v>216</v>
      </c>
      <c r="C123" s="17" t="s">
        <v>217</v>
      </c>
      <c r="D123" s="18">
        <v>46122</v>
      </c>
      <c r="E123" s="16" t="s">
        <v>41</v>
      </c>
      <c r="F123" s="16" t="s">
        <v>390</v>
      </c>
      <c r="G123" s="16" t="s">
        <v>391</v>
      </c>
      <c r="H123" s="16" t="s">
        <v>392</v>
      </c>
      <c r="I123" s="16" t="s">
        <v>393</v>
      </c>
      <c r="J123" s="16" t="s">
        <v>394</v>
      </c>
      <c r="K123" s="17" t="s">
        <v>221</v>
      </c>
      <c r="L123" s="16"/>
      <c r="M123" s="19">
        <v>1</v>
      </c>
      <c r="N123" s="16" t="s">
        <v>395</v>
      </c>
      <c r="O123" s="20">
        <v>328.6</v>
      </c>
      <c r="P123" s="21">
        <f>M123*O123</f>
        <v>328.6</v>
      </c>
      <c r="Q123" s="22">
        <v>0.8</v>
      </c>
      <c r="R123" s="21">
        <f>P123*Q123</f>
        <v>262.88000000000005</v>
      </c>
      <c r="S123" s="21">
        <f>P123-R123</f>
        <v>65.71999999999997</v>
      </c>
      <c r="T123" s="16" t="s">
        <v>387</v>
      </c>
      <c r="U123" s="16" t="s">
        <v>388</v>
      </c>
      <c r="V123" s="16"/>
    </row>
    <row r="124" spans="1:22">
      <c r="A124" s="9" t="s">
        <v>601</v>
      </c>
      <c r="B124" s="10" t="s">
        <v>216</v>
      </c>
      <c r="C124" s="10" t="s">
        <v>217</v>
      </c>
      <c r="D124" s="11">
        <v>46123</v>
      </c>
      <c r="E124" s="9" t="s">
        <v>41</v>
      </c>
      <c r="F124" s="9" t="s">
        <v>390</v>
      </c>
      <c r="G124" s="9" t="s">
        <v>391</v>
      </c>
      <c r="H124" s="9" t="s">
        <v>392</v>
      </c>
      <c r="I124" s="9" t="s">
        <v>393</v>
      </c>
      <c r="J124" s="9" t="s">
        <v>397</v>
      </c>
      <c r="K124" s="10" t="s">
        <v>221</v>
      </c>
      <c r="L124" s="9"/>
      <c r="M124" s="12">
        <v>4</v>
      </c>
      <c r="N124" s="9" t="s">
        <v>398</v>
      </c>
      <c r="O124" s="13">
        <v>196.1</v>
      </c>
      <c r="P124" s="14">
        <f>M124*O124</f>
        <v>784.4</v>
      </c>
      <c r="Q124" s="15">
        <v>0.8</v>
      </c>
      <c r="R124" s="14">
        <f>P124*Q124</f>
        <v>627.52</v>
      </c>
      <c r="S124" s="14">
        <f>P124-R124</f>
        <v>156.88</v>
      </c>
      <c r="T124" s="9" t="s">
        <v>387</v>
      </c>
      <c r="U124" s="9" t="s">
        <v>388</v>
      </c>
      <c r="V124" s="9"/>
    </row>
    <row r="125" spans="1:22">
      <c r="A125" s="16" t="s">
        <v>602</v>
      </c>
      <c r="B125" s="17" t="s">
        <v>216</v>
      </c>
      <c r="C125" s="17" t="s">
        <v>217</v>
      </c>
      <c r="D125" s="18">
        <v>46122</v>
      </c>
      <c r="E125" s="16" t="s">
        <v>41</v>
      </c>
      <c r="F125" s="16" t="s">
        <v>400</v>
      </c>
      <c r="G125" s="16" t="s">
        <v>400</v>
      </c>
      <c r="H125" s="16" t="s">
        <v>400</v>
      </c>
      <c r="I125" s="16" t="s">
        <v>401</v>
      </c>
      <c r="J125" s="16" t="s">
        <v>402</v>
      </c>
      <c r="K125" s="17" t="s">
        <v>221</v>
      </c>
      <c r="L125" s="16"/>
      <c r="M125" s="19">
        <v>1</v>
      </c>
      <c r="N125" s="16" t="s">
        <v>403</v>
      </c>
      <c r="O125" s="20">
        <v>100.7</v>
      </c>
      <c r="P125" s="21">
        <f>M125*O125</f>
        <v>100.7</v>
      </c>
      <c r="Q125" s="22">
        <v>0.8</v>
      </c>
      <c r="R125" s="21">
        <f>P125*Q125</f>
        <v>80.56</v>
      </c>
      <c r="S125" s="21">
        <f>P125-R125</f>
        <v>20.14</v>
      </c>
      <c r="T125" s="16" t="s">
        <v>387</v>
      </c>
      <c r="U125" s="16" t="s">
        <v>388</v>
      </c>
      <c r="V125" s="16"/>
    </row>
    <row r="126" spans="1:22">
      <c r="A126" s="9" t="s">
        <v>603</v>
      </c>
      <c r="B126" s="10" t="s">
        <v>216</v>
      </c>
      <c r="C126" s="10" t="s">
        <v>217</v>
      </c>
      <c r="D126" s="11">
        <v>46122</v>
      </c>
      <c r="E126" s="9" t="s">
        <v>41</v>
      </c>
      <c r="F126" s="9" t="s">
        <v>400</v>
      </c>
      <c r="G126" s="9" t="s">
        <v>400</v>
      </c>
      <c r="H126" s="9" t="s">
        <v>405</v>
      </c>
      <c r="I126" s="9" t="s">
        <v>406</v>
      </c>
      <c r="J126" s="9" t="s">
        <v>407</v>
      </c>
      <c r="K126" s="10" t="s">
        <v>221</v>
      </c>
      <c r="L126" s="9"/>
      <c r="M126" s="12">
        <v>1</v>
      </c>
      <c r="N126" s="9" t="s">
        <v>408</v>
      </c>
      <c r="O126" s="13">
        <v>137.80000000000001</v>
      </c>
      <c r="P126" s="14">
        <f>M126*O126</f>
        <v>137.80000000000001</v>
      </c>
      <c r="Q126" s="15">
        <v>0.8</v>
      </c>
      <c r="R126" s="14">
        <f>P126*Q126</f>
        <v>110.24000000000001</v>
      </c>
      <c r="S126" s="14">
        <f>P126-R126</f>
        <v>27.560000000000002</v>
      </c>
      <c r="T126" s="9" t="s">
        <v>387</v>
      </c>
      <c r="U126" s="9" t="s">
        <v>388</v>
      </c>
      <c r="V126" s="9"/>
    </row>
    <row r="127" spans="1:22">
      <c r="A127" s="16" t="s">
        <v>604</v>
      </c>
      <c r="B127" s="17" t="s">
        <v>216</v>
      </c>
      <c r="C127" s="17" t="s">
        <v>217</v>
      </c>
      <c r="D127" s="18">
        <v>46122</v>
      </c>
      <c r="E127" s="16" t="s">
        <v>41</v>
      </c>
      <c r="F127" s="16" t="s">
        <v>410</v>
      </c>
      <c r="G127" s="16" t="s">
        <v>410</v>
      </c>
      <c r="H127" s="16" t="s">
        <v>410</v>
      </c>
      <c r="I127" s="16" t="s">
        <v>411</v>
      </c>
      <c r="J127" s="16"/>
      <c r="K127" s="17" t="s">
        <v>221</v>
      </c>
      <c r="L127" s="16"/>
      <c r="M127" s="19">
        <v>5</v>
      </c>
      <c r="N127" s="16" t="s">
        <v>386</v>
      </c>
      <c r="O127" s="20">
        <v>445.2</v>
      </c>
      <c r="P127" s="21">
        <f>M127*O127</f>
        <v>2226</v>
      </c>
      <c r="Q127" s="22">
        <v>0.8</v>
      </c>
      <c r="R127" s="21">
        <f>P127*Q127</f>
        <v>1780.8000000000002</v>
      </c>
      <c r="S127" s="21">
        <f>P127-R127</f>
        <v>445.19999999999982</v>
      </c>
      <c r="T127" s="16" t="s">
        <v>387</v>
      </c>
      <c r="U127" s="16" t="s">
        <v>388</v>
      </c>
      <c r="V127" s="16"/>
    </row>
    <row r="128" spans="1:22">
      <c r="A128" s="9" t="s">
        <v>605</v>
      </c>
      <c r="B128" s="10" t="s">
        <v>216</v>
      </c>
      <c r="C128" s="10" t="s">
        <v>217</v>
      </c>
      <c r="D128" s="11">
        <v>46122</v>
      </c>
      <c r="E128" s="9" t="s">
        <v>41</v>
      </c>
      <c r="F128" s="9" t="s">
        <v>413</v>
      </c>
      <c r="G128" s="9" t="s">
        <v>414</v>
      </c>
      <c r="H128" s="9" t="s">
        <v>415</v>
      </c>
      <c r="I128" s="9" t="s">
        <v>416</v>
      </c>
      <c r="J128" s="9"/>
      <c r="K128" s="10" t="s">
        <v>221</v>
      </c>
      <c r="L128" s="9"/>
      <c r="M128" s="12">
        <v>2</v>
      </c>
      <c r="N128" s="9" t="s">
        <v>417</v>
      </c>
      <c r="O128" s="13">
        <v>371</v>
      </c>
      <c r="P128" s="14">
        <f>M128*O128</f>
        <v>742</v>
      </c>
      <c r="Q128" s="15">
        <v>0.8</v>
      </c>
      <c r="R128" s="14">
        <f>P128*Q128</f>
        <v>593.6</v>
      </c>
      <c r="S128" s="14">
        <f>P128-R128</f>
        <v>148.39999999999998</v>
      </c>
      <c r="T128" s="9" t="s">
        <v>387</v>
      </c>
      <c r="U128" s="9" t="s">
        <v>388</v>
      </c>
      <c r="V128" s="9"/>
    </row>
    <row r="129" spans="1:22">
      <c r="A129" s="16" t="s">
        <v>606</v>
      </c>
      <c r="B129" s="17" t="s">
        <v>216</v>
      </c>
      <c r="C129" s="17" t="s">
        <v>217</v>
      </c>
      <c r="D129" s="18">
        <v>46122</v>
      </c>
      <c r="E129" s="16" t="s">
        <v>41</v>
      </c>
      <c r="F129" s="16" t="s">
        <v>419</v>
      </c>
      <c r="G129" s="16" t="s">
        <v>420</v>
      </c>
      <c r="H129" s="16" t="s">
        <v>557</v>
      </c>
      <c r="I129" s="16" t="s">
        <v>558</v>
      </c>
      <c r="J129" s="16" t="s">
        <v>559</v>
      </c>
      <c r="K129" s="17" t="s">
        <v>221</v>
      </c>
      <c r="L129" s="16"/>
      <c r="M129" s="19">
        <v>1</v>
      </c>
      <c r="N129" s="16" t="s">
        <v>424</v>
      </c>
      <c r="O129" s="20">
        <v>455.8</v>
      </c>
      <c r="P129" s="21">
        <f>M129*O129</f>
        <v>455.8</v>
      </c>
      <c r="Q129" s="22">
        <v>0.8</v>
      </c>
      <c r="R129" s="21">
        <f>P129*Q129</f>
        <v>364.64000000000004</v>
      </c>
      <c r="S129" s="21">
        <f>P129-R129</f>
        <v>91.159999999999968</v>
      </c>
      <c r="T129" s="16" t="s">
        <v>387</v>
      </c>
      <c r="U129" s="16" t="s">
        <v>388</v>
      </c>
      <c r="V129" s="16"/>
    </row>
    <row r="130" spans="1:22">
      <c r="A130" s="9" t="s">
        <v>607</v>
      </c>
      <c r="B130" s="10" t="s">
        <v>216</v>
      </c>
      <c r="C130" s="10" t="s">
        <v>217</v>
      </c>
      <c r="D130" s="11">
        <v>46123</v>
      </c>
      <c r="E130" s="9" t="s">
        <v>41</v>
      </c>
      <c r="F130" s="9" t="s">
        <v>608</v>
      </c>
      <c r="G130" s="9" t="s">
        <v>609</v>
      </c>
      <c r="H130" s="9" t="s">
        <v>610</v>
      </c>
      <c r="I130" s="9" t="s">
        <v>611</v>
      </c>
      <c r="J130" s="9" t="s">
        <v>612</v>
      </c>
      <c r="K130" s="10" t="s">
        <v>221</v>
      </c>
      <c r="L130" s="9"/>
      <c r="M130" s="12">
        <v>2</v>
      </c>
      <c r="N130" s="9" t="s">
        <v>431</v>
      </c>
      <c r="O130" s="13">
        <v>1038.8</v>
      </c>
      <c r="P130" s="14">
        <f>M130*O130</f>
        <v>2077.6</v>
      </c>
      <c r="Q130" s="15">
        <v>0.8</v>
      </c>
      <c r="R130" s="14">
        <f>P130*Q130</f>
        <v>1662.08</v>
      </c>
      <c r="S130" s="14">
        <f>P130-R130</f>
        <v>415.52</v>
      </c>
      <c r="T130" s="9" t="s">
        <v>387</v>
      </c>
      <c r="U130" s="9" t="s">
        <v>388</v>
      </c>
      <c r="V130" s="9"/>
    </row>
    <row r="131" spans="1:22">
      <c r="A131" s="16" t="s">
        <v>613</v>
      </c>
      <c r="B131" s="17" t="s">
        <v>227</v>
      </c>
      <c r="C131" s="17" t="s">
        <v>228</v>
      </c>
      <c r="D131" s="18">
        <v>46130</v>
      </c>
      <c r="E131" s="16" t="s">
        <v>41</v>
      </c>
      <c r="F131" s="16" t="s">
        <v>42</v>
      </c>
      <c r="G131" s="16" t="s">
        <v>384</v>
      </c>
      <c r="H131" s="16" t="s">
        <v>384</v>
      </c>
      <c r="I131" s="16" t="s">
        <v>385</v>
      </c>
      <c r="J131" s="16"/>
      <c r="K131" s="17" t="s">
        <v>232</v>
      </c>
      <c r="L131" s="16"/>
      <c r="M131" s="19">
        <v>5</v>
      </c>
      <c r="N131" s="16" t="s">
        <v>386</v>
      </c>
      <c r="O131" s="20">
        <v>611</v>
      </c>
      <c r="P131" s="21">
        <f>M131*O131</f>
        <v>3055</v>
      </c>
      <c r="Q131" s="22">
        <v>0</v>
      </c>
      <c r="R131" s="21">
        <f>P131*Q131</f>
        <v>0</v>
      </c>
      <c r="S131" s="21">
        <f>P131-R131</f>
        <v>3055</v>
      </c>
      <c r="T131" s="16" t="s">
        <v>387</v>
      </c>
      <c r="U131" s="16" t="s">
        <v>388</v>
      </c>
      <c r="V131" s="16"/>
    </row>
    <row r="132" spans="1:22">
      <c r="A132" s="9" t="s">
        <v>614</v>
      </c>
      <c r="B132" s="10" t="s">
        <v>227</v>
      </c>
      <c r="C132" s="10" t="s">
        <v>228</v>
      </c>
      <c r="D132" s="11">
        <v>46130</v>
      </c>
      <c r="E132" s="9" t="s">
        <v>41</v>
      </c>
      <c r="F132" s="9" t="s">
        <v>390</v>
      </c>
      <c r="G132" s="9" t="s">
        <v>391</v>
      </c>
      <c r="H132" s="9" t="s">
        <v>392</v>
      </c>
      <c r="I132" s="9" t="s">
        <v>393</v>
      </c>
      <c r="J132" s="9" t="s">
        <v>394</v>
      </c>
      <c r="K132" s="10" t="s">
        <v>232</v>
      </c>
      <c r="L132" s="9"/>
      <c r="M132" s="12">
        <v>1</v>
      </c>
      <c r="N132" s="9" t="s">
        <v>395</v>
      </c>
      <c r="O132" s="13">
        <v>291.39999999999998</v>
      </c>
      <c r="P132" s="14">
        <f>M132*O132</f>
        <v>291.39999999999998</v>
      </c>
      <c r="Q132" s="15">
        <v>0</v>
      </c>
      <c r="R132" s="14">
        <f>P132*Q132</f>
        <v>0</v>
      </c>
      <c r="S132" s="14">
        <f>P132-R132</f>
        <v>291.39999999999998</v>
      </c>
      <c r="T132" s="9" t="s">
        <v>387</v>
      </c>
      <c r="U132" s="9" t="s">
        <v>388</v>
      </c>
      <c r="V132" s="9"/>
    </row>
    <row r="133" spans="1:22">
      <c r="A133" s="16" t="s">
        <v>615</v>
      </c>
      <c r="B133" s="17" t="s">
        <v>227</v>
      </c>
      <c r="C133" s="17" t="s">
        <v>228</v>
      </c>
      <c r="D133" s="18">
        <v>46131</v>
      </c>
      <c r="E133" s="16" t="s">
        <v>41</v>
      </c>
      <c r="F133" s="16" t="s">
        <v>390</v>
      </c>
      <c r="G133" s="16" t="s">
        <v>391</v>
      </c>
      <c r="H133" s="16" t="s">
        <v>392</v>
      </c>
      <c r="I133" s="16" t="s">
        <v>393</v>
      </c>
      <c r="J133" s="16" t="s">
        <v>397</v>
      </c>
      <c r="K133" s="17" t="s">
        <v>232</v>
      </c>
      <c r="L133" s="16"/>
      <c r="M133" s="19">
        <v>4</v>
      </c>
      <c r="N133" s="16" t="s">
        <v>398</v>
      </c>
      <c r="O133" s="20">
        <v>173.9</v>
      </c>
      <c r="P133" s="21">
        <f>M133*O133</f>
        <v>695.6</v>
      </c>
      <c r="Q133" s="22">
        <v>0</v>
      </c>
      <c r="R133" s="21">
        <f>P133*Q133</f>
        <v>0</v>
      </c>
      <c r="S133" s="21">
        <f>P133-R133</f>
        <v>695.6</v>
      </c>
      <c r="T133" s="16" t="s">
        <v>387</v>
      </c>
      <c r="U133" s="16" t="s">
        <v>388</v>
      </c>
      <c r="V133" s="16"/>
    </row>
    <row r="134" spans="1:22">
      <c r="A134" s="9" t="s">
        <v>616</v>
      </c>
      <c r="B134" s="10" t="s">
        <v>227</v>
      </c>
      <c r="C134" s="10" t="s">
        <v>228</v>
      </c>
      <c r="D134" s="11">
        <v>46130</v>
      </c>
      <c r="E134" s="9" t="s">
        <v>41</v>
      </c>
      <c r="F134" s="9" t="s">
        <v>400</v>
      </c>
      <c r="G134" s="9" t="s">
        <v>400</v>
      </c>
      <c r="H134" s="9" t="s">
        <v>400</v>
      </c>
      <c r="I134" s="9" t="s">
        <v>401</v>
      </c>
      <c r="J134" s="9" t="s">
        <v>402</v>
      </c>
      <c r="K134" s="10" t="s">
        <v>232</v>
      </c>
      <c r="L134" s="9"/>
      <c r="M134" s="12">
        <v>1</v>
      </c>
      <c r="N134" s="9" t="s">
        <v>403</v>
      </c>
      <c r="O134" s="13">
        <v>89.3</v>
      </c>
      <c r="P134" s="14">
        <f>M134*O134</f>
        <v>89.3</v>
      </c>
      <c r="Q134" s="15">
        <v>0</v>
      </c>
      <c r="R134" s="14">
        <f>P134*Q134</f>
        <v>0</v>
      </c>
      <c r="S134" s="14">
        <f>P134-R134</f>
        <v>89.3</v>
      </c>
      <c r="T134" s="9" t="s">
        <v>387</v>
      </c>
      <c r="U134" s="9" t="s">
        <v>388</v>
      </c>
      <c r="V134" s="9"/>
    </row>
    <row r="135" spans="1:22">
      <c r="A135" s="16" t="s">
        <v>617</v>
      </c>
      <c r="B135" s="17" t="s">
        <v>227</v>
      </c>
      <c r="C135" s="17" t="s">
        <v>228</v>
      </c>
      <c r="D135" s="18">
        <v>46130</v>
      </c>
      <c r="E135" s="16" t="s">
        <v>41</v>
      </c>
      <c r="F135" s="16" t="s">
        <v>400</v>
      </c>
      <c r="G135" s="16" t="s">
        <v>400</v>
      </c>
      <c r="H135" s="16" t="s">
        <v>405</v>
      </c>
      <c r="I135" s="16" t="s">
        <v>406</v>
      </c>
      <c r="J135" s="16" t="s">
        <v>407</v>
      </c>
      <c r="K135" s="17" t="s">
        <v>232</v>
      </c>
      <c r="L135" s="16"/>
      <c r="M135" s="19">
        <v>1</v>
      </c>
      <c r="N135" s="16" t="s">
        <v>408</v>
      </c>
      <c r="O135" s="20">
        <v>122.2</v>
      </c>
      <c r="P135" s="21">
        <f>M135*O135</f>
        <v>122.2</v>
      </c>
      <c r="Q135" s="22">
        <v>0</v>
      </c>
      <c r="R135" s="21">
        <f>P135*Q135</f>
        <v>0</v>
      </c>
      <c r="S135" s="21">
        <f>P135-R135</f>
        <v>122.2</v>
      </c>
      <c r="T135" s="16" t="s">
        <v>387</v>
      </c>
      <c r="U135" s="16" t="s">
        <v>388</v>
      </c>
      <c r="V135" s="16"/>
    </row>
    <row r="136" spans="1:22">
      <c r="A136" s="9" t="s">
        <v>618</v>
      </c>
      <c r="B136" s="10" t="s">
        <v>227</v>
      </c>
      <c r="C136" s="10" t="s">
        <v>228</v>
      </c>
      <c r="D136" s="11">
        <v>46130</v>
      </c>
      <c r="E136" s="9" t="s">
        <v>41</v>
      </c>
      <c r="F136" s="9" t="s">
        <v>410</v>
      </c>
      <c r="G136" s="9" t="s">
        <v>410</v>
      </c>
      <c r="H136" s="9" t="s">
        <v>410</v>
      </c>
      <c r="I136" s="9" t="s">
        <v>411</v>
      </c>
      <c r="J136" s="9"/>
      <c r="K136" s="10" t="s">
        <v>232</v>
      </c>
      <c r="L136" s="9"/>
      <c r="M136" s="12">
        <v>5</v>
      </c>
      <c r="N136" s="9" t="s">
        <v>386</v>
      </c>
      <c r="O136" s="13">
        <v>394.8</v>
      </c>
      <c r="P136" s="14">
        <f>M136*O136</f>
        <v>1974</v>
      </c>
      <c r="Q136" s="15">
        <v>0</v>
      </c>
      <c r="R136" s="14">
        <f>P136*Q136</f>
        <v>0</v>
      </c>
      <c r="S136" s="14">
        <f>P136-R136</f>
        <v>1974</v>
      </c>
      <c r="T136" s="9" t="s">
        <v>387</v>
      </c>
      <c r="U136" s="9" t="s">
        <v>388</v>
      </c>
      <c r="V136" s="9"/>
    </row>
    <row r="137" spans="1:22">
      <c r="A137" s="16" t="s">
        <v>619</v>
      </c>
      <c r="B137" s="17" t="s">
        <v>227</v>
      </c>
      <c r="C137" s="17" t="s">
        <v>228</v>
      </c>
      <c r="D137" s="18">
        <v>46130</v>
      </c>
      <c r="E137" s="16" t="s">
        <v>41</v>
      </c>
      <c r="F137" s="16" t="s">
        <v>413</v>
      </c>
      <c r="G137" s="16" t="s">
        <v>414</v>
      </c>
      <c r="H137" s="16" t="s">
        <v>415</v>
      </c>
      <c r="I137" s="16" t="s">
        <v>416</v>
      </c>
      <c r="J137" s="16"/>
      <c r="K137" s="17" t="s">
        <v>232</v>
      </c>
      <c r="L137" s="16"/>
      <c r="M137" s="19">
        <v>2</v>
      </c>
      <c r="N137" s="16" t="s">
        <v>417</v>
      </c>
      <c r="O137" s="20">
        <v>329</v>
      </c>
      <c r="P137" s="21">
        <f>M137*O137</f>
        <v>658</v>
      </c>
      <c r="Q137" s="22">
        <v>0</v>
      </c>
      <c r="R137" s="21">
        <f>P137*Q137</f>
        <v>0</v>
      </c>
      <c r="S137" s="21">
        <f>P137-R137</f>
        <v>658</v>
      </c>
      <c r="T137" s="16" t="s">
        <v>387</v>
      </c>
      <c r="U137" s="16" t="s">
        <v>388</v>
      </c>
      <c r="V137" s="16"/>
    </row>
    <row r="138" spans="1:22">
      <c r="A138" s="9" t="s">
        <v>620</v>
      </c>
      <c r="B138" s="10" t="s">
        <v>227</v>
      </c>
      <c r="C138" s="10" t="s">
        <v>228</v>
      </c>
      <c r="D138" s="11">
        <v>46131</v>
      </c>
      <c r="E138" s="9" t="s">
        <v>41</v>
      </c>
      <c r="F138" s="9" t="s">
        <v>621</v>
      </c>
      <c r="G138" s="9" t="s">
        <v>622</v>
      </c>
      <c r="H138" s="9" t="s">
        <v>623</v>
      </c>
      <c r="I138" s="9" t="s">
        <v>624</v>
      </c>
      <c r="J138" s="9" t="s">
        <v>625</v>
      </c>
      <c r="K138" s="10" t="s">
        <v>232</v>
      </c>
      <c r="L138" s="9"/>
      <c r="M138" s="12">
        <v>2</v>
      </c>
      <c r="N138" s="9" t="s">
        <v>626</v>
      </c>
      <c r="O138" s="13">
        <v>714.4</v>
      </c>
      <c r="P138" s="14">
        <f>M138*O138</f>
        <v>1428.8</v>
      </c>
      <c r="Q138" s="15">
        <v>0</v>
      </c>
      <c r="R138" s="14">
        <f>P138*Q138</f>
        <v>0</v>
      </c>
      <c r="S138" s="14">
        <f>P138-R138</f>
        <v>1428.8</v>
      </c>
      <c r="T138" s="9" t="s">
        <v>387</v>
      </c>
      <c r="U138" s="9" t="s">
        <v>388</v>
      </c>
      <c r="V138" s="9"/>
    </row>
    <row r="139" spans="1:22">
      <c r="A139" s="16" t="s">
        <v>627</v>
      </c>
      <c r="B139" s="17" t="s">
        <v>238</v>
      </c>
      <c r="C139" s="17" t="s">
        <v>239</v>
      </c>
      <c r="D139" s="18">
        <v>46138</v>
      </c>
      <c r="E139" s="16" t="s">
        <v>41</v>
      </c>
      <c r="F139" s="16" t="s">
        <v>196</v>
      </c>
      <c r="G139" s="16" t="s">
        <v>384</v>
      </c>
      <c r="H139" s="16" t="s">
        <v>575</v>
      </c>
      <c r="I139" s="16" t="s">
        <v>524</v>
      </c>
      <c r="J139" s="16"/>
      <c r="K139" s="17" t="s">
        <v>243</v>
      </c>
      <c r="L139" s="16"/>
      <c r="M139" s="19">
        <v>10</v>
      </c>
      <c r="N139" s="16" t="s">
        <v>386</v>
      </c>
      <c r="O139" s="20">
        <v>2352</v>
      </c>
      <c r="P139" s="21">
        <f>M139*O139</f>
        <v>23520</v>
      </c>
      <c r="Q139" s="22">
        <v>0.8</v>
      </c>
      <c r="R139" s="21">
        <f>P139*Q139</f>
        <v>18816</v>
      </c>
      <c r="S139" s="21">
        <f>P139-R139</f>
        <v>4704</v>
      </c>
      <c r="T139" s="16" t="s">
        <v>387</v>
      </c>
      <c r="U139" s="16" t="s">
        <v>388</v>
      </c>
      <c r="V139" s="16"/>
    </row>
    <row r="140" spans="1:22">
      <c r="A140" s="9" t="s">
        <v>628</v>
      </c>
      <c r="B140" s="10" t="s">
        <v>238</v>
      </c>
      <c r="C140" s="10" t="s">
        <v>239</v>
      </c>
      <c r="D140" s="11">
        <v>46138</v>
      </c>
      <c r="E140" s="9" t="s">
        <v>41</v>
      </c>
      <c r="F140" s="9" t="s">
        <v>390</v>
      </c>
      <c r="G140" s="9" t="s">
        <v>391</v>
      </c>
      <c r="H140" s="9" t="s">
        <v>392</v>
      </c>
      <c r="I140" s="9" t="s">
        <v>393</v>
      </c>
      <c r="J140" s="9" t="s">
        <v>394</v>
      </c>
      <c r="K140" s="10" t="s">
        <v>243</v>
      </c>
      <c r="L140" s="9"/>
      <c r="M140" s="12">
        <v>1</v>
      </c>
      <c r="N140" s="9" t="s">
        <v>395</v>
      </c>
      <c r="O140" s="13">
        <v>297.60000000000002</v>
      </c>
      <c r="P140" s="14">
        <f>M140*O140</f>
        <v>297.60000000000002</v>
      </c>
      <c r="Q140" s="15">
        <v>0.8</v>
      </c>
      <c r="R140" s="14">
        <f>P140*Q140</f>
        <v>238.08000000000004</v>
      </c>
      <c r="S140" s="14">
        <f>P140-R140</f>
        <v>59.519999999999982</v>
      </c>
      <c r="T140" s="9" t="s">
        <v>387</v>
      </c>
      <c r="U140" s="9" t="s">
        <v>388</v>
      </c>
      <c r="V140" s="9"/>
    </row>
    <row r="141" spans="1:22">
      <c r="A141" s="16" t="s">
        <v>629</v>
      </c>
      <c r="B141" s="17" t="s">
        <v>238</v>
      </c>
      <c r="C141" s="17" t="s">
        <v>239</v>
      </c>
      <c r="D141" s="18">
        <v>46139</v>
      </c>
      <c r="E141" s="16" t="s">
        <v>41</v>
      </c>
      <c r="F141" s="16" t="s">
        <v>390</v>
      </c>
      <c r="G141" s="16" t="s">
        <v>391</v>
      </c>
      <c r="H141" s="16" t="s">
        <v>392</v>
      </c>
      <c r="I141" s="16" t="s">
        <v>393</v>
      </c>
      <c r="J141" s="16" t="s">
        <v>397</v>
      </c>
      <c r="K141" s="17" t="s">
        <v>243</v>
      </c>
      <c r="L141" s="16"/>
      <c r="M141" s="19">
        <v>9</v>
      </c>
      <c r="N141" s="16" t="s">
        <v>398</v>
      </c>
      <c r="O141" s="20">
        <v>177.6</v>
      </c>
      <c r="P141" s="21">
        <f>M141*O141</f>
        <v>1598.3999999999999</v>
      </c>
      <c r="Q141" s="22">
        <v>0.8</v>
      </c>
      <c r="R141" s="21">
        <f>P141*Q141</f>
        <v>1278.72</v>
      </c>
      <c r="S141" s="21">
        <f>P141-R141</f>
        <v>319.67999999999984</v>
      </c>
      <c r="T141" s="16" t="s">
        <v>387</v>
      </c>
      <c r="U141" s="16" t="s">
        <v>388</v>
      </c>
      <c r="V141" s="16"/>
    </row>
    <row r="142" spans="1:22">
      <c r="A142" s="9" t="s">
        <v>630</v>
      </c>
      <c r="B142" s="10" t="s">
        <v>238</v>
      </c>
      <c r="C142" s="10" t="s">
        <v>239</v>
      </c>
      <c r="D142" s="11">
        <v>46138</v>
      </c>
      <c r="E142" s="9" t="s">
        <v>41</v>
      </c>
      <c r="F142" s="9" t="s">
        <v>400</v>
      </c>
      <c r="G142" s="9" t="s">
        <v>400</v>
      </c>
      <c r="H142" s="9" t="s">
        <v>400</v>
      </c>
      <c r="I142" s="9" t="s">
        <v>401</v>
      </c>
      <c r="J142" s="9" t="s">
        <v>402</v>
      </c>
      <c r="K142" s="10" t="s">
        <v>243</v>
      </c>
      <c r="L142" s="9"/>
      <c r="M142" s="12">
        <v>1</v>
      </c>
      <c r="N142" s="9" t="s">
        <v>403</v>
      </c>
      <c r="O142" s="13">
        <v>91.2</v>
      </c>
      <c r="P142" s="14">
        <f>M142*O142</f>
        <v>91.2</v>
      </c>
      <c r="Q142" s="15">
        <v>0.8</v>
      </c>
      <c r="R142" s="14">
        <f>P142*Q142</f>
        <v>72.960000000000008</v>
      </c>
      <c r="S142" s="14">
        <f>P142-R142</f>
        <v>18.239999999999995</v>
      </c>
      <c r="T142" s="9" t="s">
        <v>387</v>
      </c>
      <c r="U142" s="9" t="s">
        <v>388</v>
      </c>
      <c r="V142" s="9"/>
    </row>
    <row r="143" spans="1:22">
      <c r="A143" s="16" t="s">
        <v>631</v>
      </c>
      <c r="B143" s="17" t="s">
        <v>238</v>
      </c>
      <c r="C143" s="17" t="s">
        <v>239</v>
      </c>
      <c r="D143" s="18">
        <v>46138</v>
      </c>
      <c r="E143" s="16" t="s">
        <v>41</v>
      </c>
      <c r="F143" s="16" t="s">
        <v>400</v>
      </c>
      <c r="G143" s="16" t="s">
        <v>400</v>
      </c>
      <c r="H143" s="16" t="s">
        <v>405</v>
      </c>
      <c r="I143" s="16" t="s">
        <v>406</v>
      </c>
      <c r="J143" s="16" t="s">
        <v>407</v>
      </c>
      <c r="K143" s="17" t="s">
        <v>243</v>
      </c>
      <c r="L143" s="16"/>
      <c r="M143" s="19">
        <v>1</v>
      </c>
      <c r="N143" s="16" t="s">
        <v>408</v>
      </c>
      <c r="O143" s="20">
        <v>124.8</v>
      </c>
      <c r="P143" s="21">
        <f>M143*O143</f>
        <v>124.8</v>
      </c>
      <c r="Q143" s="22">
        <v>0.8</v>
      </c>
      <c r="R143" s="21">
        <f>P143*Q143</f>
        <v>99.84</v>
      </c>
      <c r="S143" s="21">
        <f>P143-R143</f>
        <v>24.959999999999994</v>
      </c>
      <c r="T143" s="16" t="s">
        <v>387</v>
      </c>
      <c r="U143" s="16" t="s">
        <v>388</v>
      </c>
      <c r="V143" s="16"/>
    </row>
    <row r="144" spans="1:22">
      <c r="A144" s="9" t="s">
        <v>632</v>
      </c>
      <c r="B144" s="10" t="s">
        <v>238</v>
      </c>
      <c r="C144" s="10" t="s">
        <v>239</v>
      </c>
      <c r="D144" s="11">
        <v>46138</v>
      </c>
      <c r="E144" s="9" t="s">
        <v>41</v>
      </c>
      <c r="F144" s="9" t="s">
        <v>410</v>
      </c>
      <c r="G144" s="9" t="s">
        <v>410</v>
      </c>
      <c r="H144" s="9" t="s">
        <v>410</v>
      </c>
      <c r="I144" s="9" t="s">
        <v>411</v>
      </c>
      <c r="J144" s="9"/>
      <c r="K144" s="10" t="s">
        <v>243</v>
      </c>
      <c r="L144" s="9"/>
      <c r="M144" s="12">
        <v>10</v>
      </c>
      <c r="N144" s="9" t="s">
        <v>386</v>
      </c>
      <c r="O144" s="13">
        <v>403.2</v>
      </c>
      <c r="P144" s="14">
        <f>M144*O144</f>
        <v>4032</v>
      </c>
      <c r="Q144" s="15">
        <v>0.8</v>
      </c>
      <c r="R144" s="14">
        <f>P144*Q144</f>
        <v>3225.6000000000004</v>
      </c>
      <c r="S144" s="14">
        <f>P144-R144</f>
        <v>806.39999999999964</v>
      </c>
      <c r="T144" s="9" t="s">
        <v>387</v>
      </c>
      <c r="U144" s="9" t="s">
        <v>388</v>
      </c>
      <c r="V144" s="9"/>
    </row>
    <row r="145" spans="1:22">
      <c r="A145" s="16" t="s">
        <v>633</v>
      </c>
      <c r="B145" s="17" t="s">
        <v>238</v>
      </c>
      <c r="C145" s="17" t="s">
        <v>239</v>
      </c>
      <c r="D145" s="18">
        <v>46138</v>
      </c>
      <c r="E145" s="16" t="s">
        <v>41</v>
      </c>
      <c r="F145" s="16" t="s">
        <v>413</v>
      </c>
      <c r="G145" s="16" t="s">
        <v>414</v>
      </c>
      <c r="H145" s="16" t="s">
        <v>415</v>
      </c>
      <c r="I145" s="16" t="s">
        <v>416</v>
      </c>
      <c r="J145" s="16"/>
      <c r="K145" s="17" t="s">
        <v>243</v>
      </c>
      <c r="L145" s="16"/>
      <c r="M145" s="19">
        <v>5</v>
      </c>
      <c r="N145" s="16" t="s">
        <v>417</v>
      </c>
      <c r="O145" s="20">
        <v>336</v>
      </c>
      <c r="P145" s="21">
        <f>M145*O145</f>
        <v>1680</v>
      </c>
      <c r="Q145" s="22">
        <v>0.8</v>
      </c>
      <c r="R145" s="21">
        <f>P145*Q145</f>
        <v>1344</v>
      </c>
      <c r="S145" s="21">
        <f>P145-R145</f>
        <v>336</v>
      </c>
      <c r="T145" s="16" t="s">
        <v>387</v>
      </c>
      <c r="U145" s="16" t="s">
        <v>388</v>
      </c>
      <c r="V145" s="16"/>
    </row>
    <row r="146" spans="1:22">
      <c r="A146" s="9" t="s">
        <v>634</v>
      </c>
      <c r="B146" s="10" t="s">
        <v>238</v>
      </c>
      <c r="C146" s="10" t="s">
        <v>239</v>
      </c>
      <c r="D146" s="11">
        <v>46138</v>
      </c>
      <c r="E146" s="9" t="s">
        <v>41</v>
      </c>
      <c r="F146" s="9" t="s">
        <v>419</v>
      </c>
      <c r="G146" s="9" t="s">
        <v>420</v>
      </c>
      <c r="H146" s="9" t="s">
        <v>421</v>
      </c>
      <c r="I146" s="9" t="s">
        <v>422</v>
      </c>
      <c r="J146" s="9" t="s">
        <v>423</v>
      </c>
      <c r="K146" s="10" t="s">
        <v>243</v>
      </c>
      <c r="L146" s="9"/>
      <c r="M146" s="12">
        <v>1</v>
      </c>
      <c r="N146" s="9" t="s">
        <v>424</v>
      </c>
      <c r="O146" s="13">
        <v>201.6</v>
      </c>
      <c r="P146" s="14">
        <f>M146*O146</f>
        <v>201.6</v>
      </c>
      <c r="Q146" s="15">
        <v>0.8</v>
      </c>
      <c r="R146" s="14">
        <f>P146*Q146</f>
        <v>161.28</v>
      </c>
      <c r="S146" s="14">
        <f>P146-R146</f>
        <v>40.319999999999993</v>
      </c>
      <c r="T146" s="9" t="s">
        <v>387</v>
      </c>
      <c r="U146" s="9" t="s">
        <v>388</v>
      </c>
      <c r="V146" s="9"/>
    </row>
    <row r="147" spans="1:22">
      <c r="A147" s="16" t="s">
        <v>635</v>
      </c>
      <c r="B147" s="17" t="s">
        <v>238</v>
      </c>
      <c r="C147" s="17" t="s">
        <v>239</v>
      </c>
      <c r="D147" s="18">
        <v>46138</v>
      </c>
      <c r="E147" s="16" t="s">
        <v>41</v>
      </c>
      <c r="F147" s="16" t="s">
        <v>426</v>
      </c>
      <c r="G147" s="16" t="s">
        <v>427</v>
      </c>
      <c r="H147" s="16" t="s">
        <v>428</v>
      </c>
      <c r="I147" s="16" t="s">
        <v>429</v>
      </c>
      <c r="J147" s="16" t="s">
        <v>430</v>
      </c>
      <c r="K147" s="17" t="s">
        <v>243</v>
      </c>
      <c r="L147" s="16"/>
      <c r="M147" s="19">
        <v>10</v>
      </c>
      <c r="N147" s="16" t="s">
        <v>431</v>
      </c>
      <c r="O147" s="20">
        <v>201.6</v>
      </c>
      <c r="P147" s="21">
        <f>M147*O147</f>
        <v>2016</v>
      </c>
      <c r="Q147" s="22">
        <v>0.8</v>
      </c>
      <c r="R147" s="21">
        <f>P147*Q147</f>
        <v>1612.8000000000002</v>
      </c>
      <c r="S147" s="21">
        <f>P147-R147</f>
        <v>403.19999999999982</v>
      </c>
      <c r="T147" s="16" t="s">
        <v>387</v>
      </c>
      <c r="U147" s="16" t="s">
        <v>388</v>
      </c>
      <c r="V147" s="16"/>
    </row>
    <row r="148" spans="1:22">
      <c r="A148" s="9" t="s">
        <v>636</v>
      </c>
      <c r="B148" s="10" t="s">
        <v>238</v>
      </c>
      <c r="C148" s="10" t="s">
        <v>239</v>
      </c>
      <c r="D148" s="11">
        <v>46138</v>
      </c>
      <c r="E148" s="9" t="s">
        <v>41</v>
      </c>
      <c r="F148" s="9" t="s">
        <v>522</v>
      </c>
      <c r="G148" s="9" t="s">
        <v>523</v>
      </c>
      <c r="H148" s="9" t="s">
        <v>522</v>
      </c>
      <c r="I148" s="9" t="s">
        <v>524</v>
      </c>
      <c r="J148" s="9" t="s">
        <v>525</v>
      </c>
      <c r="K148" s="10" t="s">
        <v>243</v>
      </c>
      <c r="L148" s="9"/>
      <c r="M148" s="12">
        <v>3</v>
      </c>
      <c r="N148" s="9" t="s">
        <v>386</v>
      </c>
      <c r="O148" s="13">
        <v>2016</v>
      </c>
      <c r="P148" s="14">
        <f>M148*O148</f>
        <v>6048</v>
      </c>
      <c r="Q148" s="15">
        <v>0.8</v>
      </c>
      <c r="R148" s="14">
        <f>P148*Q148</f>
        <v>4838.4000000000005</v>
      </c>
      <c r="S148" s="14">
        <f>P148-R148</f>
        <v>1209.5999999999995</v>
      </c>
      <c r="T148" s="9" t="s">
        <v>387</v>
      </c>
      <c r="U148" s="9" t="s">
        <v>388</v>
      </c>
      <c r="V148" s="9"/>
    </row>
    <row r="149" spans="1:22">
      <c r="A149" s="16" t="s">
        <v>637</v>
      </c>
      <c r="B149" s="17" t="s">
        <v>249</v>
      </c>
      <c r="C149" s="17" t="s">
        <v>250</v>
      </c>
      <c r="D149" s="18">
        <v>46146</v>
      </c>
      <c r="E149" s="16" t="s">
        <v>41</v>
      </c>
      <c r="F149" s="16" t="s">
        <v>42</v>
      </c>
      <c r="G149" s="16" t="s">
        <v>384</v>
      </c>
      <c r="H149" s="16" t="s">
        <v>384</v>
      </c>
      <c r="I149" s="16" t="s">
        <v>385</v>
      </c>
      <c r="J149" s="16"/>
      <c r="K149" s="17" t="s">
        <v>254</v>
      </c>
      <c r="L149" s="16"/>
      <c r="M149" s="19">
        <v>6</v>
      </c>
      <c r="N149" s="16" t="s">
        <v>386</v>
      </c>
      <c r="O149" s="20">
        <v>637</v>
      </c>
      <c r="P149" s="21">
        <f>M149*O149</f>
        <v>3822</v>
      </c>
      <c r="Q149" s="22">
        <v>0.8</v>
      </c>
      <c r="R149" s="21">
        <f>P149*Q149</f>
        <v>3057.6000000000004</v>
      </c>
      <c r="S149" s="21">
        <f>P149-R149</f>
        <v>764.39999999999964</v>
      </c>
      <c r="T149" s="16" t="s">
        <v>387</v>
      </c>
      <c r="U149" s="16" t="s">
        <v>388</v>
      </c>
      <c r="V149" s="16"/>
    </row>
    <row r="150" spans="1:22">
      <c r="A150" s="9" t="s">
        <v>638</v>
      </c>
      <c r="B150" s="10" t="s">
        <v>249</v>
      </c>
      <c r="C150" s="10" t="s">
        <v>250</v>
      </c>
      <c r="D150" s="11">
        <v>46146</v>
      </c>
      <c r="E150" s="9" t="s">
        <v>41</v>
      </c>
      <c r="F150" s="9" t="s">
        <v>390</v>
      </c>
      <c r="G150" s="9" t="s">
        <v>391</v>
      </c>
      <c r="H150" s="9" t="s">
        <v>392</v>
      </c>
      <c r="I150" s="9" t="s">
        <v>393</v>
      </c>
      <c r="J150" s="9" t="s">
        <v>394</v>
      </c>
      <c r="K150" s="10" t="s">
        <v>254</v>
      </c>
      <c r="L150" s="9"/>
      <c r="M150" s="12">
        <v>1</v>
      </c>
      <c r="N150" s="9" t="s">
        <v>395</v>
      </c>
      <c r="O150" s="13">
        <v>303.8</v>
      </c>
      <c r="P150" s="14">
        <f>M150*O150</f>
        <v>303.8</v>
      </c>
      <c r="Q150" s="15">
        <v>0.8</v>
      </c>
      <c r="R150" s="14">
        <f>P150*Q150</f>
        <v>243.04000000000002</v>
      </c>
      <c r="S150" s="14">
        <f>P150-R150</f>
        <v>60.759999999999991</v>
      </c>
      <c r="T150" s="9" t="s">
        <v>387</v>
      </c>
      <c r="U150" s="9" t="s">
        <v>388</v>
      </c>
      <c r="V150" s="9"/>
    </row>
    <row r="151" spans="1:22">
      <c r="A151" s="16" t="s">
        <v>639</v>
      </c>
      <c r="B151" s="17" t="s">
        <v>249</v>
      </c>
      <c r="C151" s="17" t="s">
        <v>250</v>
      </c>
      <c r="D151" s="18">
        <v>46147</v>
      </c>
      <c r="E151" s="16" t="s">
        <v>41</v>
      </c>
      <c r="F151" s="16" t="s">
        <v>390</v>
      </c>
      <c r="G151" s="16" t="s">
        <v>391</v>
      </c>
      <c r="H151" s="16" t="s">
        <v>392</v>
      </c>
      <c r="I151" s="16" t="s">
        <v>393</v>
      </c>
      <c r="J151" s="16" t="s">
        <v>397</v>
      </c>
      <c r="K151" s="17" t="s">
        <v>254</v>
      </c>
      <c r="L151" s="16"/>
      <c r="M151" s="19">
        <v>5</v>
      </c>
      <c r="N151" s="16" t="s">
        <v>398</v>
      </c>
      <c r="O151" s="20">
        <v>181.3</v>
      </c>
      <c r="P151" s="21">
        <f>M151*O151</f>
        <v>906.5</v>
      </c>
      <c r="Q151" s="22">
        <v>0.8</v>
      </c>
      <c r="R151" s="21">
        <f>P151*Q151</f>
        <v>725.2</v>
      </c>
      <c r="S151" s="21">
        <f>P151-R151</f>
        <v>181.29999999999995</v>
      </c>
      <c r="T151" s="16" t="s">
        <v>387</v>
      </c>
      <c r="U151" s="16" t="s">
        <v>388</v>
      </c>
      <c r="V151" s="16"/>
    </row>
    <row r="152" spans="1:22">
      <c r="A152" s="9" t="s">
        <v>640</v>
      </c>
      <c r="B152" s="10" t="s">
        <v>249</v>
      </c>
      <c r="C152" s="10" t="s">
        <v>250</v>
      </c>
      <c r="D152" s="11">
        <v>46146</v>
      </c>
      <c r="E152" s="9" t="s">
        <v>41</v>
      </c>
      <c r="F152" s="9" t="s">
        <v>400</v>
      </c>
      <c r="G152" s="9" t="s">
        <v>400</v>
      </c>
      <c r="H152" s="9" t="s">
        <v>400</v>
      </c>
      <c r="I152" s="9" t="s">
        <v>401</v>
      </c>
      <c r="J152" s="9" t="s">
        <v>402</v>
      </c>
      <c r="K152" s="10" t="s">
        <v>254</v>
      </c>
      <c r="L152" s="9"/>
      <c r="M152" s="12">
        <v>1</v>
      </c>
      <c r="N152" s="9" t="s">
        <v>403</v>
      </c>
      <c r="O152" s="13">
        <v>93.1</v>
      </c>
      <c r="P152" s="14">
        <f>M152*O152</f>
        <v>93.1</v>
      </c>
      <c r="Q152" s="15">
        <v>0.8</v>
      </c>
      <c r="R152" s="14">
        <f>P152*Q152</f>
        <v>74.48</v>
      </c>
      <c r="S152" s="14">
        <f>P152-R152</f>
        <v>18.61999999999999</v>
      </c>
      <c r="T152" s="9" t="s">
        <v>387</v>
      </c>
      <c r="U152" s="9" t="s">
        <v>388</v>
      </c>
      <c r="V152" s="9"/>
    </row>
    <row r="153" spans="1:22">
      <c r="A153" s="16" t="s">
        <v>641</v>
      </c>
      <c r="B153" s="17" t="s">
        <v>249</v>
      </c>
      <c r="C153" s="17" t="s">
        <v>250</v>
      </c>
      <c r="D153" s="18">
        <v>46146</v>
      </c>
      <c r="E153" s="16" t="s">
        <v>41</v>
      </c>
      <c r="F153" s="16" t="s">
        <v>400</v>
      </c>
      <c r="G153" s="16" t="s">
        <v>400</v>
      </c>
      <c r="H153" s="16" t="s">
        <v>405</v>
      </c>
      <c r="I153" s="16" t="s">
        <v>406</v>
      </c>
      <c r="J153" s="16" t="s">
        <v>407</v>
      </c>
      <c r="K153" s="17" t="s">
        <v>254</v>
      </c>
      <c r="L153" s="16"/>
      <c r="M153" s="19">
        <v>1</v>
      </c>
      <c r="N153" s="16" t="s">
        <v>408</v>
      </c>
      <c r="O153" s="20">
        <v>127.4</v>
      </c>
      <c r="P153" s="21">
        <f>M153*O153</f>
        <v>127.4</v>
      </c>
      <c r="Q153" s="22">
        <v>0.8</v>
      </c>
      <c r="R153" s="21">
        <f>P153*Q153</f>
        <v>101.92000000000002</v>
      </c>
      <c r="S153" s="21">
        <f>P153-R153</f>
        <v>25.47999999999999</v>
      </c>
      <c r="T153" s="16" t="s">
        <v>387</v>
      </c>
      <c r="U153" s="16" t="s">
        <v>388</v>
      </c>
      <c r="V153" s="16"/>
    </row>
    <row r="154" spans="1:22">
      <c r="A154" s="9" t="s">
        <v>642</v>
      </c>
      <c r="B154" s="10" t="s">
        <v>249</v>
      </c>
      <c r="C154" s="10" t="s">
        <v>250</v>
      </c>
      <c r="D154" s="11">
        <v>46146</v>
      </c>
      <c r="E154" s="9" t="s">
        <v>41</v>
      </c>
      <c r="F154" s="9" t="s">
        <v>410</v>
      </c>
      <c r="G154" s="9" t="s">
        <v>410</v>
      </c>
      <c r="H154" s="9" t="s">
        <v>410</v>
      </c>
      <c r="I154" s="9" t="s">
        <v>411</v>
      </c>
      <c r="J154" s="9"/>
      <c r="K154" s="10" t="s">
        <v>254</v>
      </c>
      <c r="L154" s="9"/>
      <c r="M154" s="12">
        <v>6</v>
      </c>
      <c r="N154" s="9" t="s">
        <v>386</v>
      </c>
      <c r="O154" s="13">
        <v>411.6</v>
      </c>
      <c r="P154" s="14">
        <f>M154*O154</f>
        <v>2469.6000000000004</v>
      </c>
      <c r="Q154" s="15">
        <v>0.8</v>
      </c>
      <c r="R154" s="14">
        <f>P154*Q154</f>
        <v>1975.6800000000003</v>
      </c>
      <c r="S154" s="14">
        <f>P154-R154</f>
        <v>493.92000000000007</v>
      </c>
      <c r="T154" s="9" t="s">
        <v>387</v>
      </c>
      <c r="U154" s="9" t="s">
        <v>388</v>
      </c>
      <c r="V154" s="9"/>
    </row>
    <row r="155" spans="1:22">
      <c r="A155" s="16" t="s">
        <v>643</v>
      </c>
      <c r="B155" s="17" t="s">
        <v>249</v>
      </c>
      <c r="C155" s="17" t="s">
        <v>250</v>
      </c>
      <c r="D155" s="18">
        <v>46146</v>
      </c>
      <c r="E155" s="16" t="s">
        <v>41</v>
      </c>
      <c r="F155" s="16" t="s">
        <v>413</v>
      </c>
      <c r="G155" s="16" t="s">
        <v>414</v>
      </c>
      <c r="H155" s="16" t="s">
        <v>415</v>
      </c>
      <c r="I155" s="16" t="s">
        <v>416</v>
      </c>
      <c r="J155" s="16"/>
      <c r="K155" s="17" t="s">
        <v>254</v>
      </c>
      <c r="L155" s="16"/>
      <c r="M155" s="19">
        <v>3</v>
      </c>
      <c r="N155" s="16" t="s">
        <v>417</v>
      </c>
      <c r="O155" s="20">
        <v>343</v>
      </c>
      <c r="P155" s="21">
        <f>M155*O155</f>
        <v>1029</v>
      </c>
      <c r="Q155" s="22">
        <v>0.8</v>
      </c>
      <c r="R155" s="21">
        <f>P155*Q155</f>
        <v>823.2</v>
      </c>
      <c r="S155" s="21">
        <f>P155-R155</f>
        <v>205.79999999999995</v>
      </c>
      <c r="T155" s="16" t="s">
        <v>387</v>
      </c>
      <c r="U155" s="16" t="s">
        <v>388</v>
      </c>
      <c r="V155" s="16"/>
    </row>
    <row r="156" spans="1:22">
      <c r="A156" s="9" t="s">
        <v>644</v>
      </c>
      <c r="B156" s="10" t="s">
        <v>249</v>
      </c>
      <c r="C156" s="10" t="s">
        <v>250</v>
      </c>
      <c r="D156" s="11">
        <v>46146</v>
      </c>
      <c r="E156" s="9" t="s">
        <v>41</v>
      </c>
      <c r="F156" s="9" t="s">
        <v>419</v>
      </c>
      <c r="G156" s="9" t="s">
        <v>420</v>
      </c>
      <c r="H156" s="9" t="s">
        <v>557</v>
      </c>
      <c r="I156" s="9" t="s">
        <v>558</v>
      </c>
      <c r="J156" s="9" t="s">
        <v>559</v>
      </c>
      <c r="K156" s="10" t="s">
        <v>254</v>
      </c>
      <c r="L156" s="9"/>
      <c r="M156" s="12">
        <v>1</v>
      </c>
      <c r="N156" s="9" t="s">
        <v>424</v>
      </c>
      <c r="O156" s="13">
        <v>421.4</v>
      </c>
      <c r="P156" s="14">
        <f>M156*O156</f>
        <v>421.4</v>
      </c>
      <c r="Q156" s="15">
        <v>0.8</v>
      </c>
      <c r="R156" s="14">
        <f>P156*Q156</f>
        <v>337.12</v>
      </c>
      <c r="S156" s="14">
        <f>P156-R156</f>
        <v>84.279999999999973</v>
      </c>
      <c r="T156" s="9" t="s">
        <v>387</v>
      </c>
      <c r="U156" s="23" t="s">
        <v>532</v>
      </c>
      <c r="V156" s="23" t="s">
        <v>645</v>
      </c>
    </row>
    <row r="157" spans="1:22">
      <c r="A157" s="16" t="s">
        <v>646</v>
      </c>
      <c r="B157" s="17" t="s">
        <v>260</v>
      </c>
      <c r="C157" s="17" t="s">
        <v>261</v>
      </c>
      <c r="D157" s="18">
        <v>46154</v>
      </c>
      <c r="E157" s="16" t="s">
        <v>41</v>
      </c>
      <c r="F157" s="16" t="s">
        <v>264</v>
      </c>
      <c r="G157" s="16" t="s">
        <v>384</v>
      </c>
      <c r="H157" s="16" t="s">
        <v>384</v>
      </c>
      <c r="I157" s="16" t="s">
        <v>385</v>
      </c>
      <c r="J157" s="16"/>
      <c r="K157" s="17" t="s">
        <v>266</v>
      </c>
      <c r="L157" s="16"/>
      <c r="M157" s="19">
        <v>5</v>
      </c>
      <c r="N157" s="16" t="s">
        <v>386</v>
      </c>
      <c r="O157" s="20">
        <v>720</v>
      </c>
      <c r="P157" s="21">
        <f>M157*O157</f>
        <v>3600</v>
      </c>
      <c r="Q157" s="22">
        <v>0.8</v>
      </c>
      <c r="R157" s="21">
        <f>P157*Q157</f>
        <v>2880</v>
      </c>
      <c r="S157" s="21">
        <f>P157-R157</f>
        <v>720</v>
      </c>
      <c r="T157" s="16" t="s">
        <v>387</v>
      </c>
      <c r="U157" s="16" t="s">
        <v>388</v>
      </c>
      <c r="V157" s="16"/>
    </row>
    <row r="158" spans="1:22">
      <c r="A158" s="9" t="s">
        <v>647</v>
      </c>
      <c r="B158" s="10" t="s">
        <v>260</v>
      </c>
      <c r="C158" s="10" t="s">
        <v>261</v>
      </c>
      <c r="D158" s="11">
        <v>46154</v>
      </c>
      <c r="E158" s="9" t="s">
        <v>41</v>
      </c>
      <c r="F158" s="9" t="s">
        <v>390</v>
      </c>
      <c r="G158" s="9" t="s">
        <v>391</v>
      </c>
      <c r="H158" s="9" t="s">
        <v>392</v>
      </c>
      <c r="I158" s="9" t="s">
        <v>393</v>
      </c>
      <c r="J158" s="9" t="s">
        <v>394</v>
      </c>
      <c r="K158" s="10" t="s">
        <v>266</v>
      </c>
      <c r="L158" s="9"/>
      <c r="M158" s="12">
        <v>1</v>
      </c>
      <c r="N158" s="9" t="s">
        <v>395</v>
      </c>
      <c r="O158" s="13">
        <v>310</v>
      </c>
      <c r="P158" s="14">
        <f>M158*O158</f>
        <v>310</v>
      </c>
      <c r="Q158" s="15">
        <v>0.8</v>
      </c>
      <c r="R158" s="14">
        <f>P158*Q158</f>
        <v>248</v>
      </c>
      <c r="S158" s="14">
        <f>P158-R158</f>
        <v>62</v>
      </c>
      <c r="T158" s="9" t="s">
        <v>387</v>
      </c>
      <c r="U158" s="9" t="s">
        <v>388</v>
      </c>
      <c r="V158" s="9"/>
    </row>
    <row r="159" spans="1:22">
      <c r="A159" s="16" t="s">
        <v>648</v>
      </c>
      <c r="B159" s="17" t="s">
        <v>260</v>
      </c>
      <c r="C159" s="17" t="s">
        <v>261</v>
      </c>
      <c r="D159" s="18">
        <v>46155</v>
      </c>
      <c r="E159" s="16" t="s">
        <v>41</v>
      </c>
      <c r="F159" s="16" t="s">
        <v>390</v>
      </c>
      <c r="G159" s="16" t="s">
        <v>391</v>
      </c>
      <c r="H159" s="16" t="s">
        <v>392</v>
      </c>
      <c r="I159" s="16" t="s">
        <v>393</v>
      </c>
      <c r="J159" s="16" t="s">
        <v>397</v>
      </c>
      <c r="K159" s="17" t="s">
        <v>266</v>
      </c>
      <c r="L159" s="16"/>
      <c r="M159" s="19">
        <v>4</v>
      </c>
      <c r="N159" s="16" t="s">
        <v>398</v>
      </c>
      <c r="O159" s="20">
        <v>185</v>
      </c>
      <c r="P159" s="21">
        <f>M159*O159</f>
        <v>740</v>
      </c>
      <c r="Q159" s="22">
        <v>0.8</v>
      </c>
      <c r="R159" s="21">
        <f>P159*Q159</f>
        <v>592</v>
      </c>
      <c r="S159" s="21">
        <f>P159-R159</f>
        <v>148</v>
      </c>
      <c r="T159" s="16" t="s">
        <v>387</v>
      </c>
      <c r="U159" s="16" t="s">
        <v>388</v>
      </c>
      <c r="V159" s="16"/>
    </row>
    <row r="160" spans="1:22">
      <c r="A160" s="9" t="s">
        <v>649</v>
      </c>
      <c r="B160" s="10" t="s">
        <v>260</v>
      </c>
      <c r="C160" s="10" t="s">
        <v>261</v>
      </c>
      <c r="D160" s="11">
        <v>46154</v>
      </c>
      <c r="E160" s="9" t="s">
        <v>41</v>
      </c>
      <c r="F160" s="9" t="s">
        <v>400</v>
      </c>
      <c r="G160" s="9" t="s">
        <v>400</v>
      </c>
      <c r="H160" s="9" t="s">
        <v>400</v>
      </c>
      <c r="I160" s="9" t="s">
        <v>401</v>
      </c>
      <c r="J160" s="9" t="s">
        <v>402</v>
      </c>
      <c r="K160" s="10" t="s">
        <v>266</v>
      </c>
      <c r="L160" s="9"/>
      <c r="M160" s="12">
        <v>1</v>
      </c>
      <c r="N160" s="9" t="s">
        <v>403</v>
      </c>
      <c r="O160" s="13">
        <v>95</v>
      </c>
      <c r="P160" s="14">
        <f>M160*O160</f>
        <v>95</v>
      </c>
      <c r="Q160" s="15">
        <v>0.8</v>
      </c>
      <c r="R160" s="14">
        <f>P160*Q160</f>
        <v>76</v>
      </c>
      <c r="S160" s="14">
        <f>P160-R160</f>
        <v>19</v>
      </c>
      <c r="T160" s="9" t="s">
        <v>387</v>
      </c>
      <c r="U160" s="9" t="s">
        <v>388</v>
      </c>
      <c r="V160" s="9"/>
    </row>
    <row r="161" spans="1:22">
      <c r="A161" s="16" t="s">
        <v>650</v>
      </c>
      <c r="B161" s="17" t="s">
        <v>260</v>
      </c>
      <c r="C161" s="17" t="s">
        <v>261</v>
      </c>
      <c r="D161" s="18">
        <v>46154</v>
      </c>
      <c r="E161" s="16" t="s">
        <v>41</v>
      </c>
      <c r="F161" s="16" t="s">
        <v>400</v>
      </c>
      <c r="G161" s="16" t="s">
        <v>400</v>
      </c>
      <c r="H161" s="16" t="s">
        <v>405</v>
      </c>
      <c r="I161" s="16" t="s">
        <v>406</v>
      </c>
      <c r="J161" s="16" t="s">
        <v>407</v>
      </c>
      <c r="K161" s="17" t="s">
        <v>266</v>
      </c>
      <c r="L161" s="16"/>
      <c r="M161" s="19">
        <v>1</v>
      </c>
      <c r="N161" s="16" t="s">
        <v>408</v>
      </c>
      <c r="O161" s="20">
        <v>130</v>
      </c>
      <c r="P161" s="21">
        <f>M161*O161</f>
        <v>130</v>
      </c>
      <c r="Q161" s="22">
        <v>0.8</v>
      </c>
      <c r="R161" s="21">
        <f>P161*Q161</f>
        <v>104</v>
      </c>
      <c r="S161" s="21">
        <f>P161-R161</f>
        <v>26</v>
      </c>
      <c r="T161" s="16" t="s">
        <v>387</v>
      </c>
      <c r="U161" s="16" t="s">
        <v>388</v>
      </c>
      <c r="V161" s="16"/>
    </row>
    <row r="162" spans="1:22">
      <c r="A162" s="9" t="s">
        <v>651</v>
      </c>
      <c r="B162" s="10" t="s">
        <v>260</v>
      </c>
      <c r="C162" s="10" t="s">
        <v>261</v>
      </c>
      <c r="D162" s="11">
        <v>46154</v>
      </c>
      <c r="E162" s="9" t="s">
        <v>41</v>
      </c>
      <c r="F162" s="9" t="s">
        <v>410</v>
      </c>
      <c r="G162" s="9" t="s">
        <v>410</v>
      </c>
      <c r="H162" s="9" t="s">
        <v>410</v>
      </c>
      <c r="I162" s="9" t="s">
        <v>411</v>
      </c>
      <c r="J162" s="9"/>
      <c r="K162" s="10" t="s">
        <v>266</v>
      </c>
      <c r="L162" s="9"/>
      <c r="M162" s="12">
        <v>5</v>
      </c>
      <c r="N162" s="9" t="s">
        <v>386</v>
      </c>
      <c r="O162" s="13">
        <v>420</v>
      </c>
      <c r="P162" s="14">
        <f>M162*O162</f>
        <v>2100</v>
      </c>
      <c r="Q162" s="15">
        <v>0.8</v>
      </c>
      <c r="R162" s="14">
        <f>P162*Q162</f>
        <v>1680</v>
      </c>
      <c r="S162" s="14">
        <f>P162-R162</f>
        <v>420</v>
      </c>
      <c r="T162" s="9" t="s">
        <v>387</v>
      </c>
      <c r="U162" s="9" t="s">
        <v>388</v>
      </c>
      <c r="V162" s="9"/>
    </row>
    <row r="163" spans="1:22">
      <c r="A163" s="16" t="s">
        <v>652</v>
      </c>
      <c r="B163" s="17" t="s">
        <v>260</v>
      </c>
      <c r="C163" s="17" t="s">
        <v>261</v>
      </c>
      <c r="D163" s="18">
        <v>46154</v>
      </c>
      <c r="E163" s="16" t="s">
        <v>41</v>
      </c>
      <c r="F163" s="16" t="s">
        <v>413</v>
      </c>
      <c r="G163" s="16" t="s">
        <v>414</v>
      </c>
      <c r="H163" s="16" t="s">
        <v>415</v>
      </c>
      <c r="I163" s="16" t="s">
        <v>416</v>
      </c>
      <c r="J163" s="16"/>
      <c r="K163" s="17" t="s">
        <v>266</v>
      </c>
      <c r="L163" s="16"/>
      <c r="M163" s="19">
        <v>2</v>
      </c>
      <c r="N163" s="16" t="s">
        <v>417</v>
      </c>
      <c r="O163" s="20">
        <v>350</v>
      </c>
      <c r="P163" s="21">
        <f>M163*O163</f>
        <v>700</v>
      </c>
      <c r="Q163" s="22">
        <v>0.8</v>
      </c>
      <c r="R163" s="21">
        <f>P163*Q163</f>
        <v>560</v>
      </c>
      <c r="S163" s="21">
        <f>P163-R163</f>
        <v>140</v>
      </c>
      <c r="T163" s="16" t="s">
        <v>387</v>
      </c>
      <c r="U163" s="16" t="s">
        <v>388</v>
      </c>
      <c r="V163" s="16"/>
    </row>
    <row r="164" spans="1:22">
      <c r="A164" s="9" t="s">
        <v>653</v>
      </c>
      <c r="B164" s="10" t="s">
        <v>260</v>
      </c>
      <c r="C164" s="10" t="s">
        <v>261</v>
      </c>
      <c r="D164" s="11">
        <v>46155</v>
      </c>
      <c r="E164" s="9" t="s">
        <v>41</v>
      </c>
      <c r="F164" s="9" t="s">
        <v>419</v>
      </c>
      <c r="G164" s="9" t="s">
        <v>420</v>
      </c>
      <c r="H164" s="9" t="s">
        <v>594</v>
      </c>
      <c r="I164" s="9" t="s">
        <v>595</v>
      </c>
      <c r="J164" s="9" t="s">
        <v>596</v>
      </c>
      <c r="K164" s="10" t="s">
        <v>266</v>
      </c>
      <c r="L164" s="9"/>
      <c r="M164" s="12">
        <v>1</v>
      </c>
      <c r="N164" s="9" t="s">
        <v>424</v>
      </c>
      <c r="O164" s="13">
        <v>2200</v>
      </c>
      <c r="P164" s="14">
        <f>M164*O164</f>
        <v>2200</v>
      </c>
      <c r="Q164" s="15">
        <v>0.8</v>
      </c>
      <c r="R164" s="14">
        <f>P164*Q164</f>
        <v>1760</v>
      </c>
      <c r="S164" s="14">
        <f>P164-R164</f>
        <v>440</v>
      </c>
      <c r="T164" s="9" t="s">
        <v>387</v>
      </c>
      <c r="U164" s="9" t="s">
        <v>388</v>
      </c>
      <c r="V164" s="9"/>
    </row>
    <row r="165" spans="1:22">
      <c r="A165" s="16" t="s">
        <v>654</v>
      </c>
      <c r="B165" s="17" t="s">
        <v>272</v>
      </c>
      <c r="C165" s="17" t="s">
        <v>273</v>
      </c>
      <c r="D165" s="18">
        <v>46162</v>
      </c>
      <c r="E165" s="16" t="s">
        <v>41</v>
      </c>
      <c r="F165" s="16" t="s">
        <v>276</v>
      </c>
      <c r="G165" s="16" t="s">
        <v>384</v>
      </c>
      <c r="H165" s="16" t="s">
        <v>655</v>
      </c>
      <c r="I165" s="16" t="s">
        <v>656</v>
      </c>
      <c r="J165" s="16"/>
      <c r="K165" s="17" t="s">
        <v>278</v>
      </c>
      <c r="L165" s="16"/>
      <c r="M165" s="19">
        <v>8</v>
      </c>
      <c r="N165" s="16" t="s">
        <v>386</v>
      </c>
      <c r="O165" s="20">
        <v>1224</v>
      </c>
      <c r="P165" s="21">
        <f>M165*O165</f>
        <v>9792</v>
      </c>
      <c r="Q165" s="22">
        <v>0.85</v>
      </c>
      <c r="R165" s="21">
        <f>P165*Q165</f>
        <v>8323.1999999999989</v>
      </c>
      <c r="S165" s="21">
        <f>P165-R165</f>
        <v>1468.8000000000011</v>
      </c>
      <c r="T165" s="16" t="s">
        <v>387</v>
      </c>
      <c r="U165" s="16" t="s">
        <v>388</v>
      </c>
      <c r="V165" s="16"/>
    </row>
    <row r="166" spans="1:22">
      <c r="A166" s="9" t="s">
        <v>657</v>
      </c>
      <c r="B166" s="10" t="s">
        <v>272</v>
      </c>
      <c r="C166" s="10" t="s">
        <v>273</v>
      </c>
      <c r="D166" s="11">
        <v>46162</v>
      </c>
      <c r="E166" s="9" t="s">
        <v>41</v>
      </c>
      <c r="F166" s="9" t="s">
        <v>390</v>
      </c>
      <c r="G166" s="9" t="s">
        <v>391</v>
      </c>
      <c r="H166" s="9" t="s">
        <v>392</v>
      </c>
      <c r="I166" s="9" t="s">
        <v>393</v>
      </c>
      <c r="J166" s="9" t="s">
        <v>394</v>
      </c>
      <c r="K166" s="10" t="s">
        <v>278</v>
      </c>
      <c r="L166" s="9"/>
      <c r="M166" s="12">
        <v>1</v>
      </c>
      <c r="N166" s="9" t="s">
        <v>395</v>
      </c>
      <c r="O166" s="13">
        <v>316.2</v>
      </c>
      <c r="P166" s="14">
        <f>M166*O166</f>
        <v>316.2</v>
      </c>
      <c r="Q166" s="15">
        <v>0.85</v>
      </c>
      <c r="R166" s="14">
        <f>P166*Q166</f>
        <v>268.77</v>
      </c>
      <c r="S166" s="14">
        <f>P166-R166</f>
        <v>47.430000000000007</v>
      </c>
      <c r="T166" s="9" t="s">
        <v>387</v>
      </c>
      <c r="U166" s="9" t="s">
        <v>388</v>
      </c>
      <c r="V166" s="9"/>
    </row>
    <row r="167" spans="1:22">
      <c r="A167" s="16" t="s">
        <v>658</v>
      </c>
      <c r="B167" s="17" t="s">
        <v>272</v>
      </c>
      <c r="C167" s="17" t="s">
        <v>273</v>
      </c>
      <c r="D167" s="18">
        <v>46163</v>
      </c>
      <c r="E167" s="16" t="s">
        <v>41</v>
      </c>
      <c r="F167" s="16" t="s">
        <v>390</v>
      </c>
      <c r="G167" s="16" t="s">
        <v>391</v>
      </c>
      <c r="H167" s="16" t="s">
        <v>392</v>
      </c>
      <c r="I167" s="16" t="s">
        <v>393</v>
      </c>
      <c r="J167" s="16" t="s">
        <v>397</v>
      </c>
      <c r="K167" s="17" t="s">
        <v>278</v>
      </c>
      <c r="L167" s="16"/>
      <c r="M167" s="19">
        <v>7</v>
      </c>
      <c r="N167" s="16" t="s">
        <v>398</v>
      </c>
      <c r="O167" s="20">
        <v>188.7</v>
      </c>
      <c r="P167" s="21">
        <f>M167*O167</f>
        <v>1320.8999999999999</v>
      </c>
      <c r="Q167" s="22">
        <v>0.85</v>
      </c>
      <c r="R167" s="21">
        <f>P167*Q167</f>
        <v>1122.7649999999999</v>
      </c>
      <c r="S167" s="21">
        <f>P167-R167</f>
        <v>198.13499999999999</v>
      </c>
      <c r="T167" s="16" t="s">
        <v>387</v>
      </c>
      <c r="U167" s="16" t="s">
        <v>388</v>
      </c>
      <c r="V167" s="16"/>
    </row>
    <row r="168" spans="1:22">
      <c r="A168" s="9" t="s">
        <v>659</v>
      </c>
      <c r="B168" s="10" t="s">
        <v>272</v>
      </c>
      <c r="C168" s="10" t="s">
        <v>273</v>
      </c>
      <c r="D168" s="11">
        <v>46162</v>
      </c>
      <c r="E168" s="9" t="s">
        <v>41</v>
      </c>
      <c r="F168" s="9" t="s">
        <v>400</v>
      </c>
      <c r="G168" s="9" t="s">
        <v>400</v>
      </c>
      <c r="H168" s="9" t="s">
        <v>400</v>
      </c>
      <c r="I168" s="9" t="s">
        <v>401</v>
      </c>
      <c r="J168" s="9" t="s">
        <v>402</v>
      </c>
      <c r="K168" s="10" t="s">
        <v>278</v>
      </c>
      <c r="L168" s="9"/>
      <c r="M168" s="12">
        <v>1</v>
      </c>
      <c r="N168" s="9" t="s">
        <v>403</v>
      </c>
      <c r="O168" s="13">
        <v>96.9</v>
      </c>
      <c r="P168" s="14">
        <f>M168*O168</f>
        <v>96.9</v>
      </c>
      <c r="Q168" s="15">
        <v>0.85</v>
      </c>
      <c r="R168" s="14">
        <f>P168*Q168</f>
        <v>82.365000000000009</v>
      </c>
      <c r="S168" s="14">
        <f>P168-R168</f>
        <v>14.534999999999997</v>
      </c>
      <c r="T168" s="9" t="s">
        <v>387</v>
      </c>
      <c r="U168" s="9" t="s">
        <v>388</v>
      </c>
      <c r="V168" s="9"/>
    </row>
    <row r="169" spans="1:22">
      <c r="A169" s="16" t="s">
        <v>660</v>
      </c>
      <c r="B169" s="17" t="s">
        <v>272</v>
      </c>
      <c r="C169" s="17" t="s">
        <v>273</v>
      </c>
      <c r="D169" s="18">
        <v>46162</v>
      </c>
      <c r="E169" s="16" t="s">
        <v>41</v>
      </c>
      <c r="F169" s="16" t="s">
        <v>400</v>
      </c>
      <c r="G169" s="16" t="s">
        <v>400</v>
      </c>
      <c r="H169" s="16" t="s">
        <v>405</v>
      </c>
      <c r="I169" s="16" t="s">
        <v>406</v>
      </c>
      <c r="J169" s="16" t="s">
        <v>407</v>
      </c>
      <c r="K169" s="17" t="s">
        <v>278</v>
      </c>
      <c r="L169" s="16"/>
      <c r="M169" s="19">
        <v>1</v>
      </c>
      <c r="N169" s="16" t="s">
        <v>408</v>
      </c>
      <c r="O169" s="20">
        <v>132.6</v>
      </c>
      <c r="P169" s="21">
        <f>M169*O169</f>
        <v>132.6</v>
      </c>
      <c r="Q169" s="22">
        <v>0.85</v>
      </c>
      <c r="R169" s="21">
        <f>P169*Q169</f>
        <v>112.71</v>
      </c>
      <c r="S169" s="21">
        <f>P169-R169</f>
        <v>19.89</v>
      </c>
      <c r="T169" s="16" t="s">
        <v>387</v>
      </c>
      <c r="U169" s="16" t="s">
        <v>388</v>
      </c>
      <c r="V169" s="16"/>
    </row>
    <row r="170" spans="1:22">
      <c r="A170" s="9" t="s">
        <v>661</v>
      </c>
      <c r="B170" s="10" t="s">
        <v>272</v>
      </c>
      <c r="C170" s="10" t="s">
        <v>273</v>
      </c>
      <c r="D170" s="11">
        <v>46162</v>
      </c>
      <c r="E170" s="9" t="s">
        <v>41</v>
      </c>
      <c r="F170" s="9" t="s">
        <v>410</v>
      </c>
      <c r="G170" s="9" t="s">
        <v>410</v>
      </c>
      <c r="H170" s="9" t="s">
        <v>410</v>
      </c>
      <c r="I170" s="9" t="s">
        <v>411</v>
      </c>
      <c r="J170" s="9"/>
      <c r="K170" s="10" t="s">
        <v>278</v>
      </c>
      <c r="L170" s="9"/>
      <c r="M170" s="12">
        <v>8</v>
      </c>
      <c r="N170" s="9" t="s">
        <v>386</v>
      </c>
      <c r="O170" s="13">
        <v>428.4</v>
      </c>
      <c r="P170" s="14">
        <f>M170*O170</f>
        <v>3427.2</v>
      </c>
      <c r="Q170" s="15">
        <v>0.85</v>
      </c>
      <c r="R170" s="14">
        <f>P170*Q170</f>
        <v>2913.12</v>
      </c>
      <c r="S170" s="14">
        <f>P170-R170</f>
        <v>514.07999999999993</v>
      </c>
      <c r="T170" s="9" t="s">
        <v>387</v>
      </c>
      <c r="U170" s="9" t="s">
        <v>388</v>
      </c>
      <c r="V170" s="9"/>
    </row>
    <row r="171" spans="1:22">
      <c r="A171" s="16" t="s">
        <v>662</v>
      </c>
      <c r="B171" s="17" t="s">
        <v>272</v>
      </c>
      <c r="C171" s="17" t="s">
        <v>273</v>
      </c>
      <c r="D171" s="18">
        <v>46162</v>
      </c>
      <c r="E171" s="16" t="s">
        <v>41</v>
      </c>
      <c r="F171" s="16" t="s">
        <v>413</v>
      </c>
      <c r="G171" s="16" t="s">
        <v>414</v>
      </c>
      <c r="H171" s="16" t="s">
        <v>415</v>
      </c>
      <c r="I171" s="16" t="s">
        <v>416</v>
      </c>
      <c r="J171" s="16"/>
      <c r="K171" s="17" t="s">
        <v>278</v>
      </c>
      <c r="L171" s="16"/>
      <c r="M171" s="19">
        <v>4</v>
      </c>
      <c r="N171" s="16" t="s">
        <v>417</v>
      </c>
      <c r="O171" s="20">
        <v>357</v>
      </c>
      <c r="P171" s="21">
        <f>M171*O171</f>
        <v>1428</v>
      </c>
      <c r="Q171" s="22">
        <v>0.85</v>
      </c>
      <c r="R171" s="21">
        <f>P171*Q171</f>
        <v>1213.8</v>
      </c>
      <c r="S171" s="21">
        <f>P171-R171</f>
        <v>214.20000000000005</v>
      </c>
      <c r="T171" s="16" t="s">
        <v>387</v>
      </c>
      <c r="U171" s="16" t="s">
        <v>388</v>
      </c>
      <c r="V171" s="16"/>
    </row>
    <row r="172" spans="1:22">
      <c r="A172" s="9" t="s">
        <v>663</v>
      </c>
      <c r="B172" s="10" t="s">
        <v>284</v>
      </c>
      <c r="C172" s="10" t="s">
        <v>285</v>
      </c>
      <c r="D172" s="11">
        <v>46170</v>
      </c>
      <c r="E172" s="9" t="s">
        <v>41</v>
      </c>
      <c r="F172" s="9" t="s">
        <v>288</v>
      </c>
      <c r="G172" s="9" t="s">
        <v>384</v>
      </c>
      <c r="H172" s="9" t="s">
        <v>664</v>
      </c>
      <c r="I172" s="9" t="s">
        <v>665</v>
      </c>
      <c r="J172" s="9"/>
      <c r="K172" s="10" t="s">
        <v>290</v>
      </c>
      <c r="L172" s="9"/>
      <c r="M172" s="12">
        <v>5</v>
      </c>
      <c r="N172" s="9" t="s">
        <v>386</v>
      </c>
      <c r="O172" s="13">
        <v>3068</v>
      </c>
      <c r="P172" s="14">
        <f>M172*O172</f>
        <v>15340</v>
      </c>
      <c r="Q172" s="15">
        <v>0.85</v>
      </c>
      <c r="R172" s="14">
        <f>P172*Q172</f>
        <v>13039</v>
      </c>
      <c r="S172" s="14">
        <f>P172-R172</f>
        <v>2301</v>
      </c>
      <c r="T172" s="9" t="s">
        <v>387</v>
      </c>
      <c r="U172" s="9" t="s">
        <v>388</v>
      </c>
      <c r="V172" s="9"/>
    </row>
    <row r="173" spans="1:22">
      <c r="A173" s="16" t="s">
        <v>666</v>
      </c>
      <c r="B173" s="17" t="s">
        <v>284</v>
      </c>
      <c r="C173" s="17" t="s">
        <v>285</v>
      </c>
      <c r="D173" s="18">
        <v>46170</v>
      </c>
      <c r="E173" s="16" t="s">
        <v>41</v>
      </c>
      <c r="F173" s="16" t="s">
        <v>390</v>
      </c>
      <c r="G173" s="16" t="s">
        <v>391</v>
      </c>
      <c r="H173" s="16" t="s">
        <v>392</v>
      </c>
      <c r="I173" s="16" t="s">
        <v>393</v>
      </c>
      <c r="J173" s="16" t="s">
        <v>394</v>
      </c>
      <c r="K173" s="17" t="s">
        <v>290</v>
      </c>
      <c r="L173" s="16"/>
      <c r="M173" s="19">
        <v>1</v>
      </c>
      <c r="N173" s="16" t="s">
        <v>395</v>
      </c>
      <c r="O173" s="20">
        <v>322.39999999999998</v>
      </c>
      <c r="P173" s="21">
        <f>M173*O173</f>
        <v>322.39999999999998</v>
      </c>
      <c r="Q173" s="22">
        <v>0.85</v>
      </c>
      <c r="R173" s="21">
        <f>P173*Q173</f>
        <v>274.03999999999996</v>
      </c>
      <c r="S173" s="21">
        <f>P173-R173</f>
        <v>48.360000000000014</v>
      </c>
      <c r="T173" s="16" t="s">
        <v>387</v>
      </c>
      <c r="U173" s="16" t="s">
        <v>388</v>
      </c>
      <c r="V173" s="16"/>
    </row>
    <row r="174" spans="1:22">
      <c r="A174" s="9" t="s">
        <v>667</v>
      </c>
      <c r="B174" s="10" t="s">
        <v>284</v>
      </c>
      <c r="C174" s="10" t="s">
        <v>285</v>
      </c>
      <c r="D174" s="11">
        <v>46171</v>
      </c>
      <c r="E174" s="9" t="s">
        <v>41</v>
      </c>
      <c r="F174" s="9" t="s">
        <v>390</v>
      </c>
      <c r="G174" s="9" t="s">
        <v>391</v>
      </c>
      <c r="H174" s="9" t="s">
        <v>392</v>
      </c>
      <c r="I174" s="9" t="s">
        <v>393</v>
      </c>
      <c r="J174" s="9" t="s">
        <v>397</v>
      </c>
      <c r="K174" s="10" t="s">
        <v>290</v>
      </c>
      <c r="L174" s="9"/>
      <c r="M174" s="12">
        <v>4</v>
      </c>
      <c r="N174" s="9" t="s">
        <v>398</v>
      </c>
      <c r="O174" s="13">
        <v>192.4</v>
      </c>
      <c r="P174" s="14">
        <f>M174*O174</f>
        <v>769.6</v>
      </c>
      <c r="Q174" s="15">
        <v>0.85</v>
      </c>
      <c r="R174" s="14">
        <f>P174*Q174</f>
        <v>654.16</v>
      </c>
      <c r="S174" s="14">
        <f>P174-R174</f>
        <v>115.44000000000005</v>
      </c>
      <c r="T174" s="9" t="s">
        <v>387</v>
      </c>
      <c r="U174" s="9" t="s">
        <v>388</v>
      </c>
      <c r="V174" s="9"/>
    </row>
    <row r="175" spans="1:22">
      <c r="A175" s="16" t="s">
        <v>668</v>
      </c>
      <c r="B175" s="17" t="s">
        <v>284</v>
      </c>
      <c r="C175" s="17" t="s">
        <v>285</v>
      </c>
      <c r="D175" s="18">
        <v>46170</v>
      </c>
      <c r="E175" s="16" t="s">
        <v>41</v>
      </c>
      <c r="F175" s="16" t="s">
        <v>400</v>
      </c>
      <c r="G175" s="16" t="s">
        <v>400</v>
      </c>
      <c r="H175" s="16" t="s">
        <v>400</v>
      </c>
      <c r="I175" s="16" t="s">
        <v>401</v>
      </c>
      <c r="J175" s="16" t="s">
        <v>402</v>
      </c>
      <c r="K175" s="17" t="s">
        <v>290</v>
      </c>
      <c r="L175" s="16"/>
      <c r="M175" s="19">
        <v>1</v>
      </c>
      <c r="N175" s="16" t="s">
        <v>403</v>
      </c>
      <c r="O175" s="20">
        <v>98.8</v>
      </c>
      <c r="P175" s="21">
        <f>M175*O175</f>
        <v>98.8</v>
      </c>
      <c r="Q175" s="22">
        <v>0.85</v>
      </c>
      <c r="R175" s="21">
        <f>P175*Q175</f>
        <v>83.97999999999999</v>
      </c>
      <c r="S175" s="21">
        <f>P175-R175</f>
        <v>14.820000000000007</v>
      </c>
      <c r="T175" s="16" t="s">
        <v>387</v>
      </c>
      <c r="U175" s="16" t="s">
        <v>388</v>
      </c>
      <c r="V175" s="16"/>
    </row>
    <row r="176" spans="1:22">
      <c r="A176" s="9" t="s">
        <v>669</v>
      </c>
      <c r="B176" s="10" t="s">
        <v>284</v>
      </c>
      <c r="C176" s="10" t="s">
        <v>285</v>
      </c>
      <c r="D176" s="11">
        <v>46170</v>
      </c>
      <c r="E176" s="9" t="s">
        <v>41</v>
      </c>
      <c r="F176" s="9" t="s">
        <v>400</v>
      </c>
      <c r="G176" s="9" t="s">
        <v>400</v>
      </c>
      <c r="H176" s="9" t="s">
        <v>405</v>
      </c>
      <c r="I176" s="9" t="s">
        <v>406</v>
      </c>
      <c r="J176" s="9" t="s">
        <v>407</v>
      </c>
      <c r="K176" s="10" t="s">
        <v>290</v>
      </c>
      <c r="L176" s="9"/>
      <c r="M176" s="12">
        <v>1</v>
      </c>
      <c r="N176" s="9" t="s">
        <v>408</v>
      </c>
      <c r="O176" s="13">
        <v>135.19999999999999</v>
      </c>
      <c r="P176" s="14">
        <f>M176*O176</f>
        <v>135.19999999999999</v>
      </c>
      <c r="Q176" s="15">
        <v>0.85</v>
      </c>
      <c r="R176" s="14">
        <f>P176*Q176</f>
        <v>114.91999999999999</v>
      </c>
      <c r="S176" s="14">
        <f>P176-R176</f>
        <v>20.28</v>
      </c>
      <c r="T176" s="9" t="s">
        <v>387</v>
      </c>
      <c r="U176" s="9" t="s">
        <v>388</v>
      </c>
      <c r="V176" s="9"/>
    </row>
    <row r="177" spans="1:22">
      <c r="A177" s="16" t="s">
        <v>670</v>
      </c>
      <c r="B177" s="17" t="s">
        <v>284</v>
      </c>
      <c r="C177" s="17" t="s">
        <v>285</v>
      </c>
      <c r="D177" s="18">
        <v>46170</v>
      </c>
      <c r="E177" s="16" t="s">
        <v>41</v>
      </c>
      <c r="F177" s="16" t="s">
        <v>410</v>
      </c>
      <c r="G177" s="16" t="s">
        <v>410</v>
      </c>
      <c r="H177" s="16" t="s">
        <v>410</v>
      </c>
      <c r="I177" s="16" t="s">
        <v>411</v>
      </c>
      <c r="J177" s="16"/>
      <c r="K177" s="17" t="s">
        <v>290</v>
      </c>
      <c r="L177" s="16"/>
      <c r="M177" s="19">
        <v>5</v>
      </c>
      <c r="N177" s="16" t="s">
        <v>386</v>
      </c>
      <c r="O177" s="20">
        <v>436.8</v>
      </c>
      <c r="P177" s="21">
        <f>M177*O177</f>
        <v>2184</v>
      </c>
      <c r="Q177" s="22">
        <v>0.85</v>
      </c>
      <c r="R177" s="21">
        <f>P177*Q177</f>
        <v>1856.3999999999999</v>
      </c>
      <c r="S177" s="21">
        <f>P177-R177</f>
        <v>327.60000000000014</v>
      </c>
      <c r="T177" s="16" t="s">
        <v>387</v>
      </c>
      <c r="U177" s="16" t="s">
        <v>388</v>
      </c>
      <c r="V177" s="16"/>
    </row>
    <row r="178" spans="1:22">
      <c r="A178" s="9" t="s">
        <v>671</v>
      </c>
      <c r="B178" s="10" t="s">
        <v>284</v>
      </c>
      <c r="C178" s="10" t="s">
        <v>285</v>
      </c>
      <c r="D178" s="11">
        <v>46170</v>
      </c>
      <c r="E178" s="9" t="s">
        <v>41</v>
      </c>
      <c r="F178" s="9" t="s">
        <v>413</v>
      </c>
      <c r="G178" s="9" t="s">
        <v>414</v>
      </c>
      <c r="H178" s="9" t="s">
        <v>415</v>
      </c>
      <c r="I178" s="9" t="s">
        <v>416</v>
      </c>
      <c r="J178" s="9"/>
      <c r="K178" s="10" t="s">
        <v>290</v>
      </c>
      <c r="L178" s="9"/>
      <c r="M178" s="12">
        <v>2</v>
      </c>
      <c r="N178" s="9" t="s">
        <v>417</v>
      </c>
      <c r="O178" s="13">
        <v>364</v>
      </c>
      <c r="P178" s="14">
        <f>M178*O178</f>
        <v>728</v>
      </c>
      <c r="Q178" s="15">
        <v>0.85</v>
      </c>
      <c r="R178" s="14">
        <f>P178*Q178</f>
        <v>618.79999999999995</v>
      </c>
      <c r="S178" s="14">
        <f>P178-R178</f>
        <v>109.20000000000005</v>
      </c>
      <c r="T178" s="9" t="s">
        <v>387</v>
      </c>
      <c r="U178" s="9" t="s">
        <v>388</v>
      </c>
      <c r="V178" s="9"/>
    </row>
    <row r="179" spans="1:22">
      <c r="A179" s="16" t="s">
        <v>672</v>
      </c>
      <c r="B179" s="17" t="s">
        <v>284</v>
      </c>
      <c r="C179" s="17" t="s">
        <v>285</v>
      </c>
      <c r="D179" s="18">
        <v>46170</v>
      </c>
      <c r="E179" s="16" t="s">
        <v>41</v>
      </c>
      <c r="F179" s="16" t="s">
        <v>419</v>
      </c>
      <c r="G179" s="16" t="s">
        <v>420</v>
      </c>
      <c r="H179" s="16" t="s">
        <v>421</v>
      </c>
      <c r="I179" s="16" t="s">
        <v>422</v>
      </c>
      <c r="J179" s="16" t="s">
        <v>423</v>
      </c>
      <c r="K179" s="17" t="s">
        <v>290</v>
      </c>
      <c r="L179" s="16"/>
      <c r="M179" s="19">
        <v>1</v>
      </c>
      <c r="N179" s="16" t="s">
        <v>424</v>
      </c>
      <c r="O179" s="20">
        <v>218.4</v>
      </c>
      <c r="P179" s="21">
        <f>M179*O179</f>
        <v>218.4</v>
      </c>
      <c r="Q179" s="22">
        <v>0.85</v>
      </c>
      <c r="R179" s="21">
        <f>P179*Q179</f>
        <v>185.64</v>
      </c>
      <c r="S179" s="21">
        <f>P179-R179</f>
        <v>32.760000000000019</v>
      </c>
      <c r="T179" s="16" t="s">
        <v>387</v>
      </c>
      <c r="U179" s="16" t="s">
        <v>388</v>
      </c>
      <c r="V179" s="16"/>
    </row>
    <row r="180" spans="1:22">
      <c r="A180" s="9" t="s">
        <v>673</v>
      </c>
      <c r="B180" s="10" t="s">
        <v>284</v>
      </c>
      <c r="C180" s="10" t="s">
        <v>285</v>
      </c>
      <c r="D180" s="11">
        <v>46170</v>
      </c>
      <c r="E180" s="9" t="s">
        <v>41</v>
      </c>
      <c r="F180" s="9" t="s">
        <v>674</v>
      </c>
      <c r="G180" s="9" t="s">
        <v>391</v>
      </c>
      <c r="H180" s="9" t="s">
        <v>392</v>
      </c>
      <c r="I180" s="9" t="s">
        <v>393</v>
      </c>
      <c r="J180" s="9" t="s">
        <v>675</v>
      </c>
      <c r="K180" s="10" t="s">
        <v>290</v>
      </c>
      <c r="L180" s="9"/>
      <c r="M180" s="12">
        <v>5</v>
      </c>
      <c r="N180" s="9" t="s">
        <v>386</v>
      </c>
      <c r="O180" s="13">
        <v>748.8</v>
      </c>
      <c r="P180" s="14">
        <f>M180*O180</f>
        <v>3744</v>
      </c>
      <c r="Q180" s="15">
        <v>0.85</v>
      </c>
      <c r="R180" s="14">
        <f>P180*Q180</f>
        <v>3182.4</v>
      </c>
      <c r="S180" s="14">
        <f>P180-R180</f>
        <v>561.59999999999991</v>
      </c>
      <c r="T180" s="9" t="s">
        <v>387</v>
      </c>
      <c r="U180" s="9" t="s">
        <v>388</v>
      </c>
      <c r="V180" s="9"/>
    </row>
    <row r="181" spans="1:22">
      <c r="A181" s="16" t="s">
        <v>676</v>
      </c>
      <c r="B181" s="17" t="s">
        <v>296</v>
      </c>
      <c r="C181" s="17" t="s">
        <v>297</v>
      </c>
      <c r="D181" s="18">
        <v>46178</v>
      </c>
      <c r="E181" s="16" t="s">
        <v>41</v>
      </c>
      <c r="F181" s="16" t="s">
        <v>300</v>
      </c>
      <c r="G181" s="16" t="s">
        <v>384</v>
      </c>
      <c r="H181" s="16" t="s">
        <v>677</v>
      </c>
      <c r="I181" s="16" t="s">
        <v>678</v>
      </c>
      <c r="J181" s="16"/>
      <c r="K181" s="17" t="s">
        <v>302</v>
      </c>
      <c r="L181" s="16"/>
      <c r="M181" s="19">
        <v>2</v>
      </c>
      <c r="N181" s="16" t="s">
        <v>386</v>
      </c>
      <c r="O181" s="20">
        <v>625.4</v>
      </c>
      <c r="P181" s="21">
        <f>M181*O181</f>
        <v>1250.8</v>
      </c>
      <c r="Q181" s="22">
        <v>0.8</v>
      </c>
      <c r="R181" s="21">
        <f>P181*Q181</f>
        <v>1000.64</v>
      </c>
      <c r="S181" s="21">
        <f>P181-R181</f>
        <v>250.15999999999997</v>
      </c>
      <c r="T181" s="16" t="s">
        <v>387</v>
      </c>
      <c r="U181" s="16" t="s">
        <v>388</v>
      </c>
      <c r="V181" s="16"/>
    </row>
    <row r="182" spans="1:22">
      <c r="A182" s="9" t="s">
        <v>679</v>
      </c>
      <c r="B182" s="10" t="s">
        <v>296</v>
      </c>
      <c r="C182" s="10" t="s">
        <v>297</v>
      </c>
      <c r="D182" s="11">
        <v>46178</v>
      </c>
      <c r="E182" s="9" t="s">
        <v>41</v>
      </c>
      <c r="F182" s="9" t="s">
        <v>390</v>
      </c>
      <c r="G182" s="9" t="s">
        <v>391</v>
      </c>
      <c r="H182" s="9" t="s">
        <v>392</v>
      </c>
      <c r="I182" s="9" t="s">
        <v>393</v>
      </c>
      <c r="J182" s="9" t="s">
        <v>394</v>
      </c>
      <c r="K182" s="10" t="s">
        <v>302</v>
      </c>
      <c r="L182" s="9"/>
      <c r="M182" s="12">
        <v>1</v>
      </c>
      <c r="N182" s="9" t="s">
        <v>395</v>
      </c>
      <c r="O182" s="13">
        <v>328.6</v>
      </c>
      <c r="P182" s="14">
        <f>M182*O182</f>
        <v>328.6</v>
      </c>
      <c r="Q182" s="15">
        <v>0.8</v>
      </c>
      <c r="R182" s="14">
        <f>P182*Q182</f>
        <v>262.88000000000005</v>
      </c>
      <c r="S182" s="14">
        <f>P182-R182</f>
        <v>65.71999999999997</v>
      </c>
      <c r="T182" s="9" t="s">
        <v>387</v>
      </c>
      <c r="U182" s="9" t="s">
        <v>388</v>
      </c>
      <c r="V182" s="9"/>
    </row>
    <row r="183" spans="1:22">
      <c r="A183" s="16" t="s">
        <v>680</v>
      </c>
      <c r="B183" s="17" t="s">
        <v>296</v>
      </c>
      <c r="C183" s="17" t="s">
        <v>297</v>
      </c>
      <c r="D183" s="18">
        <v>46179</v>
      </c>
      <c r="E183" s="16" t="s">
        <v>41</v>
      </c>
      <c r="F183" s="16" t="s">
        <v>390</v>
      </c>
      <c r="G183" s="16" t="s">
        <v>391</v>
      </c>
      <c r="H183" s="16" t="s">
        <v>392</v>
      </c>
      <c r="I183" s="16" t="s">
        <v>393</v>
      </c>
      <c r="J183" s="16" t="s">
        <v>397</v>
      </c>
      <c r="K183" s="17" t="s">
        <v>302</v>
      </c>
      <c r="L183" s="16"/>
      <c r="M183" s="19">
        <v>1</v>
      </c>
      <c r="N183" s="16" t="s">
        <v>398</v>
      </c>
      <c r="O183" s="20">
        <v>196.1</v>
      </c>
      <c r="P183" s="21">
        <f>M183*O183</f>
        <v>196.1</v>
      </c>
      <c r="Q183" s="22">
        <v>0.8</v>
      </c>
      <c r="R183" s="21">
        <f>P183*Q183</f>
        <v>156.88</v>
      </c>
      <c r="S183" s="21">
        <f>P183-R183</f>
        <v>39.22</v>
      </c>
      <c r="T183" s="16" t="s">
        <v>387</v>
      </c>
      <c r="U183" s="16" t="s">
        <v>388</v>
      </c>
      <c r="V183" s="16"/>
    </row>
    <row r="184" spans="1:22">
      <c r="A184" s="9" t="s">
        <v>681</v>
      </c>
      <c r="B184" s="10" t="s">
        <v>296</v>
      </c>
      <c r="C184" s="10" t="s">
        <v>297</v>
      </c>
      <c r="D184" s="11">
        <v>46178</v>
      </c>
      <c r="E184" s="9" t="s">
        <v>41</v>
      </c>
      <c r="F184" s="9" t="s">
        <v>400</v>
      </c>
      <c r="G184" s="9" t="s">
        <v>400</v>
      </c>
      <c r="H184" s="9" t="s">
        <v>400</v>
      </c>
      <c r="I184" s="9" t="s">
        <v>401</v>
      </c>
      <c r="J184" s="9" t="s">
        <v>402</v>
      </c>
      <c r="K184" s="10" t="s">
        <v>302</v>
      </c>
      <c r="L184" s="9"/>
      <c r="M184" s="12">
        <v>1</v>
      </c>
      <c r="N184" s="9" t="s">
        <v>403</v>
      </c>
      <c r="O184" s="13">
        <v>100.7</v>
      </c>
      <c r="P184" s="14">
        <f>M184*O184</f>
        <v>100.7</v>
      </c>
      <c r="Q184" s="15">
        <v>0.8</v>
      </c>
      <c r="R184" s="14">
        <f>P184*Q184</f>
        <v>80.56</v>
      </c>
      <c r="S184" s="14">
        <f>P184-R184</f>
        <v>20.14</v>
      </c>
      <c r="T184" s="9" t="s">
        <v>387</v>
      </c>
      <c r="U184" s="9" t="s">
        <v>388</v>
      </c>
      <c r="V184" s="9"/>
    </row>
    <row r="185" spans="1:22">
      <c r="A185" s="16" t="s">
        <v>682</v>
      </c>
      <c r="B185" s="17" t="s">
        <v>296</v>
      </c>
      <c r="C185" s="17" t="s">
        <v>297</v>
      </c>
      <c r="D185" s="18">
        <v>46178</v>
      </c>
      <c r="E185" s="16" t="s">
        <v>41</v>
      </c>
      <c r="F185" s="16" t="s">
        <v>400</v>
      </c>
      <c r="G185" s="16" t="s">
        <v>400</v>
      </c>
      <c r="H185" s="16" t="s">
        <v>405</v>
      </c>
      <c r="I185" s="16" t="s">
        <v>406</v>
      </c>
      <c r="J185" s="16" t="s">
        <v>407</v>
      </c>
      <c r="K185" s="17" t="s">
        <v>302</v>
      </c>
      <c r="L185" s="16"/>
      <c r="M185" s="19">
        <v>1</v>
      </c>
      <c r="N185" s="16" t="s">
        <v>408</v>
      </c>
      <c r="O185" s="20">
        <v>137.80000000000001</v>
      </c>
      <c r="P185" s="21">
        <f>M185*O185</f>
        <v>137.80000000000001</v>
      </c>
      <c r="Q185" s="22">
        <v>0.8</v>
      </c>
      <c r="R185" s="21">
        <f>P185*Q185</f>
        <v>110.24000000000001</v>
      </c>
      <c r="S185" s="21">
        <f>P185-R185</f>
        <v>27.560000000000002</v>
      </c>
      <c r="T185" s="16" t="s">
        <v>387</v>
      </c>
      <c r="U185" s="16" t="s">
        <v>388</v>
      </c>
      <c r="V185" s="16"/>
    </row>
    <row r="186" spans="1:22">
      <c r="A186" s="9" t="s">
        <v>683</v>
      </c>
      <c r="B186" s="10" t="s">
        <v>296</v>
      </c>
      <c r="C186" s="10" t="s">
        <v>297</v>
      </c>
      <c r="D186" s="11">
        <v>46178</v>
      </c>
      <c r="E186" s="9" t="s">
        <v>41</v>
      </c>
      <c r="F186" s="9" t="s">
        <v>410</v>
      </c>
      <c r="G186" s="9" t="s">
        <v>410</v>
      </c>
      <c r="H186" s="9" t="s">
        <v>410</v>
      </c>
      <c r="I186" s="9" t="s">
        <v>411</v>
      </c>
      <c r="J186" s="9"/>
      <c r="K186" s="10" t="s">
        <v>302</v>
      </c>
      <c r="L186" s="9"/>
      <c r="M186" s="12">
        <v>2</v>
      </c>
      <c r="N186" s="9" t="s">
        <v>386</v>
      </c>
      <c r="O186" s="13">
        <v>445.2</v>
      </c>
      <c r="P186" s="14">
        <f>M186*O186</f>
        <v>890.4</v>
      </c>
      <c r="Q186" s="15">
        <v>0.8</v>
      </c>
      <c r="R186" s="14">
        <f>P186*Q186</f>
        <v>712.32</v>
      </c>
      <c r="S186" s="14">
        <f>P186-R186</f>
        <v>178.07999999999993</v>
      </c>
      <c r="T186" s="9" t="s">
        <v>387</v>
      </c>
      <c r="U186" s="9" t="s">
        <v>388</v>
      </c>
      <c r="V186" s="9"/>
    </row>
    <row r="187" spans="1:22">
      <c r="A187" s="16" t="s">
        <v>684</v>
      </c>
      <c r="B187" s="17" t="s">
        <v>296</v>
      </c>
      <c r="C187" s="17" t="s">
        <v>297</v>
      </c>
      <c r="D187" s="18">
        <v>46178</v>
      </c>
      <c r="E187" s="16" t="s">
        <v>41</v>
      </c>
      <c r="F187" s="16" t="s">
        <v>413</v>
      </c>
      <c r="G187" s="16" t="s">
        <v>414</v>
      </c>
      <c r="H187" s="16" t="s">
        <v>415</v>
      </c>
      <c r="I187" s="16" t="s">
        <v>416</v>
      </c>
      <c r="J187" s="16"/>
      <c r="K187" s="17" t="s">
        <v>302</v>
      </c>
      <c r="L187" s="16"/>
      <c r="M187" s="19">
        <v>1</v>
      </c>
      <c r="N187" s="16" t="s">
        <v>417</v>
      </c>
      <c r="O187" s="20">
        <v>371</v>
      </c>
      <c r="P187" s="21">
        <f>M187*O187</f>
        <v>371</v>
      </c>
      <c r="Q187" s="22">
        <v>0.8</v>
      </c>
      <c r="R187" s="21">
        <f>P187*Q187</f>
        <v>296.8</v>
      </c>
      <c r="S187" s="21">
        <f>P187-R187</f>
        <v>74.199999999999989</v>
      </c>
      <c r="T187" s="16" t="s">
        <v>387</v>
      </c>
      <c r="U187" s="16" t="s">
        <v>388</v>
      </c>
      <c r="V187" s="16"/>
    </row>
    <row r="188" spans="1:22">
      <c r="A188" s="9" t="s">
        <v>685</v>
      </c>
      <c r="B188" s="10" t="s">
        <v>296</v>
      </c>
      <c r="C188" s="10" t="s">
        <v>297</v>
      </c>
      <c r="D188" s="11">
        <v>46179</v>
      </c>
      <c r="E188" s="9" t="s">
        <v>41</v>
      </c>
      <c r="F188" s="9" t="s">
        <v>300</v>
      </c>
      <c r="G188" s="9" t="s">
        <v>300</v>
      </c>
      <c r="H188" s="9" t="s">
        <v>686</v>
      </c>
      <c r="I188" s="9" t="s">
        <v>687</v>
      </c>
      <c r="J188" s="9" t="s">
        <v>688</v>
      </c>
      <c r="K188" s="10" t="s">
        <v>302</v>
      </c>
      <c r="L188" s="9"/>
      <c r="M188" s="12">
        <v>2</v>
      </c>
      <c r="N188" s="9" t="s">
        <v>431</v>
      </c>
      <c r="O188" s="13">
        <v>254.4</v>
      </c>
      <c r="P188" s="14">
        <f>M188*O188</f>
        <v>508.8</v>
      </c>
      <c r="Q188" s="15">
        <v>0.8</v>
      </c>
      <c r="R188" s="14">
        <f>P188*Q188</f>
        <v>407.04</v>
      </c>
      <c r="S188" s="14">
        <f>P188-R188</f>
        <v>101.75999999999999</v>
      </c>
      <c r="T188" s="9" t="s">
        <v>387</v>
      </c>
      <c r="U188" s="9" t="s">
        <v>388</v>
      </c>
      <c r="V188" s="9"/>
    </row>
    <row r="189" spans="1:22">
      <c r="A189" s="16" t="s">
        <v>689</v>
      </c>
      <c r="B189" s="17" t="s">
        <v>308</v>
      </c>
      <c r="C189" s="17" t="s">
        <v>309</v>
      </c>
      <c r="D189" s="18">
        <v>46186</v>
      </c>
      <c r="E189" s="16" t="s">
        <v>41</v>
      </c>
      <c r="F189" s="16" t="s">
        <v>80</v>
      </c>
      <c r="G189" s="16" t="s">
        <v>384</v>
      </c>
      <c r="H189" s="16" t="s">
        <v>384</v>
      </c>
      <c r="I189" s="16" t="s">
        <v>385</v>
      </c>
      <c r="J189" s="16"/>
      <c r="K189" s="17" t="s">
        <v>313</v>
      </c>
      <c r="L189" s="16"/>
      <c r="M189" s="19">
        <v>3</v>
      </c>
      <c r="N189" s="16" t="s">
        <v>386</v>
      </c>
      <c r="O189" s="20">
        <v>681.5</v>
      </c>
      <c r="P189" s="21">
        <f>M189*O189</f>
        <v>2044.5</v>
      </c>
      <c r="Q189" s="22">
        <v>0</v>
      </c>
      <c r="R189" s="21">
        <f>P189*Q189</f>
        <v>0</v>
      </c>
      <c r="S189" s="21">
        <f>P189-R189</f>
        <v>2044.5</v>
      </c>
      <c r="T189" s="16" t="s">
        <v>387</v>
      </c>
      <c r="U189" s="16" t="s">
        <v>388</v>
      </c>
      <c r="V189" s="16"/>
    </row>
    <row r="190" spans="1:22">
      <c r="A190" s="9" t="s">
        <v>690</v>
      </c>
      <c r="B190" s="10" t="s">
        <v>308</v>
      </c>
      <c r="C190" s="10" t="s">
        <v>309</v>
      </c>
      <c r="D190" s="11">
        <v>46186</v>
      </c>
      <c r="E190" s="9" t="s">
        <v>41</v>
      </c>
      <c r="F190" s="9" t="s">
        <v>390</v>
      </c>
      <c r="G190" s="9" t="s">
        <v>391</v>
      </c>
      <c r="H190" s="9" t="s">
        <v>392</v>
      </c>
      <c r="I190" s="9" t="s">
        <v>393</v>
      </c>
      <c r="J190" s="9" t="s">
        <v>394</v>
      </c>
      <c r="K190" s="10" t="s">
        <v>313</v>
      </c>
      <c r="L190" s="9"/>
      <c r="M190" s="12">
        <v>1</v>
      </c>
      <c r="N190" s="9" t="s">
        <v>395</v>
      </c>
      <c r="O190" s="13">
        <v>291.39999999999998</v>
      </c>
      <c r="P190" s="14">
        <f>M190*O190</f>
        <v>291.39999999999998</v>
      </c>
      <c r="Q190" s="15">
        <v>0</v>
      </c>
      <c r="R190" s="14">
        <f>P190*Q190</f>
        <v>0</v>
      </c>
      <c r="S190" s="14">
        <f>P190-R190</f>
        <v>291.39999999999998</v>
      </c>
      <c r="T190" s="9" t="s">
        <v>387</v>
      </c>
      <c r="U190" s="9" t="s">
        <v>388</v>
      </c>
      <c r="V190" s="9"/>
    </row>
    <row r="191" spans="1:22">
      <c r="A191" s="16" t="s">
        <v>691</v>
      </c>
      <c r="B191" s="17" t="s">
        <v>308</v>
      </c>
      <c r="C191" s="17" t="s">
        <v>309</v>
      </c>
      <c r="D191" s="18">
        <v>46187</v>
      </c>
      <c r="E191" s="16" t="s">
        <v>41</v>
      </c>
      <c r="F191" s="16" t="s">
        <v>390</v>
      </c>
      <c r="G191" s="16" t="s">
        <v>391</v>
      </c>
      <c r="H191" s="16" t="s">
        <v>392</v>
      </c>
      <c r="I191" s="16" t="s">
        <v>393</v>
      </c>
      <c r="J191" s="16" t="s">
        <v>397</v>
      </c>
      <c r="K191" s="17" t="s">
        <v>313</v>
      </c>
      <c r="L191" s="16"/>
      <c r="M191" s="19">
        <v>2</v>
      </c>
      <c r="N191" s="16" t="s">
        <v>398</v>
      </c>
      <c r="O191" s="20">
        <v>173.9</v>
      </c>
      <c r="P191" s="21">
        <f>M191*O191</f>
        <v>347.8</v>
      </c>
      <c r="Q191" s="22">
        <v>0</v>
      </c>
      <c r="R191" s="21">
        <f>P191*Q191</f>
        <v>0</v>
      </c>
      <c r="S191" s="21">
        <f>P191-R191</f>
        <v>347.8</v>
      </c>
      <c r="T191" s="16" t="s">
        <v>387</v>
      </c>
      <c r="U191" s="16" t="s">
        <v>388</v>
      </c>
      <c r="V191" s="16"/>
    </row>
    <row r="192" spans="1:22">
      <c r="A192" s="9" t="s">
        <v>692</v>
      </c>
      <c r="B192" s="10" t="s">
        <v>308</v>
      </c>
      <c r="C192" s="10" t="s">
        <v>309</v>
      </c>
      <c r="D192" s="11">
        <v>46186</v>
      </c>
      <c r="E192" s="9" t="s">
        <v>41</v>
      </c>
      <c r="F192" s="9" t="s">
        <v>400</v>
      </c>
      <c r="G192" s="9" t="s">
        <v>400</v>
      </c>
      <c r="H192" s="9" t="s">
        <v>400</v>
      </c>
      <c r="I192" s="9" t="s">
        <v>401</v>
      </c>
      <c r="J192" s="9" t="s">
        <v>402</v>
      </c>
      <c r="K192" s="10" t="s">
        <v>313</v>
      </c>
      <c r="L192" s="9"/>
      <c r="M192" s="12">
        <v>1</v>
      </c>
      <c r="N192" s="9" t="s">
        <v>403</v>
      </c>
      <c r="O192" s="13">
        <v>89.3</v>
      </c>
      <c r="P192" s="14">
        <f>M192*O192</f>
        <v>89.3</v>
      </c>
      <c r="Q192" s="15">
        <v>0</v>
      </c>
      <c r="R192" s="14">
        <f>P192*Q192</f>
        <v>0</v>
      </c>
      <c r="S192" s="14">
        <f>P192-R192</f>
        <v>89.3</v>
      </c>
      <c r="T192" s="9" t="s">
        <v>387</v>
      </c>
      <c r="U192" s="9" t="s">
        <v>388</v>
      </c>
      <c r="V192" s="9"/>
    </row>
    <row r="193" spans="1:22">
      <c r="A193" s="16" t="s">
        <v>693</v>
      </c>
      <c r="B193" s="17" t="s">
        <v>308</v>
      </c>
      <c r="C193" s="17" t="s">
        <v>309</v>
      </c>
      <c r="D193" s="18">
        <v>46186</v>
      </c>
      <c r="E193" s="16" t="s">
        <v>41</v>
      </c>
      <c r="F193" s="16" t="s">
        <v>400</v>
      </c>
      <c r="G193" s="16" t="s">
        <v>400</v>
      </c>
      <c r="H193" s="16" t="s">
        <v>405</v>
      </c>
      <c r="I193" s="16" t="s">
        <v>406</v>
      </c>
      <c r="J193" s="16" t="s">
        <v>407</v>
      </c>
      <c r="K193" s="17" t="s">
        <v>313</v>
      </c>
      <c r="L193" s="16"/>
      <c r="M193" s="19">
        <v>1</v>
      </c>
      <c r="N193" s="16" t="s">
        <v>408</v>
      </c>
      <c r="O193" s="20">
        <v>122.2</v>
      </c>
      <c r="P193" s="21">
        <f>M193*O193</f>
        <v>122.2</v>
      </c>
      <c r="Q193" s="22">
        <v>0</v>
      </c>
      <c r="R193" s="21">
        <f>P193*Q193</f>
        <v>0</v>
      </c>
      <c r="S193" s="21">
        <f>P193-R193</f>
        <v>122.2</v>
      </c>
      <c r="T193" s="16" t="s">
        <v>387</v>
      </c>
      <c r="U193" s="16" t="s">
        <v>388</v>
      </c>
      <c r="V193" s="16"/>
    </row>
    <row r="194" spans="1:22">
      <c r="A194" s="9" t="s">
        <v>694</v>
      </c>
      <c r="B194" s="10" t="s">
        <v>308</v>
      </c>
      <c r="C194" s="10" t="s">
        <v>309</v>
      </c>
      <c r="D194" s="11">
        <v>46186</v>
      </c>
      <c r="E194" s="9" t="s">
        <v>41</v>
      </c>
      <c r="F194" s="9" t="s">
        <v>410</v>
      </c>
      <c r="G194" s="9" t="s">
        <v>410</v>
      </c>
      <c r="H194" s="9" t="s">
        <v>410</v>
      </c>
      <c r="I194" s="9" t="s">
        <v>411</v>
      </c>
      <c r="J194" s="9"/>
      <c r="K194" s="10" t="s">
        <v>313</v>
      </c>
      <c r="L194" s="9"/>
      <c r="M194" s="12">
        <v>3</v>
      </c>
      <c r="N194" s="9" t="s">
        <v>386</v>
      </c>
      <c r="O194" s="13">
        <v>394.8</v>
      </c>
      <c r="P194" s="14">
        <f>M194*O194</f>
        <v>1184.4000000000001</v>
      </c>
      <c r="Q194" s="15">
        <v>0</v>
      </c>
      <c r="R194" s="14">
        <f>P194*Q194</f>
        <v>0</v>
      </c>
      <c r="S194" s="14">
        <f>P194-R194</f>
        <v>1184.4000000000001</v>
      </c>
      <c r="T194" s="9" t="s">
        <v>387</v>
      </c>
      <c r="U194" s="9" t="s">
        <v>388</v>
      </c>
      <c r="V194" s="9"/>
    </row>
    <row r="195" spans="1:22">
      <c r="A195" s="16" t="s">
        <v>695</v>
      </c>
      <c r="B195" s="17" t="s">
        <v>308</v>
      </c>
      <c r="C195" s="17" t="s">
        <v>309</v>
      </c>
      <c r="D195" s="18">
        <v>46186</v>
      </c>
      <c r="E195" s="16" t="s">
        <v>41</v>
      </c>
      <c r="F195" s="16" t="s">
        <v>413</v>
      </c>
      <c r="G195" s="16" t="s">
        <v>414</v>
      </c>
      <c r="H195" s="16" t="s">
        <v>415</v>
      </c>
      <c r="I195" s="16" t="s">
        <v>416</v>
      </c>
      <c r="J195" s="16"/>
      <c r="K195" s="17" t="s">
        <v>313</v>
      </c>
      <c r="L195" s="16"/>
      <c r="M195" s="19">
        <v>2</v>
      </c>
      <c r="N195" s="16" t="s">
        <v>417</v>
      </c>
      <c r="O195" s="20">
        <v>329</v>
      </c>
      <c r="P195" s="21">
        <f>M195*O195</f>
        <v>658</v>
      </c>
      <c r="Q195" s="22">
        <v>0</v>
      </c>
      <c r="R195" s="21">
        <f>P195*Q195</f>
        <v>0</v>
      </c>
      <c r="S195" s="21">
        <f>P195-R195</f>
        <v>658</v>
      </c>
      <c r="T195" s="16" t="s">
        <v>387</v>
      </c>
      <c r="U195" s="16" t="s">
        <v>388</v>
      </c>
      <c r="V195" s="16"/>
    </row>
    <row r="196" spans="1:22">
      <c r="A196" s="9" t="s">
        <v>696</v>
      </c>
      <c r="B196" s="10" t="s">
        <v>308</v>
      </c>
      <c r="C196" s="10" t="s">
        <v>309</v>
      </c>
      <c r="D196" s="11">
        <v>46186</v>
      </c>
      <c r="E196" s="9" t="s">
        <v>41</v>
      </c>
      <c r="F196" s="9" t="s">
        <v>419</v>
      </c>
      <c r="G196" s="9" t="s">
        <v>420</v>
      </c>
      <c r="H196" s="9" t="s">
        <v>460</v>
      </c>
      <c r="I196" s="9" t="s">
        <v>461</v>
      </c>
      <c r="J196" s="9" t="s">
        <v>462</v>
      </c>
      <c r="K196" s="10" t="s">
        <v>313</v>
      </c>
      <c r="L196" s="9"/>
      <c r="M196" s="12">
        <v>1</v>
      </c>
      <c r="N196" s="9" t="s">
        <v>424</v>
      </c>
      <c r="O196" s="13">
        <v>1363</v>
      </c>
      <c r="P196" s="14">
        <f>M196*O196</f>
        <v>1363</v>
      </c>
      <c r="Q196" s="15">
        <v>0</v>
      </c>
      <c r="R196" s="14">
        <f>P196*Q196</f>
        <v>0</v>
      </c>
      <c r="S196" s="14">
        <f>P196-R196</f>
        <v>1363</v>
      </c>
      <c r="T196" s="9" t="s">
        <v>387</v>
      </c>
      <c r="U196" s="9" t="s">
        <v>388</v>
      </c>
      <c r="V196" s="9"/>
    </row>
    <row r="197" spans="1:22">
      <c r="A197" s="16" t="s">
        <v>697</v>
      </c>
      <c r="B197" s="17" t="s">
        <v>308</v>
      </c>
      <c r="C197" s="17" t="s">
        <v>309</v>
      </c>
      <c r="D197" s="18">
        <v>46187</v>
      </c>
      <c r="E197" s="16" t="s">
        <v>41</v>
      </c>
      <c r="F197" s="16" t="s">
        <v>464</v>
      </c>
      <c r="G197" s="16" t="s">
        <v>465</v>
      </c>
      <c r="H197" s="16" t="s">
        <v>466</v>
      </c>
      <c r="I197" s="16" t="s">
        <v>467</v>
      </c>
      <c r="J197" s="16" t="s">
        <v>394</v>
      </c>
      <c r="K197" s="17" t="s">
        <v>313</v>
      </c>
      <c r="L197" s="16"/>
      <c r="M197" s="19">
        <v>1</v>
      </c>
      <c r="N197" s="16" t="s">
        <v>468</v>
      </c>
      <c r="O197" s="20">
        <v>3008</v>
      </c>
      <c r="P197" s="21">
        <f>M197*O197</f>
        <v>3008</v>
      </c>
      <c r="Q197" s="22">
        <v>0</v>
      </c>
      <c r="R197" s="21">
        <f>P197*Q197</f>
        <v>0</v>
      </c>
      <c r="S197" s="21">
        <f>P197-R197</f>
        <v>3008</v>
      </c>
      <c r="T197" s="16" t="s">
        <v>387</v>
      </c>
      <c r="U197" s="16" t="s">
        <v>388</v>
      </c>
      <c r="V197" s="16"/>
    </row>
    <row r="198" spans="1:22">
      <c r="A198" s="9" t="s">
        <v>698</v>
      </c>
      <c r="B198" s="10" t="s">
        <v>308</v>
      </c>
      <c r="C198" s="10" t="s">
        <v>309</v>
      </c>
      <c r="D198" s="11">
        <v>46187</v>
      </c>
      <c r="E198" s="9" t="s">
        <v>41</v>
      </c>
      <c r="F198" s="9" t="s">
        <v>470</v>
      </c>
      <c r="G198" s="9" t="s">
        <v>471</v>
      </c>
      <c r="H198" s="9" t="s">
        <v>471</v>
      </c>
      <c r="I198" s="9" t="s">
        <v>472</v>
      </c>
      <c r="J198" s="9" t="s">
        <v>699</v>
      </c>
      <c r="K198" s="10" t="s">
        <v>313</v>
      </c>
      <c r="L198" s="9"/>
      <c r="M198" s="12">
        <v>1</v>
      </c>
      <c r="N198" s="9" t="s">
        <v>468</v>
      </c>
      <c r="O198" s="13">
        <v>1175</v>
      </c>
      <c r="P198" s="14">
        <f>M198*O198</f>
        <v>1175</v>
      </c>
      <c r="Q198" s="15">
        <v>0</v>
      </c>
      <c r="R198" s="14">
        <f>P198*Q198</f>
        <v>0</v>
      </c>
      <c r="S198" s="14">
        <f>P198-R198</f>
        <v>1175</v>
      </c>
      <c r="T198" s="9" t="s">
        <v>387</v>
      </c>
      <c r="U198" s="9" t="s">
        <v>388</v>
      </c>
      <c r="V198" s="9"/>
    </row>
    <row r="199" spans="1:22">
      <c r="A199" s="16" t="s">
        <v>700</v>
      </c>
      <c r="B199" s="17" t="s">
        <v>308</v>
      </c>
      <c r="C199" s="17" t="s">
        <v>309</v>
      </c>
      <c r="D199" s="18">
        <v>46187</v>
      </c>
      <c r="E199" s="16" t="s">
        <v>41</v>
      </c>
      <c r="F199" s="16" t="s">
        <v>475</v>
      </c>
      <c r="G199" s="16" t="s">
        <v>476</v>
      </c>
      <c r="H199" s="16" t="s">
        <v>477</v>
      </c>
      <c r="I199" s="16" t="s">
        <v>478</v>
      </c>
      <c r="J199" s="16"/>
      <c r="K199" s="17" t="s">
        <v>313</v>
      </c>
      <c r="L199" s="16"/>
      <c r="M199" s="19">
        <v>1</v>
      </c>
      <c r="N199" s="16" t="s">
        <v>479</v>
      </c>
      <c r="O199" s="20">
        <v>5452</v>
      </c>
      <c r="P199" s="21">
        <f>M199*O199</f>
        <v>5452</v>
      </c>
      <c r="Q199" s="22">
        <v>0</v>
      </c>
      <c r="R199" s="21">
        <f>P199*Q199</f>
        <v>0</v>
      </c>
      <c r="S199" s="21">
        <f>P199-R199</f>
        <v>5452</v>
      </c>
      <c r="T199" s="16" t="s">
        <v>387</v>
      </c>
      <c r="U199" s="16" t="s">
        <v>388</v>
      </c>
      <c r="V199" s="16"/>
    </row>
    <row r="200" spans="1:22">
      <c r="A200" s="9" t="s">
        <v>701</v>
      </c>
      <c r="B200" s="10" t="s">
        <v>319</v>
      </c>
      <c r="C200" s="10" t="s">
        <v>320</v>
      </c>
      <c r="D200" s="11">
        <v>46194</v>
      </c>
      <c r="E200" s="9" t="s">
        <v>41</v>
      </c>
      <c r="F200" s="9" t="s">
        <v>63</v>
      </c>
      <c r="G200" s="9" t="s">
        <v>384</v>
      </c>
      <c r="H200" s="9" t="s">
        <v>433</v>
      </c>
      <c r="I200" s="9" t="s">
        <v>434</v>
      </c>
      <c r="J200" s="9"/>
      <c r="K200" s="10" t="s">
        <v>47</v>
      </c>
      <c r="L200" s="9"/>
      <c r="M200" s="12">
        <v>7</v>
      </c>
      <c r="N200" s="9" t="s">
        <v>386</v>
      </c>
      <c r="O200" s="13">
        <v>1008</v>
      </c>
      <c r="P200" s="14">
        <f>M200*O200</f>
        <v>7056</v>
      </c>
      <c r="Q200" s="15">
        <v>0.8</v>
      </c>
      <c r="R200" s="14">
        <f>P200*Q200</f>
        <v>5644.8</v>
      </c>
      <c r="S200" s="14">
        <f>P200-R200</f>
        <v>1411.1999999999998</v>
      </c>
      <c r="T200" s="9" t="s">
        <v>387</v>
      </c>
      <c r="U200" s="9" t="s">
        <v>388</v>
      </c>
      <c r="V200" s="9"/>
    </row>
    <row r="201" spans="1:22">
      <c r="A201" s="16" t="s">
        <v>702</v>
      </c>
      <c r="B201" s="17" t="s">
        <v>319</v>
      </c>
      <c r="C201" s="17" t="s">
        <v>320</v>
      </c>
      <c r="D201" s="18">
        <v>46194</v>
      </c>
      <c r="E201" s="16" t="s">
        <v>41</v>
      </c>
      <c r="F201" s="16" t="s">
        <v>390</v>
      </c>
      <c r="G201" s="16" t="s">
        <v>391</v>
      </c>
      <c r="H201" s="16" t="s">
        <v>392</v>
      </c>
      <c r="I201" s="16" t="s">
        <v>393</v>
      </c>
      <c r="J201" s="16" t="s">
        <v>394</v>
      </c>
      <c r="K201" s="17" t="s">
        <v>47</v>
      </c>
      <c r="L201" s="16"/>
      <c r="M201" s="19">
        <v>1</v>
      </c>
      <c r="N201" s="16" t="s">
        <v>395</v>
      </c>
      <c r="O201" s="20">
        <v>297.60000000000002</v>
      </c>
      <c r="P201" s="21">
        <f>M201*O201</f>
        <v>297.60000000000002</v>
      </c>
      <c r="Q201" s="22">
        <v>0.8</v>
      </c>
      <c r="R201" s="21">
        <f>P201*Q201</f>
        <v>238.08000000000004</v>
      </c>
      <c r="S201" s="21">
        <f>P201-R201</f>
        <v>59.519999999999982</v>
      </c>
      <c r="T201" s="16" t="s">
        <v>387</v>
      </c>
      <c r="U201" s="16" t="s">
        <v>388</v>
      </c>
      <c r="V201" s="16"/>
    </row>
    <row r="202" spans="1:22">
      <c r="A202" s="9" t="s">
        <v>703</v>
      </c>
      <c r="B202" s="10" t="s">
        <v>319</v>
      </c>
      <c r="C202" s="10" t="s">
        <v>320</v>
      </c>
      <c r="D202" s="11">
        <v>46195</v>
      </c>
      <c r="E202" s="9" t="s">
        <v>41</v>
      </c>
      <c r="F202" s="9" t="s">
        <v>390</v>
      </c>
      <c r="G202" s="9" t="s">
        <v>391</v>
      </c>
      <c r="H202" s="9" t="s">
        <v>392</v>
      </c>
      <c r="I202" s="9" t="s">
        <v>393</v>
      </c>
      <c r="J202" s="9" t="s">
        <v>397</v>
      </c>
      <c r="K202" s="10" t="s">
        <v>47</v>
      </c>
      <c r="L202" s="9"/>
      <c r="M202" s="12">
        <v>6</v>
      </c>
      <c r="N202" s="9" t="s">
        <v>398</v>
      </c>
      <c r="O202" s="13">
        <v>177.6</v>
      </c>
      <c r="P202" s="14">
        <f>M202*O202</f>
        <v>1065.5999999999999</v>
      </c>
      <c r="Q202" s="15">
        <v>0.8</v>
      </c>
      <c r="R202" s="14">
        <f>P202*Q202</f>
        <v>852.48</v>
      </c>
      <c r="S202" s="14">
        <f>P202-R202</f>
        <v>213.11999999999989</v>
      </c>
      <c r="T202" s="9" t="s">
        <v>387</v>
      </c>
      <c r="U202" s="9" t="s">
        <v>388</v>
      </c>
      <c r="V202" s="9"/>
    </row>
    <row r="203" spans="1:22">
      <c r="A203" s="16" t="s">
        <v>704</v>
      </c>
      <c r="B203" s="17" t="s">
        <v>319</v>
      </c>
      <c r="C203" s="17" t="s">
        <v>320</v>
      </c>
      <c r="D203" s="18">
        <v>46194</v>
      </c>
      <c r="E203" s="16" t="s">
        <v>41</v>
      </c>
      <c r="F203" s="16" t="s">
        <v>400</v>
      </c>
      <c r="G203" s="16" t="s">
        <v>400</v>
      </c>
      <c r="H203" s="16" t="s">
        <v>400</v>
      </c>
      <c r="I203" s="16" t="s">
        <v>401</v>
      </c>
      <c r="J203" s="16" t="s">
        <v>402</v>
      </c>
      <c r="K203" s="17" t="s">
        <v>47</v>
      </c>
      <c r="L203" s="16"/>
      <c r="M203" s="19">
        <v>1</v>
      </c>
      <c r="N203" s="16" t="s">
        <v>403</v>
      </c>
      <c r="O203" s="20">
        <v>91.2</v>
      </c>
      <c r="P203" s="21">
        <f>M203*O203</f>
        <v>91.2</v>
      </c>
      <c r="Q203" s="22">
        <v>0.8</v>
      </c>
      <c r="R203" s="21">
        <f>P203*Q203</f>
        <v>72.960000000000008</v>
      </c>
      <c r="S203" s="21">
        <f>P203-R203</f>
        <v>18.239999999999995</v>
      </c>
      <c r="T203" s="16" t="s">
        <v>387</v>
      </c>
      <c r="U203" s="16" t="s">
        <v>388</v>
      </c>
      <c r="V203" s="16"/>
    </row>
    <row r="204" spans="1:22">
      <c r="A204" s="9" t="s">
        <v>705</v>
      </c>
      <c r="B204" s="10" t="s">
        <v>319</v>
      </c>
      <c r="C204" s="10" t="s">
        <v>320</v>
      </c>
      <c r="D204" s="11">
        <v>46194</v>
      </c>
      <c r="E204" s="9" t="s">
        <v>41</v>
      </c>
      <c r="F204" s="9" t="s">
        <v>400</v>
      </c>
      <c r="G204" s="9" t="s">
        <v>400</v>
      </c>
      <c r="H204" s="9" t="s">
        <v>405</v>
      </c>
      <c r="I204" s="9" t="s">
        <v>406</v>
      </c>
      <c r="J204" s="9" t="s">
        <v>407</v>
      </c>
      <c r="K204" s="10" t="s">
        <v>47</v>
      </c>
      <c r="L204" s="9"/>
      <c r="M204" s="12">
        <v>1</v>
      </c>
      <c r="N204" s="9" t="s">
        <v>408</v>
      </c>
      <c r="O204" s="13">
        <v>124.8</v>
      </c>
      <c r="P204" s="14">
        <f>M204*O204</f>
        <v>124.8</v>
      </c>
      <c r="Q204" s="15">
        <v>0.8</v>
      </c>
      <c r="R204" s="14">
        <f>P204*Q204</f>
        <v>99.84</v>
      </c>
      <c r="S204" s="14">
        <f>P204-R204</f>
        <v>24.959999999999994</v>
      </c>
      <c r="T204" s="9" t="s">
        <v>387</v>
      </c>
      <c r="U204" s="9" t="s">
        <v>388</v>
      </c>
      <c r="V204" s="9"/>
    </row>
    <row r="205" spans="1:22">
      <c r="A205" s="16" t="s">
        <v>706</v>
      </c>
      <c r="B205" s="17" t="s">
        <v>319</v>
      </c>
      <c r="C205" s="17" t="s">
        <v>320</v>
      </c>
      <c r="D205" s="18">
        <v>46194</v>
      </c>
      <c r="E205" s="16" t="s">
        <v>41</v>
      </c>
      <c r="F205" s="16" t="s">
        <v>410</v>
      </c>
      <c r="G205" s="16" t="s">
        <v>410</v>
      </c>
      <c r="H205" s="16" t="s">
        <v>410</v>
      </c>
      <c r="I205" s="16" t="s">
        <v>411</v>
      </c>
      <c r="J205" s="16"/>
      <c r="K205" s="17" t="s">
        <v>47</v>
      </c>
      <c r="L205" s="16"/>
      <c r="M205" s="19">
        <v>7</v>
      </c>
      <c r="N205" s="16" t="s">
        <v>386</v>
      </c>
      <c r="O205" s="20">
        <v>403.2</v>
      </c>
      <c r="P205" s="21">
        <f>M205*O205</f>
        <v>2822.4</v>
      </c>
      <c r="Q205" s="22">
        <v>0.8</v>
      </c>
      <c r="R205" s="21">
        <f>P205*Q205</f>
        <v>2257.92</v>
      </c>
      <c r="S205" s="21">
        <f>P205-R205</f>
        <v>564.48</v>
      </c>
      <c r="T205" s="16" t="s">
        <v>387</v>
      </c>
      <c r="U205" s="16" t="s">
        <v>388</v>
      </c>
      <c r="V205" s="16"/>
    </row>
    <row r="206" spans="1:22">
      <c r="A206" s="9" t="s">
        <v>707</v>
      </c>
      <c r="B206" s="10" t="s">
        <v>319</v>
      </c>
      <c r="C206" s="10" t="s">
        <v>320</v>
      </c>
      <c r="D206" s="11">
        <v>46194</v>
      </c>
      <c r="E206" s="9" t="s">
        <v>41</v>
      </c>
      <c r="F206" s="9" t="s">
        <v>413</v>
      </c>
      <c r="G206" s="9" t="s">
        <v>414</v>
      </c>
      <c r="H206" s="9" t="s">
        <v>415</v>
      </c>
      <c r="I206" s="9" t="s">
        <v>416</v>
      </c>
      <c r="J206" s="9"/>
      <c r="K206" s="10" t="s">
        <v>47</v>
      </c>
      <c r="L206" s="9"/>
      <c r="M206" s="12">
        <v>4</v>
      </c>
      <c r="N206" s="9" t="s">
        <v>417</v>
      </c>
      <c r="O206" s="13">
        <v>336</v>
      </c>
      <c r="P206" s="14">
        <f>M206*O206</f>
        <v>1344</v>
      </c>
      <c r="Q206" s="15">
        <v>0.8</v>
      </c>
      <c r="R206" s="14">
        <f>P206*Q206</f>
        <v>1075.2</v>
      </c>
      <c r="S206" s="14">
        <f>P206-R206</f>
        <v>268.79999999999995</v>
      </c>
      <c r="T206" s="9" t="s">
        <v>387</v>
      </c>
      <c r="U206" s="9" t="s">
        <v>388</v>
      </c>
      <c r="V206" s="9"/>
    </row>
    <row r="207" spans="1:22">
      <c r="A207" s="16" t="s">
        <v>708</v>
      </c>
      <c r="B207" s="17" t="s">
        <v>319</v>
      </c>
      <c r="C207" s="17" t="s">
        <v>320</v>
      </c>
      <c r="D207" s="18">
        <v>46194</v>
      </c>
      <c r="E207" s="16" t="s">
        <v>41</v>
      </c>
      <c r="F207" s="16" t="s">
        <v>443</v>
      </c>
      <c r="G207" s="16" t="s">
        <v>444</v>
      </c>
      <c r="H207" s="16" t="s">
        <v>445</v>
      </c>
      <c r="I207" s="16" t="s">
        <v>446</v>
      </c>
      <c r="J207" s="16" t="s">
        <v>447</v>
      </c>
      <c r="K207" s="17" t="s">
        <v>47</v>
      </c>
      <c r="L207" s="16"/>
      <c r="M207" s="19">
        <v>1</v>
      </c>
      <c r="N207" s="16" t="s">
        <v>424</v>
      </c>
      <c r="O207" s="20">
        <v>110.4</v>
      </c>
      <c r="P207" s="21">
        <f>M207*O207</f>
        <v>110.4</v>
      </c>
      <c r="Q207" s="22">
        <v>0.8</v>
      </c>
      <c r="R207" s="21">
        <f>P207*Q207</f>
        <v>88.320000000000007</v>
      </c>
      <c r="S207" s="21">
        <f>P207-R207</f>
        <v>22.08</v>
      </c>
      <c r="T207" s="16" t="s">
        <v>387</v>
      </c>
      <c r="U207" s="16" t="s">
        <v>388</v>
      </c>
      <c r="V207" s="16"/>
    </row>
    <row r="208" spans="1:22">
      <c r="A208" s="9" t="s">
        <v>709</v>
      </c>
      <c r="B208" s="10" t="s">
        <v>330</v>
      </c>
      <c r="C208" s="10" t="s">
        <v>331</v>
      </c>
      <c r="D208" s="11">
        <v>46202</v>
      </c>
      <c r="E208" s="9" t="s">
        <v>41</v>
      </c>
      <c r="F208" s="9" t="s">
        <v>42</v>
      </c>
      <c r="G208" s="9" t="s">
        <v>384</v>
      </c>
      <c r="H208" s="9" t="s">
        <v>384</v>
      </c>
      <c r="I208" s="9" t="s">
        <v>385</v>
      </c>
      <c r="J208" s="9"/>
      <c r="K208" s="10" t="s">
        <v>335</v>
      </c>
      <c r="L208" s="9"/>
      <c r="M208" s="12">
        <v>3</v>
      </c>
      <c r="N208" s="9" t="s">
        <v>386</v>
      </c>
      <c r="O208" s="13">
        <v>637</v>
      </c>
      <c r="P208" s="14">
        <f>M208*O208</f>
        <v>1911</v>
      </c>
      <c r="Q208" s="15">
        <v>0.8</v>
      </c>
      <c r="R208" s="14">
        <f>P208*Q208</f>
        <v>1528.8000000000002</v>
      </c>
      <c r="S208" s="14">
        <f>P208-R208</f>
        <v>382.19999999999982</v>
      </c>
      <c r="T208" s="9" t="s">
        <v>387</v>
      </c>
      <c r="U208" s="9" t="s">
        <v>388</v>
      </c>
      <c r="V208" s="9"/>
    </row>
    <row r="209" spans="1:22">
      <c r="A209" s="16" t="s">
        <v>710</v>
      </c>
      <c r="B209" s="17" t="s">
        <v>330</v>
      </c>
      <c r="C209" s="17" t="s">
        <v>331</v>
      </c>
      <c r="D209" s="18">
        <v>46202</v>
      </c>
      <c r="E209" s="16" t="s">
        <v>41</v>
      </c>
      <c r="F209" s="16" t="s">
        <v>390</v>
      </c>
      <c r="G209" s="16" t="s">
        <v>391</v>
      </c>
      <c r="H209" s="16" t="s">
        <v>392</v>
      </c>
      <c r="I209" s="16" t="s">
        <v>393</v>
      </c>
      <c r="J209" s="16" t="s">
        <v>394</v>
      </c>
      <c r="K209" s="17" t="s">
        <v>335</v>
      </c>
      <c r="L209" s="16"/>
      <c r="M209" s="19">
        <v>1</v>
      </c>
      <c r="N209" s="16" t="s">
        <v>395</v>
      </c>
      <c r="O209" s="20">
        <v>303.8</v>
      </c>
      <c r="P209" s="21">
        <f>M209*O209</f>
        <v>303.8</v>
      </c>
      <c r="Q209" s="22">
        <v>0.8</v>
      </c>
      <c r="R209" s="21">
        <f>P209*Q209</f>
        <v>243.04000000000002</v>
      </c>
      <c r="S209" s="21">
        <f>P209-R209</f>
        <v>60.759999999999991</v>
      </c>
      <c r="T209" s="16" t="s">
        <v>387</v>
      </c>
      <c r="U209" s="16" t="s">
        <v>388</v>
      </c>
      <c r="V209" s="16"/>
    </row>
    <row r="210" spans="1:22">
      <c r="A210" s="9" t="s">
        <v>711</v>
      </c>
      <c r="B210" s="10" t="s">
        <v>330</v>
      </c>
      <c r="C210" s="10" t="s">
        <v>331</v>
      </c>
      <c r="D210" s="11">
        <v>46203</v>
      </c>
      <c r="E210" s="9" t="s">
        <v>41</v>
      </c>
      <c r="F210" s="9" t="s">
        <v>390</v>
      </c>
      <c r="G210" s="9" t="s">
        <v>391</v>
      </c>
      <c r="H210" s="9" t="s">
        <v>392</v>
      </c>
      <c r="I210" s="9" t="s">
        <v>393</v>
      </c>
      <c r="J210" s="9" t="s">
        <v>397</v>
      </c>
      <c r="K210" s="10" t="s">
        <v>335</v>
      </c>
      <c r="L210" s="9"/>
      <c r="M210" s="12">
        <v>2</v>
      </c>
      <c r="N210" s="9" t="s">
        <v>398</v>
      </c>
      <c r="O210" s="13">
        <v>181.3</v>
      </c>
      <c r="P210" s="14">
        <f>M210*O210</f>
        <v>362.6</v>
      </c>
      <c r="Q210" s="15">
        <v>0.8</v>
      </c>
      <c r="R210" s="14">
        <f>P210*Q210</f>
        <v>290.08000000000004</v>
      </c>
      <c r="S210" s="14">
        <f>P210-R210</f>
        <v>72.519999999999982</v>
      </c>
      <c r="T210" s="9" t="s">
        <v>387</v>
      </c>
      <c r="U210" s="9" t="s">
        <v>388</v>
      </c>
      <c r="V210" s="9"/>
    </row>
    <row r="211" spans="1:22">
      <c r="A211" s="16" t="s">
        <v>712</v>
      </c>
      <c r="B211" s="17" t="s">
        <v>330</v>
      </c>
      <c r="C211" s="17" t="s">
        <v>331</v>
      </c>
      <c r="D211" s="18">
        <v>46202</v>
      </c>
      <c r="E211" s="16" t="s">
        <v>41</v>
      </c>
      <c r="F211" s="16" t="s">
        <v>400</v>
      </c>
      <c r="G211" s="16" t="s">
        <v>400</v>
      </c>
      <c r="H211" s="16" t="s">
        <v>400</v>
      </c>
      <c r="I211" s="16" t="s">
        <v>401</v>
      </c>
      <c r="J211" s="16" t="s">
        <v>402</v>
      </c>
      <c r="K211" s="17" t="s">
        <v>335</v>
      </c>
      <c r="L211" s="16"/>
      <c r="M211" s="19">
        <v>1</v>
      </c>
      <c r="N211" s="16" t="s">
        <v>403</v>
      </c>
      <c r="O211" s="20">
        <v>93.1</v>
      </c>
      <c r="P211" s="21">
        <f>M211*O211</f>
        <v>93.1</v>
      </c>
      <c r="Q211" s="22">
        <v>0.8</v>
      </c>
      <c r="R211" s="21">
        <f>P211*Q211</f>
        <v>74.48</v>
      </c>
      <c r="S211" s="21">
        <f>P211-R211</f>
        <v>18.61999999999999</v>
      </c>
      <c r="T211" s="16" t="s">
        <v>387</v>
      </c>
      <c r="U211" s="16" t="s">
        <v>388</v>
      </c>
      <c r="V211" s="16"/>
    </row>
    <row r="212" spans="1:22">
      <c r="A212" s="9" t="s">
        <v>713</v>
      </c>
      <c r="B212" s="10" t="s">
        <v>330</v>
      </c>
      <c r="C212" s="10" t="s">
        <v>331</v>
      </c>
      <c r="D212" s="11">
        <v>46202</v>
      </c>
      <c r="E212" s="9" t="s">
        <v>41</v>
      </c>
      <c r="F212" s="9" t="s">
        <v>400</v>
      </c>
      <c r="G212" s="9" t="s">
        <v>400</v>
      </c>
      <c r="H212" s="9" t="s">
        <v>405</v>
      </c>
      <c r="I212" s="9" t="s">
        <v>406</v>
      </c>
      <c r="J212" s="9" t="s">
        <v>407</v>
      </c>
      <c r="K212" s="10" t="s">
        <v>335</v>
      </c>
      <c r="L212" s="9"/>
      <c r="M212" s="12">
        <v>1</v>
      </c>
      <c r="N212" s="9" t="s">
        <v>408</v>
      </c>
      <c r="O212" s="13">
        <v>127.4</v>
      </c>
      <c r="P212" s="14">
        <f>M212*O212</f>
        <v>127.4</v>
      </c>
      <c r="Q212" s="15">
        <v>0.8</v>
      </c>
      <c r="R212" s="14">
        <f>P212*Q212</f>
        <v>101.92000000000002</v>
      </c>
      <c r="S212" s="14">
        <f>P212-R212</f>
        <v>25.47999999999999</v>
      </c>
      <c r="T212" s="9" t="s">
        <v>387</v>
      </c>
      <c r="U212" s="9" t="s">
        <v>388</v>
      </c>
      <c r="V212" s="9"/>
    </row>
    <row r="213" spans="1:22">
      <c r="A213" s="16" t="s">
        <v>714</v>
      </c>
      <c r="B213" s="17" t="s">
        <v>330</v>
      </c>
      <c r="C213" s="17" t="s">
        <v>331</v>
      </c>
      <c r="D213" s="18">
        <v>46202</v>
      </c>
      <c r="E213" s="16" t="s">
        <v>41</v>
      </c>
      <c r="F213" s="16" t="s">
        <v>410</v>
      </c>
      <c r="G213" s="16" t="s">
        <v>410</v>
      </c>
      <c r="H213" s="16" t="s">
        <v>410</v>
      </c>
      <c r="I213" s="16" t="s">
        <v>411</v>
      </c>
      <c r="J213" s="16"/>
      <c r="K213" s="17" t="s">
        <v>335</v>
      </c>
      <c r="L213" s="16"/>
      <c r="M213" s="19">
        <v>3</v>
      </c>
      <c r="N213" s="16" t="s">
        <v>386</v>
      </c>
      <c r="O213" s="20">
        <v>411.6</v>
      </c>
      <c r="P213" s="21">
        <f>M213*O213</f>
        <v>1234.8000000000002</v>
      </c>
      <c r="Q213" s="22">
        <v>0.8</v>
      </c>
      <c r="R213" s="21">
        <f>P213*Q213</f>
        <v>987.84000000000015</v>
      </c>
      <c r="S213" s="21">
        <f>P213-R213</f>
        <v>246.96000000000004</v>
      </c>
      <c r="T213" s="16" t="s">
        <v>387</v>
      </c>
      <c r="U213" s="16" t="s">
        <v>388</v>
      </c>
      <c r="V213" s="16"/>
    </row>
    <row r="214" spans="1:22">
      <c r="A214" s="9" t="s">
        <v>715</v>
      </c>
      <c r="B214" s="10" t="s">
        <v>330</v>
      </c>
      <c r="C214" s="10" t="s">
        <v>331</v>
      </c>
      <c r="D214" s="11">
        <v>46202</v>
      </c>
      <c r="E214" s="9" t="s">
        <v>41</v>
      </c>
      <c r="F214" s="9" t="s">
        <v>413</v>
      </c>
      <c r="G214" s="9" t="s">
        <v>414</v>
      </c>
      <c r="H214" s="9" t="s">
        <v>415</v>
      </c>
      <c r="I214" s="9" t="s">
        <v>416</v>
      </c>
      <c r="J214" s="9"/>
      <c r="K214" s="10" t="s">
        <v>335</v>
      </c>
      <c r="L214" s="9"/>
      <c r="M214" s="12">
        <v>2</v>
      </c>
      <c r="N214" s="9" t="s">
        <v>417</v>
      </c>
      <c r="O214" s="13">
        <v>343</v>
      </c>
      <c r="P214" s="14">
        <f>M214*O214</f>
        <v>686</v>
      </c>
      <c r="Q214" s="15">
        <v>0.8</v>
      </c>
      <c r="R214" s="14">
        <f>P214*Q214</f>
        <v>548.80000000000007</v>
      </c>
      <c r="S214" s="14">
        <f>P214-R214</f>
        <v>137.19999999999993</v>
      </c>
      <c r="T214" s="9" t="s">
        <v>387</v>
      </c>
      <c r="U214" s="9" t="s">
        <v>388</v>
      </c>
      <c r="V214" s="9"/>
    </row>
    <row r="215" spans="1:22">
      <c r="A215" s="16" t="s">
        <v>716</v>
      </c>
      <c r="B215" s="17" t="s">
        <v>341</v>
      </c>
      <c r="C215" s="17" t="s">
        <v>342</v>
      </c>
      <c r="D215" s="18">
        <v>46210</v>
      </c>
      <c r="E215" s="16" t="s">
        <v>41</v>
      </c>
      <c r="F215" s="16" t="s">
        <v>345</v>
      </c>
      <c r="G215" s="16" t="s">
        <v>384</v>
      </c>
      <c r="H215" s="16" t="s">
        <v>384</v>
      </c>
      <c r="I215" s="16" t="s">
        <v>385</v>
      </c>
      <c r="J215" s="16"/>
      <c r="K215" s="17" t="s">
        <v>347</v>
      </c>
      <c r="L215" s="16"/>
      <c r="M215" s="19">
        <v>8</v>
      </c>
      <c r="N215" s="16" t="s">
        <v>386</v>
      </c>
      <c r="O215" s="20">
        <v>850</v>
      </c>
      <c r="P215" s="21">
        <f>M215*O215</f>
        <v>6800</v>
      </c>
      <c r="Q215" s="22">
        <v>0.8</v>
      </c>
      <c r="R215" s="21">
        <f>P215*Q215</f>
        <v>5440</v>
      </c>
      <c r="S215" s="21">
        <f>P215-R215</f>
        <v>1360</v>
      </c>
      <c r="T215" s="16" t="s">
        <v>387</v>
      </c>
      <c r="U215" s="16" t="s">
        <v>388</v>
      </c>
      <c r="V215" s="16"/>
    </row>
    <row r="216" spans="1:22">
      <c r="A216" s="9" t="s">
        <v>717</v>
      </c>
      <c r="B216" s="10" t="s">
        <v>341</v>
      </c>
      <c r="C216" s="10" t="s">
        <v>342</v>
      </c>
      <c r="D216" s="11">
        <v>46210</v>
      </c>
      <c r="E216" s="9" t="s">
        <v>41</v>
      </c>
      <c r="F216" s="9" t="s">
        <v>390</v>
      </c>
      <c r="G216" s="9" t="s">
        <v>391</v>
      </c>
      <c r="H216" s="9" t="s">
        <v>392</v>
      </c>
      <c r="I216" s="9" t="s">
        <v>393</v>
      </c>
      <c r="J216" s="9" t="s">
        <v>394</v>
      </c>
      <c r="K216" s="10" t="s">
        <v>347</v>
      </c>
      <c r="L216" s="9"/>
      <c r="M216" s="12">
        <v>1</v>
      </c>
      <c r="N216" s="9" t="s">
        <v>395</v>
      </c>
      <c r="O216" s="13">
        <v>310</v>
      </c>
      <c r="P216" s="14">
        <f>M216*O216</f>
        <v>310</v>
      </c>
      <c r="Q216" s="15">
        <v>0.8</v>
      </c>
      <c r="R216" s="14">
        <f>P216*Q216</f>
        <v>248</v>
      </c>
      <c r="S216" s="14">
        <f>P216-R216</f>
        <v>62</v>
      </c>
      <c r="T216" s="9" t="s">
        <v>387</v>
      </c>
      <c r="U216" s="9" t="s">
        <v>388</v>
      </c>
      <c r="V216" s="9"/>
    </row>
    <row r="217" spans="1:22">
      <c r="A217" s="16" t="s">
        <v>718</v>
      </c>
      <c r="B217" s="17" t="s">
        <v>341</v>
      </c>
      <c r="C217" s="17" t="s">
        <v>342</v>
      </c>
      <c r="D217" s="18">
        <v>46211</v>
      </c>
      <c r="E217" s="16" t="s">
        <v>41</v>
      </c>
      <c r="F217" s="16" t="s">
        <v>390</v>
      </c>
      <c r="G217" s="16" t="s">
        <v>391</v>
      </c>
      <c r="H217" s="16" t="s">
        <v>392</v>
      </c>
      <c r="I217" s="16" t="s">
        <v>393</v>
      </c>
      <c r="J217" s="16" t="s">
        <v>397</v>
      </c>
      <c r="K217" s="17" t="s">
        <v>347</v>
      </c>
      <c r="L217" s="16"/>
      <c r="M217" s="19">
        <v>7</v>
      </c>
      <c r="N217" s="16" t="s">
        <v>398</v>
      </c>
      <c r="O217" s="20">
        <v>185</v>
      </c>
      <c r="P217" s="21">
        <f>M217*O217</f>
        <v>1295</v>
      </c>
      <c r="Q217" s="22">
        <v>0.8</v>
      </c>
      <c r="R217" s="21">
        <f>P217*Q217</f>
        <v>1036</v>
      </c>
      <c r="S217" s="21">
        <f>P217-R217</f>
        <v>259</v>
      </c>
      <c r="T217" s="16" t="s">
        <v>387</v>
      </c>
      <c r="U217" s="16" t="s">
        <v>388</v>
      </c>
      <c r="V217" s="16"/>
    </row>
    <row r="218" spans="1:22">
      <c r="A218" s="9" t="s">
        <v>719</v>
      </c>
      <c r="B218" s="10" t="s">
        <v>341</v>
      </c>
      <c r="C218" s="10" t="s">
        <v>342</v>
      </c>
      <c r="D218" s="11">
        <v>46210</v>
      </c>
      <c r="E218" s="9" t="s">
        <v>41</v>
      </c>
      <c r="F218" s="9" t="s">
        <v>400</v>
      </c>
      <c r="G218" s="9" t="s">
        <v>400</v>
      </c>
      <c r="H218" s="9" t="s">
        <v>400</v>
      </c>
      <c r="I218" s="9" t="s">
        <v>401</v>
      </c>
      <c r="J218" s="9" t="s">
        <v>402</v>
      </c>
      <c r="K218" s="10" t="s">
        <v>347</v>
      </c>
      <c r="L218" s="9"/>
      <c r="M218" s="12">
        <v>1</v>
      </c>
      <c r="N218" s="9" t="s">
        <v>403</v>
      </c>
      <c r="O218" s="13">
        <v>95</v>
      </c>
      <c r="P218" s="14">
        <f>M218*O218</f>
        <v>95</v>
      </c>
      <c r="Q218" s="15">
        <v>0.8</v>
      </c>
      <c r="R218" s="14">
        <f>P218*Q218</f>
        <v>76</v>
      </c>
      <c r="S218" s="14">
        <f>P218-R218</f>
        <v>19</v>
      </c>
      <c r="T218" s="9" t="s">
        <v>387</v>
      </c>
      <c r="U218" s="9" t="s">
        <v>388</v>
      </c>
      <c r="V218" s="9"/>
    </row>
    <row r="219" spans="1:22">
      <c r="A219" s="16" t="s">
        <v>720</v>
      </c>
      <c r="B219" s="17" t="s">
        <v>341</v>
      </c>
      <c r="C219" s="17" t="s">
        <v>342</v>
      </c>
      <c r="D219" s="18">
        <v>46210</v>
      </c>
      <c r="E219" s="16" t="s">
        <v>41</v>
      </c>
      <c r="F219" s="16" t="s">
        <v>400</v>
      </c>
      <c r="G219" s="16" t="s">
        <v>400</v>
      </c>
      <c r="H219" s="16" t="s">
        <v>405</v>
      </c>
      <c r="I219" s="16" t="s">
        <v>406</v>
      </c>
      <c r="J219" s="16" t="s">
        <v>407</v>
      </c>
      <c r="K219" s="17" t="s">
        <v>347</v>
      </c>
      <c r="L219" s="16"/>
      <c r="M219" s="19">
        <v>1</v>
      </c>
      <c r="N219" s="16" t="s">
        <v>408</v>
      </c>
      <c r="O219" s="20">
        <v>130</v>
      </c>
      <c r="P219" s="21">
        <f>M219*O219</f>
        <v>130</v>
      </c>
      <c r="Q219" s="22">
        <v>0.8</v>
      </c>
      <c r="R219" s="21">
        <f>P219*Q219</f>
        <v>104</v>
      </c>
      <c r="S219" s="21">
        <f>P219-R219</f>
        <v>26</v>
      </c>
      <c r="T219" s="16" t="s">
        <v>387</v>
      </c>
      <c r="U219" s="16" t="s">
        <v>388</v>
      </c>
      <c r="V219" s="16"/>
    </row>
    <row r="220" spans="1:22">
      <c r="A220" s="9" t="s">
        <v>721</v>
      </c>
      <c r="B220" s="10" t="s">
        <v>341</v>
      </c>
      <c r="C220" s="10" t="s">
        <v>342</v>
      </c>
      <c r="D220" s="11">
        <v>46210</v>
      </c>
      <c r="E220" s="9" t="s">
        <v>41</v>
      </c>
      <c r="F220" s="9" t="s">
        <v>410</v>
      </c>
      <c r="G220" s="9" t="s">
        <v>410</v>
      </c>
      <c r="H220" s="9" t="s">
        <v>410</v>
      </c>
      <c r="I220" s="9" t="s">
        <v>411</v>
      </c>
      <c r="J220" s="9"/>
      <c r="K220" s="10" t="s">
        <v>347</v>
      </c>
      <c r="L220" s="9"/>
      <c r="M220" s="12">
        <v>8</v>
      </c>
      <c r="N220" s="9" t="s">
        <v>386</v>
      </c>
      <c r="O220" s="13">
        <v>420</v>
      </c>
      <c r="P220" s="14">
        <f>M220*O220</f>
        <v>3360</v>
      </c>
      <c r="Q220" s="15">
        <v>0.8</v>
      </c>
      <c r="R220" s="14">
        <f>P220*Q220</f>
        <v>2688</v>
      </c>
      <c r="S220" s="14">
        <f>P220-R220</f>
        <v>672</v>
      </c>
      <c r="T220" s="9" t="s">
        <v>387</v>
      </c>
      <c r="U220" s="9" t="s">
        <v>388</v>
      </c>
      <c r="V220" s="9"/>
    </row>
    <row r="221" spans="1:22">
      <c r="A221" s="16" t="s">
        <v>722</v>
      </c>
      <c r="B221" s="17" t="s">
        <v>341</v>
      </c>
      <c r="C221" s="17" t="s">
        <v>342</v>
      </c>
      <c r="D221" s="18">
        <v>46210</v>
      </c>
      <c r="E221" s="16" t="s">
        <v>41</v>
      </c>
      <c r="F221" s="16" t="s">
        <v>413</v>
      </c>
      <c r="G221" s="16" t="s">
        <v>414</v>
      </c>
      <c r="H221" s="16" t="s">
        <v>415</v>
      </c>
      <c r="I221" s="16" t="s">
        <v>416</v>
      </c>
      <c r="J221" s="16"/>
      <c r="K221" s="17" t="s">
        <v>347</v>
      </c>
      <c r="L221" s="16"/>
      <c r="M221" s="19">
        <v>4</v>
      </c>
      <c r="N221" s="16" t="s">
        <v>417</v>
      </c>
      <c r="O221" s="20">
        <v>350</v>
      </c>
      <c r="P221" s="21">
        <f>M221*O221</f>
        <v>1400</v>
      </c>
      <c r="Q221" s="22">
        <v>0.8</v>
      </c>
      <c r="R221" s="21">
        <f>P221*Q221</f>
        <v>1120</v>
      </c>
      <c r="S221" s="21">
        <f>P221-R221</f>
        <v>280</v>
      </c>
      <c r="T221" s="16" t="s">
        <v>387</v>
      </c>
      <c r="U221" s="16" t="s">
        <v>388</v>
      </c>
      <c r="V221" s="16"/>
    </row>
    <row r="222" spans="1:22">
      <c r="A222" s="9" t="s">
        <v>723</v>
      </c>
      <c r="B222" s="10" t="s">
        <v>341</v>
      </c>
      <c r="C222" s="10" t="s">
        <v>342</v>
      </c>
      <c r="D222" s="11">
        <v>46210</v>
      </c>
      <c r="E222" s="9" t="s">
        <v>41</v>
      </c>
      <c r="F222" s="9" t="s">
        <v>419</v>
      </c>
      <c r="G222" s="9" t="s">
        <v>420</v>
      </c>
      <c r="H222" s="9" t="s">
        <v>460</v>
      </c>
      <c r="I222" s="9" t="s">
        <v>461</v>
      </c>
      <c r="J222" s="9" t="s">
        <v>488</v>
      </c>
      <c r="K222" s="10" t="s">
        <v>347</v>
      </c>
      <c r="L222" s="9"/>
      <c r="M222" s="12">
        <v>1</v>
      </c>
      <c r="N222" s="9" t="s">
        <v>424</v>
      </c>
      <c r="O222" s="13">
        <v>1450</v>
      </c>
      <c r="P222" s="14">
        <f>M222*O222</f>
        <v>1450</v>
      </c>
      <c r="Q222" s="15">
        <v>0.8</v>
      </c>
      <c r="R222" s="14">
        <f>P222*Q222</f>
        <v>1160</v>
      </c>
      <c r="S222" s="14">
        <f>P222-R222</f>
        <v>290</v>
      </c>
      <c r="T222" s="9" t="s">
        <v>387</v>
      </c>
      <c r="U222" s="9" t="s">
        <v>388</v>
      </c>
      <c r="V222" s="9"/>
    </row>
    <row r="223" spans="1:22">
      <c r="A223" s="16" t="s">
        <v>724</v>
      </c>
      <c r="B223" s="17" t="s">
        <v>341</v>
      </c>
      <c r="C223" s="17" t="s">
        <v>342</v>
      </c>
      <c r="D223" s="18">
        <v>46211</v>
      </c>
      <c r="E223" s="16" t="s">
        <v>41</v>
      </c>
      <c r="F223" s="16" t="s">
        <v>464</v>
      </c>
      <c r="G223" s="16" t="s">
        <v>465</v>
      </c>
      <c r="H223" s="16" t="s">
        <v>466</v>
      </c>
      <c r="I223" s="16" t="s">
        <v>467</v>
      </c>
      <c r="J223" s="16" t="s">
        <v>725</v>
      </c>
      <c r="K223" s="17" t="s">
        <v>347</v>
      </c>
      <c r="L223" s="16"/>
      <c r="M223" s="19">
        <v>1</v>
      </c>
      <c r="N223" s="16" t="s">
        <v>468</v>
      </c>
      <c r="O223" s="20">
        <v>3200</v>
      </c>
      <c r="P223" s="21">
        <f>M223*O223</f>
        <v>3200</v>
      </c>
      <c r="Q223" s="22">
        <v>0.8</v>
      </c>
      <c r="R223" s="21">
        <f>P223*Q223</f>
        <v>2560</v>
      </c>
      <c r="S223" s="21">
        <f>P223-R223</f>
        <v>640</v>
      </c>
      <c r="T223" s="16" t="s">
        <v>387</v>
      </c>
      <c r="U223" s="16" t="s">
        <v>388</v>
      </c>
      <c r="V223" s="16"/>
    </row>
    <row r="224" spans="1:22">
      <c r="A224" s="9" t="s">
        <v>726</v>
      </c>
      <c r="B224" s="10" t="s">
        <v>341</v>
      </c>
      <c r="C224" s="10" t="s">
        <v>342</v>
      </c>
      <c r="D224" s="11">
        <v>46211</v>
      </c>
      <c r="E224" s="9" t="s">
        <v>41</v>
      </c>
      <c r="F224" s="9" t="s">
        <v>470</v>
      </c>
      <c r="G224" s="9" t="s">
        <v>471</v>
      </c>
      <c r="H224" s="9" t="s">
        <v>471</v>
      </c>
      <c r="I224" s="9" t="s">
        <v>472</v>
      </c>
      <c r="J224" s="9" t="s">
        <v>563</v>
      </c>
      <c r="K224" s="10" t="s">
        <v>347</v>
      </c>
      <c r="L224" s="9"/>
      <c r="M224" s="12">
        <v>1</v>
      </c>
      <c r="N224" s="9" t="s">
        <v>468</v>
      </c>
      <c r="O224" s="13">
        <v>1250</v>
      </c>
      <c r="P224" s="14">
        <f>M224*O224</f>
        <v>1250</v>
      </c>
      <c r="Q224" s="15">
        <v>0.8</v>
      </c>
      <c r="R224" s="14">
        <f>P224*Q224</f>
        <v>1000</v>
      </c>
      <c r="S224" s="14">
        <f>P224-R224</f>
        <v>250</v>
      </c>
      <c r="T224" s="9" t="s">
        <v>387</v>
      </c>
      <c r="U224" s="9" t="s">
        <v>388</v>
      </c>
      <c r="V224" s="9"/>
    </row>
    <row r="225" spans="1:22">
      <c r="A225" s="16" t="s">
        <v>727</v>
      </c>
      <c r="B225" s="17" t="s">
        <v>341</v>
      </c>
      <c r="C225" s="17" t="s">
        <v>342</v>
      </c>
      <c r="D225" s="18">
        <v>46211</v>
      </c>
      <c r="E225" s="16" t="s">
        <v>41</v>
      </c>
      <c r="F225" s="16" t="s">
        <v>475</v>
      </c>
      <c r="G225" s="16" t="s">
        <v>476</v>
      </c>
      <c r="H225" s="16" t="s">
        <v>477</v>
      </c>
      <c r="I225" s="16" t="s">
        <v>478</v>
      </c>
      <c r="J225" s="16"/>
      <c r="K225" s="17" t="s">
        <v>347</v>
      </c>
      <c r="L225" s="16"/>
      <c r="M225" s="19">
        <v>1</v>
      </c>
      <c r="N225" s="16" t="s">
        <v>479</v>
      </c>
      <c r="O225" s="20">
        <v>5800</v>
      </c>
      <c r="P225" s="21">
        <f>M225*O225</f>
        <v>5800</v>
      </c>
      <c r="Q225" s="22">
        <v>0.8</v>
      </c>
      <c r="R225" s="21">
        <f>P225*Q225</f>
        <v>4640</v>
      </c>
      <c r="S225" s="21">
        <f>P225-R225</f>
        <v>1160</v>
      </c>
      <c r="T225" s="16" t="s">
        <v>387</v>
      </c>
      <c r="U225" s="16" t="s">
        <v>388</v>
      </c>
      <c r="V225" s="16"/>
    </row>
    <row r="226" spans="1:22">
      <c r="A226" s="9" t="s">
        <v>728</v>
      </c>
      <c r="B226" s="10" t="s">
        <v>341</v>
      </c>
      <c r="C226" s="10" t="s">
        <v>342</v>
      </c>
      <c r="D226" s="11">
        <v>46212</v>
      </c>
      <c r="E226" s="9" t="s">
        <v>41</v>
      </c>
      <c r="F226" s="9" t="s">
        <v>729</v>
      </c>
      <c r="G226" s="9" t="s">
        <v>729</v>
      </c>
      <c r="H226" s="9" t="s">
        <v>730</v>
      </c>
      <c r="I226" s="9" t="s">
        <v>731</v>
      </c>
      <c r="J226" s="9" t="s">
        <v>732</v>
      </c>
      <c r="K226" s="10" t="s">
        <v>347</v>
      </c>
      <c r="L226" s="9"/>
      <c r="M226" s="12">
        <v>1</v>
      </c>
      <c r="N226" s="9" t="s">
        <v>733</v>
      </c>
      <c r="O226" s="13">
        <v>680</v>
      </c>
      <c r="P226" s="14">
        <f>M226*O226</f>
        <v>680</v>
      </c>
      <c r="Q226" s="15">
        <v>0.8</v>
      </c>
      <c r="R226" s="14">
        <f>P226*Q226</f>
        <v>544</v>
      </c>
      <c r="S226" s="14">
        <f>P226-R226</f>
        <v>136</v>
      </c>
      <c r="T226" s="9" t="s">
        <v>387</v>
      </c>
      <c r="U226" s="9" t="s">
        <v>388</v>
      </c>
      <c r="V226" s="9"/>
    </row>
    <row r="227" spans="1:22">
      <c r="A227" s="16" t="s">
        <v>734</v>
      </c>
      <c r="B227" s="17" t="s">
        <v>353</v>
      </c>
      <c r="C227" s="17" t="s">
        <v>354</v>
      </c>
      <c r="D227" s="18">
        <v>46218</v>
      </c>
      <c r="E227" s="16" t="s">
        <v>41</v>
      </c>
      <c r="F227" s="16" t="s">
        <v>113</v>
      </c>
      <c r="G227" s="16" t="s">
        <v>384</v>
      </c>
      <c r="H227" s="16" t="s">
        <v>384</v>
      </c>
      <c r="I227" s="16" t="s">
        <v>385</v>
      </c>
      <c r="J227" s="16"/>
      <c r="K227" s="17" t="s">
        <v>358</v>
      </c>
      <c r="L227" s="16"/>
      <c r="M227" s="19">
        <v>5</v>
      </c>
      <c r="N227" s="16" t="s">
        <v>386</v>
      </c>
      <c r="O227" s="20">
        <v>795.6</v>
      </c>
      <c r="P227" s="21">
        <f>M227*O227</f>
        <v>3978</v>
      </c>
      <c r="Q227" s="22">
        <v>0.85</v>
      </c>
      <c r="R227" s="21">
        <f>P227*Q227</f>
        <v>3381.2999999999997</v>
      </c>
      <c r="S227" s="21">
        <f>P227-R227</f>
        <v>596.70000000000027</v>
      </c>
      <c r="T227" s="16" t="s">
        <v>387</v>
      </c>
      <c r="U227" s="16" t="s">
        <v>388</v>
      </c>
      <c r="V227" s="16"/>
    </row>
    <row r="228" spans="1:22">
      <c r="A228" s="9" t="s">
        <v>735</v>
      </c>
      <c r="B228" s="10" t="s">
        <v>353</v>
      </c>
      <c r="C228" s="10" t="s">
        <v>354</v>
      </c>
      <c r="D228" s="11">
        <v>46218</v>
      </c>
      <c r="E228" s="9" t="s">
        <v>41</v>
      </c>
      <c r="F228" s="9" t="s">
        <v>390</v>
      </c>
      <c r="G228" s="9" t="s">
        <v>391</v>
      </c>
      <c r="H228" s="9" t="s">
        <v>392</v>
      </c>
      <c r="I228" s="9" t="s">
        <v>393</v>
      </c>
      <c r="J228" s="9" t="s">
        <v>394</v>
      </c>
      <c r="K228" s="10" t="s">
        <v>358</v>
      </c>
      <c r="L228" s="9"/>
      <c r="M228" s="12">
        <v>1</v>
      </c>
      <c r="N228" s="9" t="s">
        <v>395</v>
      </c>
      <c r="O228" s="13">
        <v>316.2</v>
      </c>
      <c r="P228" s="14">
        <f>M228*O228</f>
        <v>316.2</v>
      </c>
      <c r="Q228" s="15">
        <v>0.85</v>
      </c>
      <c r="R228" s="14">
        <f>P228*Q228</f>
        <v>268.77</v>
      </c>
      <c r="S228" s="14">
        <f>P228-R228</f>
        <v>47.430000000000007</v>
      </c>
      <c r="T228" s="9" t="s">
        <v>387</v>
      </c>
      <c r="U228" s="9" t="s">
        <v>388</v>
      </c>
      <c r="V228" s="9"/>
    </row>
    <row r="229" spans="1:22">
      <c r="A229" s="16" t="s">
        <v>736</v>
      </c>
      <c r="B229" s="17" t="s">
        <v>353</v>
      </c>
      <c r="C229" s="17" t="s">
        <v>354</v>
      </c>
      <c r="D229" s="18">
        <v>46219</v>
      </c>
      <c r="E229" s="16" t="s">
        <v>41</v>
      </c>
      <c r="F229" s="16" t="s">
        <v>390</v>
      </c>
      <c r="G229" s="16" t="s">
        <v>391</v>
      </c>
      <c r="H229" s="16" t="s">
        <v>392</v>
      </c>
      <c r="I229" s="16" t="s">
        <v>393</v>
      </c>
      <c r="J229" s="16" t="s">
        <v>397</v>
      </c>
      <c r="K229" s="17" t="s">
        <v>358</v>
      </c>
      <c r="L229" s="16"/>
      <c r="M229" s="19">
        <v>4</v>
      </c>
      <c r="N229" s="16" t="s">
        <v>398</v>
      </c>
      <c r="O229" s="20">
        <v>188.7</v>
      </c>
      <c r="P229" s="21">
        <f>M229*O229</f>
        <v>754.8</v>
      </c>
      <c r="Q229" s="22">
        <v>0.85</v>
      </c>
      <c r="R229" s="21">
        <f>P229*Q229</f>
        <v>641.57999999999993</v>
      </c>
      <c r="S229" s="21">
        <f>P229-R229</f>
        <v>113.22000000000003</v>
      </c>
      <c r="T229" s="16" t="s">
        <v>387</v>
      </c>
      <c r="U229" s="16" t="s">
        <v>388</v>
      </c>
      <c r="V229" s="16"/>
    </row>
    <row r="230" spans="1:22">
      <c r="A230" s="9" t="s">
        <v>737</v>
      </c>
      <c r="B230" s="10" t="s">
        <v>353</v>
      </c>
      <c r="C230" s="10" t="s">
        <v>354</v>
      </c>
      <c r="D230" s="11">
        <v>46218</v>
      </c>
      <c r="E230" s="9" t="s">
        <v>41</v>
      </c>
      <c r="F230" s="9" t="s">
        <v>400</v>
      </c>
      <c r="G230" s="9" t="s">
        <v>400</v>
      </c>
      <c r="H230" s="9" t="s">
        <v>400</v>
      </c>
      <c r="I230" s="9" t="s">
        <v>401</v>
      </c>
      <c r="J230" s="9" t="s">
        <v>402</v>
      </c>
      <c r="K230" s="10" t="s">
        <v>358</v>
      </c>
      <c r="L230" s="9"/>
      <c r="M230" s="12">
        <v>1</v>
      </c>
      <c r="N230" s="9" t="s">
        <v>403</v>
      </c>
      <c r="O230" s="13">
        <v>96.9</v>
      </c>
      <c r="P230" s="14">
        <f>M230*O230</f>
        <v>96.9</v>
      </c>
      <c r="Q230" s="15">
        <v>0.85</v>
      </c>
      <c r="R230" s="14">
        <f>P230*Q230</f>
        <v>82.365000000000009</v>
      </c>
      <c r="S230" s="14">
        <f>P230-R230</f>
        <v>14.534999999999997</v>
      </c>
      <c r="T230" s="9" t="s">
        <v>387</v>
      </c>
      <c r="U230" s="9" t="s">
        <v>388</v>
      </c>
      <c r="V230" s="9"/>
    </row>
    <row r="231" spans="1:22">
      <c r="A231" s="16" t="s">
        <v>738</v>
      </c>
      <c r="B231" s="17" t="s">
        <v>353</v>
      </c>
      <c r="C231" s="17" t="s">
        <v>354</v>
      </c>
      <c r="D231" s="18">
        <v>46218</v>
      </c>
      <c r="E231" s="16" t="s">
        <v>41</v>
      </c>
      <c r="F231" s="16" t="s">
        <v>400</v>
      </c>
      <c r="G231" s="16" t="s">
        <v>400</v>
      </c>
      <c r="H231" s="16" t="s">
        <v>405</v>
      </c>
      <c r="I231" s="16" t="s">
        <v>406</v>
      </c>
      <c r="J231" s="16" t="s">
        <v>407</v>
      </c>
      <c r="K231" s="17" t="s">
        <v>358</v>
      </c>
      <c r="L231" s="16"/>
      <c r="M231" s="19">
        <v>1</v>
      </c>
      <c r="N231" s="16" t="s">
        <v>408</v>
      </c>
      <c r="O231" s="20">
        <v>132.6</v>
      </c>
      <c r="P231" s="21">
        <f>M231*O231</f>
        <v>132.6</v>
      </c>
      <c r="Q231" s="22">
        <v>0.85</v>
      </c>
      <c r="R231" s="21">
        <f>P231*Q231</f>
        <v>112.71</v>
      </c>
      <c r="S231" s="21">
        <f>P231-R231</f>
        <v>19.89</v>
      </c>
      <c r="T231" s="16" t="s">
        <v>387</v>
      </c>
      <c r="U231" s="16" t="s">
        <v>388</v>
      </c>
      <c r="V231" s="16"/>
    </row>
    <row r="232" spans="1:22">
      <c r="A232" s="9" t="s">
        <v>739</v>
      </c>
      <c r="B232" s="10" t="s">
        <v>353</v>
      </c>
      <c r="C232" s="10" t="s">
        <v>354</v>
      </c>
      <c r="D232" s="11">
        <v>46218</v>
      </c>
      <c r="E232" s="9" t="s">
        <v>41</v>
      </c>
      <c r="F232" s="9" t="s">
        <v>410</v>
      </c>
      <c r="G232" s="9" t="s">
        <v>410</v>
      </c>
      <c r="H232" s="9" t="s">
        <v>410</v>
      </c>
      <c r="I232" s="9" t="s">
        <v>411</v>
      </c>
      <c r="J232" s="9"/>
      <c r="K232" s="10" t="s">
        <v>358</v>
      </c>
      <c r="L232" s="9"/>
      <c r="M232" s="12">
        <v>5</v>
      </c>
      <c r="N232" s="9" t="s">
        <v>386</v>
      </c>
      <c r="O232" s="13">
        <v>428.4</v>
      </c>
      <c r="P232" s="14">
        <f>M232*O232</f>
        <v>2142</v>
      </c>
      <c r="Q232" s="15">
        <v>0.85</v>
      </c>
      <c r="R232" s="14">
        <f>P232*Q232</f>
        <v>1820.7</v>
      </c>
      <c r="S232" s="14">
        <f>P232-R232</f>
        <v>321.29999999999995</v>
      </c>
      <c r="T232" s="9" t="s">
        <v>387</v>
      </c>
      <c r="U232" s="9" t="s">
        <v>388</v>
      </c>
      <c r="V232" s="9"/>
    </row>
    <row r="233" spans="1:22">
      <c r="A233" s="16" t="s">
        <v>740</v>
      </c>
      <c r="B233" s="17" t="s">
        <v>353</v>
      </c>
      <c r="C233" s="17" t="s">
        <v>354</v>
      </c>
      <c r="D233" s="18">
        <v>46218</v>
      </c>
      <c r="E233" s="16" t="s">
        <v>41</v>
      </c>
      <c r="F233" s="16" t="s">
        <v>413</v>
      </c>
      <c r="G233" s="16" t="s">
        <v>414</v>
      </c>
      <c r="H233" s="16" t="s">
        <v>415</v>
      </c>
      <c r="I233" s="16" t="s">
        <v>416</v>
      </c>
      <c r="J233" s="16"/>
      <c r="K233" s="17" t="s">
        <v>358</v>
      </c>
      <c r="L233" s="16"/>
      <c r="M233" s="19">
        <v>2</v>
      </c>
      <c r="N233" s="16" t="s">
        <v>417</v>
      </c>
      <c r="O233" s="20">
        <v>357</v>
      </c>
      <c r="P233" s="21">
        <f>M233*O233</f>
        <v>714</v>
      </c>
      <c r="Q233" s="22">
        <v>0.85</v>
      </c>
      <c r="R233" s="21">
        <f>P233*Q233</f>
        <v>606.9</v>
      </c>
      <c r="S233" s="21">
        <f>P233-R233</f>
        <v>107.10000000000002</v>
      </c>
      <c r="T233" s="16" t="s">
        <v>387</v>
      </c>
      <c r="U233" s="16" t="s">
        <v>388</v>
      </c>
      <c r="V233" s="16"/>
    </row>
    <row r="234" spans="1:22">
      <c r="A234" s="9" t="s">
        <v>741</v>
      </c>
      <c r="B234" s="10" t="s">
        <v>353</v>
      </c>
      <c r="C234" s="10" t="s">
        <v>354</v>
      </c>
      <c r="D234" s="11">
        <v>46218</v>
      </c>
      <c r="E234" s="9" t="s">
        <v>41</v>
      </c>
      <c r="F234" s="9" t="s">
        <v>419</v>
      </c>
      <c r="G234" s="9" t="s">
        <v>420</v>
      </c>
      <c r="H234" s="9" t="s">
        <v>421</v>
      </c>
      <c r="I234" s="9" t="s">
        <v>422</v>
      </c>
      <c r="J234" s="9" t="s">
        <v>423</v>
      </c>
      <c r="K234" s="10" t="s">
        <v>358</v>
      </c>
      <c r="L234" s="9"/>
      <c r="M234" s="12">
        <v>1</v>
      </c>
      <c r="N234" s="9" t="s">
        <v>424</v>
      </c>
      <c r="O234" s="13">
        <v>214.2</v>
      </c>
      <c r="P234" s="14">
        <f>M234*O234</f>
        <v>214.2</v>
      </c>
      <c r="Q234" s="15">
        <v>0.85</v>
      </c>
      <c r="R234" s="14">
        <f>P234*Q234</f>
        <v>182.07</v>
      </c>
      <c r="S234" s="14">
        <f>P234-R234</f>
        <v>32.129999999999995</v>
      </c>
      <c r="T234" s="9" t="s">
        <v>387</v>
      </c>
      <c r="U234" s="9" t="s">
        <v>388</v>
      </c>
      <c r="V234" s="9"/>
    </row>
    <row r="235" spans="1:22">
      <c r="A235" s="16" t="s">
        <v>742</v>
      </c>
      <c r="B235" s="17" t="s">
        <v>353</v>
      </c>
      <c r="C235" s="17" t="s">
        <v>354</v>
      </c>
      <c r="D235" s="18">
        <v>46219</v>
      </c>
      <c r="E235" s="16" t="s">
        <v>41</v>
      </c>
      <c r="F235" s="16" t="s">
        <v>464</v>
      </c>
      <c r="G235" s="16" t="s">
        <v>465</v>
      </c>
      <c r="H235" s="16" t="s">
        <v>466</v>
      </c>
      <c r="I235" s="16" t="s">
        <v>467</v>
      </c>
      <c r="J235" s="16" t="s">
        <v>743</v>
      </c>
      <c r="K235" s="17" t="s">
        <v>358</v>
      </c>
      <c r="L235" s="16"/>
      <c r="M235" s="19">
        <v>1</v>
      </c>
      <c r="N235" s="16" t="s">
        <v>468</v>
      </c>
      <c r="O235" s="20">
        <v>3264</v>
      </c>
      <c r="P235" s="21">
        <f>M235*O235</f>
        <v>3264</v>
      </c>
      <c r="Q235" s="22">
        <v>0.85</v>
      </c>
      <c r="R235" s="21">
        <f>P235*Q235</f>
        <v>2774.4</v>
      </c>
      <c r="S235" s="21">
        <f>P235-R235</f>
        <v>489.59999999999991</v>
      </c>
      <c r="T235" s="16" t="s">
        <v>387</v>
      </c>
      <c r="U235" s="16" t="s">
        <v>388</v>
      </c>
      <c r="V235" s="16"/>
    </row>
    <row r="236" spans="1:22">
      <c r="A236" s="9" t="s">
        <v>744</v>
      </c>
      <c r="B236" s="10" t="s">
        <v>353</v>
      </c>
      <c r="C236" s="10" t="s">
        <v>354</v>
      </c>
      <c r="D236" s="11">
        <v>46219</v>
      </c>
      <c r="E236" s="9" t="s">
        <v>41</v>
      </c>
      <c r="F236" s="9" t="s">
        <v>470</v>
      </c>
      <c r="G236" s="9" t="s">
        <v>471</v>
      </c>
      <c r="H236" s="9" t="s">
        <v>471</v>
      </c>
      <c r="I236" s="9" t="s">
        <v>472</v>
      </c>
      <c r="J236" s="9" t="s">
        <v>500</v>
      </c>
      <c r="K236" s="10" t="s">
        <v>358</v>
      </c>
      <c r="L236" s="9"/>
      <c r="M236" s="12">
        <v>1</v>
      </c>
      <c r="N236" s="9" t="s">
        <v>468</v>
      </c>
      <c r="O236" s="13">
        <v>1275</v>
      </c>
      <c r="P236" s="14">
        <f>M236*O236</f>
        <v>1275</v>
      </c>
      <c r="Q236" s="15">
        <v>0.85</v>
      </c>
      <c r="R236" s="14">
        <f>P236*Q236</f>
        <v>1083.75</v>
      </c>
      <c r="S236" s="14">
        <f>P236-R236</f>
        <v>191.25</v>
      </c>
      <c r="T236" s="9" t="s">
        <v>387</v>
      </c>
      <c r="U236" s="9" t="s">
        <v>388</v>
      </c>
      <c r="V236" s="9"/>
    </row>
    <row r="237" spans="1:22">
      <c r="A237" s="16" t="s">
        <v>745</v>
      </c>
      <c r="B237" s="17" t="s">
        <v>353</v>
      </c>
      <c r="C237" s="17" t="s">
        <v>354</v>
      </c>
      <c r="D237" s="18">
        <v>46219</v>
      </c>
      <c r="E237" s="16" t="s">
        <v>41</v>
      </c>
      <c r="F237" s="16" t="s">
        <v>475</v>
      </c>
      <c r="G237" s="16" t="s">
        <v>476</v>
      </c>
      <c r="H237" s="16" t="s">
        <v>477</v>
      </c>
      <c r="I237" s="16" t="s">
        <v>478</v>
      </c>
      <c r="J237" s="16"/>
      <c r="K237" s="17" t="s">
        <v>358</v>
      </c>
      <c r="L237" s="16"/>
      <c r="M237" s="19">
        <v>1</v>
      </c>
      <c r="N237" s="16" t="s">
        <v>479</v>
      </c>
      <c r="O237" s="20">
        <v>5916</v>
      </c>
      <c r="P237" s="21">
        <f>M237*O237</f>
        <v>5916</v>
      </c>
      <c r="Q237" s="22">
        <v>0.85</v>
      </c>
      <c r="R237" s="21">
        <f>P237*Q237</f>
        <v>5028.5999999999995</v>
      </c>
      <c r="S237" s="21">
        <f>P237-R237</f>
        <v>887.40000000000055</v>
      </c>
      <c r="T237" s="16" t="s">
        <v>387</v>
      </c>
      <c r="U237" s="16" t="s">
        <v>388</v>
      </c>
      <c r="V237" s="16"/>
    </row>
  </sheetData>
  <conditionalFormatting sqref="U2:U237">
    <cfRule type="expression" dxfId="0" priority="1">
      <formula>U2="REVIEW"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F929-17F9-4689-B684-D7E83F8BA5B3}">
  <dimension ref="A1:I92"/>
  <sheetViews>
    <sheetView tabSelected="1" workbookViewId="0">
      <selection activeCell="D1" sqref="D1:D1048576"/>
    </sheetView>
  </sheetViews>
  <sheetFormatPr defaultRowHeight="15"/>
  <cols>
    <col min="1" max="1" width="23.28515625" customWidth="1"/>
    <col min="2" max="2" width="20.140625" customWidth="1"/>
    <col min="3" max="3" width="33.28515625" customWidth="1"/>
    <col min="4" max="4" width="23.42578125" customWidth="1"/>
    <col min="5" max="5" width="39.42578125" customWidth="1"/>
    <col min="6" max="6" width="24.85546875" customWidth="1"/>
    <col min="7" max="7" width="31.28515625" customWidth="1"/>
    <col min="8" max="8" width="23.140625" customWidth="1"/>
    <col min="9" max="9" width="25.140625" customWidth="1"/>
  </cols>
  <sheetData>
    <row r="1" spans="1:9" ht="91.5">
      <c r="A1" s="1" t="s">
        <v>746</v>
      </c>
      <c r="B1" s="1" t="s">
        <v>747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</row>
    <row r="2" spans="1:9" ht="113.25">
      <c r="A2" s="24" t="s">
        <v>755</v>
      </c>
      <c r="B2" s="25" t="s">
        <v>198</v>
      </c>
      <c r="C2" s="24" t="s">
        <v>199</v>
      </c>
      <c r="D2" s="24" t="s">
        <v>756</v>
      </c>
      <c r="E2" s="24" t="s">
        <v>757</v>
      </c>
      <c r="F2" s="24">
        <v>1</v>
      </c>
      <c r="G2" s="26" t="s">
        <v>193</v>
      </c>
      <c r="H2" s="27" t="s">
        <v>758</v>
      </c>
      <c r="I2" s="24" t="s">
        <v>759</v>
      </c>
    </row>
    <row r="3" spans="1:9" ht="113.25">
      <c r="A3" s="24" t="s">
        <v>755</v>
      </c>
      <c r="B3" s="25" t="s">
        <v>347</v>
      </c>
      <c r="C3" s="24" t="s">
        <v>348</v>
      </c>
      <c r="D3" s="24" t="s">
        <v>760</v>
      </c>
      <c r="E3" s="24" t="s">
        <v>761</v>
      </c>
      <c r="F3" s="24">
        <v>1</v>
      </c>
      <c r="G3" s="26" t="s">
        <v>342</v>
      </c>
      <c r="H3" s="27" t="s">
        <v>758</v>
      </c>
      <c r="I3" s="24" t="s">
        <v>759</v>
      </c>
    </row>
    <row r="4" spans="1:9" ht="113.25">
      <c r="A4" s="24" t="s">
        <v>755</v>
      </c>
      <c r="B4" s="25" t="s">
        <v>335</v>
      </c>
      <c r="C4" s="24" t="s">
        <v>762</v>
      </c>
      <c r="D4" s="24" t="s">
        <v>763</v>
      </c>
      <c r="E4" s="24" t="s">
        <v>764</v>
      </c>
      <c r="F4" s="24">
        <v>1</v>
      </c>
      <c r="G4" s="26" t="s">
        <v>331</v>
      </c>
      <c r="H4" s="27" t="s">
        <v>758</v>
      </c>
      <c r="I4" s="24" t="s">
        <v>759</v>
      </c>
    </row>
    <row r="5" spans="1:9" ht="189">
      <c r="A5" s="24" t="s">
        <v>755</v>
      </c>
      <c r="B5" s="25" t="s">
        <v>137</v>
      </c>
      <c r="C5" s="24" t="s">
        <v>765</v>
      </c>
      <c r="D5" s="24" t="s">
        <v>763</v>
      </c>
      <c r="E5" s="24" t="s">
        <v>766</v>
      </c>
      <c r="F5" s="24">
        <v>5</v>
      </c>
      <c r="G5" s="26" t="s">
        <v>767</v>
      </c>
      <c r="H5" s="27" t="s">
        <v>758</v>
      </c>
      <c r="I5" s="24" t="s">
        <v>759</v>
      </c>
    </row>
    <row r="6" spans="1:9" ht="113.25">
      <c r="A6" s="24" t="s">
        <v>755</v>
      </c>
      <c r="B6" s="25" t="s">
        <v>149</v>
      </c>
      <c r="C6" s="24" t="s">
        <v>150</v>
      </c>
      <c r="D6" s="24" t="s">
        <v>768</v>
      </c>
      <c r="E6" s="24" t="s">
        <v>769</v>
      </c>
      <c r="F6" s="24">
        <v>1</v>
      </c>
      <c r="G6" s="26" t="s">
        <v>143</v>
      </c>
      <c r="H6" s="27" t="s">
        <v>758</v>
      </c>
      <c r="I6" s="24" t="s">
        <v>759</v>
      </c>
    </row>
    <row r="7" spans="1:9" ht="113.25">
      <c r="A7" s="24" t="s">
        <v>755</v>
      </c>
      <c r="B7" s="25" t="s">
        <v>151</v>
      </c>
      <c r="C7" s="24" t="s">
        <v>770</v>
      </c>
      <c r="D7" s="24" t="s">
        <v>771</v>
      </c>
      <c r="E7" s="24" t="s">
        <v>772</v>
      </c>
      <c r="F7" s="24">
        <v>2</v>
      </c>
      <c r="G7" s="26" t="s">
        <v>773</v>
      </c>
      <c r="H7" s="27" t="s">
        <v>758</v>
      </c>
      <c r="I7" s="24" t="s">
        <v>759</v>
      </c>
    </row>
    <row r="8" spans="1:9" ht="113.25">
      <c r="A8" s="24" t="s">
        <v>755</v>
      </c>
      <c r="B8" s="25" t="s">
        <v>68</v>
      </c>
      <c r="C8" s="24" t="s">
        <v>774</v>
      </c>
      <c r="D8" s="24" t="s">
        <v>775</v>
      </c>
      <c r="E8" s="24" t="s">
        <v>776</v>
      </c>
      <c r="F8" s="24">
        <v>3</v>
      </c>
      <c r="G8" s="26" t="s">
        <v>777</v>
      </c>
      <c r="H8" s="27" t="s">
        <v>758</v>
      </c>
      <c r="I8" s="24" t="s">
        <v>759</v>
      </c>
    </row>
    <row r="9" spans="1:9" ht="113.25">
      <c r="A9" s="24" t="s">
        <v>755</v>
      </c>
      <c r="B9" s="25" t="s">
        <v>302</v>
      </c>
      <c r="C9" s="24" t="s">
        <v>303</v>
      </c>
      <c r="D9" s="24" t="s">
        <v>778</v>
      </c>
      <c r="E9" s="24" t="s">
        <v>779</v>
      </c>
      <c r="F9" s="24">
        <v>1</v>
      </c>
      <c r="G9" s="26" t="s">
        <v>297</v>
      </c>
      <c r="H9" s="27" t="s">
        <v>758</v>
      </c>
      <c r="I9" s="24" t="s">
        <v>759</v>
      </c>
    </row>
    <row r="10" spans="1:9" ht="138.75">
      <c r="A10" s="24" t="s">
        <v>755</v>
      </c>
      <c r="B10" s="25" t="s">
        <v>266</v>
      </c>
      <c r="C10" s="24" t="s">
        <v>267</v>
      </c>
      <c r="D10" s="24" t="s">
        <v>780</v>
      </c>
      <c r="E10" s="24" t="s">
        <v>781</v>
      </c>
      <c r="F10" s="24">
        <v>1</v>
      </c>
      <c r="G10" s="26" t="s">
        <v>261</v>
      </c>
      <c r="H10" s="27" t="s">
        <v>758</v>
      </c>
      <c r="I10" s="24" t="s">
        <v>759</v>
      </c>
    </row>
    <row r="11" spans="1:9" ht="126">
      <c r="A11" s="24" t="s">
        <v>755</v>
      </c>
      <c r="B11" s="25" t="s">
        <v>47</v>
      </c>
      <c r="C11" s="24" t="s">
        <v>782</v>
      </c>
      <c r="D11" s="24" t="s">
        <v>443</v>
      </c>
      <c r="E11" s="24" t="s">
        <v>783</v>
      </c>
      <c r="F11" s="24">
        <v>3</v>
      </c>
      <c r="G11" s="26" t="s">
        <v>784</v>
      </c>
      <c r="H11" s="27" t="s">
        <v>758</v>
      </c>
      <c r="I11" s="24" t="s">
        <v>759</v>
      </c>
    </row>
    <row r="12" spans="1:9" ht="138.75">
      <c r="A12" s="24" t="s">
        <v>755</v>
      </c>
      <c r="B12" s="25" t="s">
        <v>135</v>
      </c>
      <c r="C12" s="24" t="s">
        <v>136</v>
      </c>
      <c r="D12" s="24" t="s">
        <v>443</v>
      </c>
      <c r="E12" s="24" t="s">
        <v>785</v>
      </c>
      <c r="F12" s="24">
        <v>1</v>
      </c>
      <c r="G12" s="26" t="s">
        <v>128</v>
      </c>
      <c r="H12" s="27" t="s">
        <v>758</v>
      </c>
      <c r="I12" s="24" t="s">
        <v>759</v>
      </c>
    </row>
    <row r="13" spans="1:9" ht="126">
      <c r="A13" s="24" t="s">
        <v>755</v>
      </c>
      <c r="B13" s="25" t="s">
        <v>66</v>
      </c>
      <c r="C13" s="24" t="s">
        <v>67</v>
      </c>
      <c r="D13" s="24" t="s">
        <v>443</v>
      </c>
      <c r="E13" s="24" t="s">
        <v>786</v>
      </c>
      <c r="F13" s="24">
        <v>1</v>
      </c>
      <c r="G13" s="26" t="s">
        <v>58</v>
      </c>
      <c r="H13" s="27" t="s">
        <v>758</v>
      </c>
      <c r="I13" s="24" t="s">
        <v>759</v>
      </c>
    </row>
    <row r="14" spans="1:9" ht="113.25">
      <c r="A14" s="24" t="s">
        <v>755</v>
      </c>
      <c r="B14" s="25" t="s">
        <v>210</v>
      </c>
      <c r="C14" s="24" t="s">
        <v>211</v>
      </c>
      <c r="D14" s="24" t="s">
        <v>780</v>
      </c>
      <c r="E14" s="24" t="s">
        <v>787</v>
      </c>
      <c r="F14" s="24">
        <v>1</v>
      </c>
      <c r="G14" s="26" t="s">
        <v>205</v>
      </c>
      <c r="H14" s="27" t="s">
        <v>758</v>
      </c>
      <c r="I14" s="24" t="s">
        <v>759</v>
      </c>
    </row>
    <row r="15" spans="1:9" ht="113.25">
      <c r="A15" s="24" t="s">
        <v>755</v>
      </c>
      <c r="B15" s="25" t="s">
        <v>45</v>
      </c>
      <c r="C15" s="24" t="s">
        <v>46</v>
      </c>
      <c r="D15" s="24" t="s">
        <v>788</v>
      </c>
      <c r="E15" s="24" t="s">
        <v>789</v>
      </c>
      <c r="F15" s="24">
        <v>1</v>
      </c>
      <c r="G15" s="26" t="s">
        <v>32</v>
      </c>
      <c r="H15" s="27" t="s">
        <v>758</v>
      </c>
      <c r="I15" s="24" t="s">
        <v>759</v>
      </c>
    </row>
    <row r="16" spans="1:9" ht="113.25">
      <c r="A16" s="24" t="s">
        <v>755</v>
      </c>
      <c r="B16" s="25" t="s">
        <v>186</v>
      </c>
      <c r="C16" s="24" t="s">
        <v>187</v>
      </c>
      <c r="D16" s="24" t="s">
        <v>790</v>
      </c>
      <c r="E16" s="24" t="s">
        <v>791</v>
      </c>
      <c r="F16" s="24">
        <v>1</v>
      </c>
      <c r="G16" s="26" t="s">
        <v>181</v>
      </c>
      <c r="H16" s="27" t="s">
        <v>758</v>
      </c>
      <c r="I16" s="24" t="s">
        <v>759</v>
      </c>
    </row>
    <row r="17" spans="1:9" ht="126">
      <c r="A17" s="24" t="s">
        <v>755</v>
      </c>
      <c r="B17" s="25" t="s">
        <v>100</v>
      </c>
      <c r="C17" s="24" t="s">
        <v>792</v>
      </c>
      <c r="D17" s="24" t="s">
        <v>790</v>
      </c>
      <c r="E17" s="24" t="s">
        <v>793</v>
      </c>
      <c r="F17" s="24">
        <v>3</v>
      </c>
      <c r="G17" s="26" t="s">
        <v>794</v>
      </c>
      <c r="H17" s="27" t="s">
        <v>758</v>
      </c>
      <c r="I17" s="24" t="s">
        <v>759</v>
      </c>
    </row>
    <row r="18" spans="1:9" ht="126">
      <c r="A18" s="24" t="s">
        <v>755</v>
      </c>
      <c r="B18" s="25" t="s">
        <v>243</v>
      </c>
      <c r="C18" s="24" t="s">
        <v>244</v>
      </c>
      <c r="D18" s="24" t="s">
        <v>795</v>
      </c>
      <c r="E18" s="24" t="s">
        <v>796</v>
      </c>
      <c r="F18" s="24">
        <v>1</v>
      </c>
      <c r="G18" s="26" t="s">
        <v>239</v>
      </c>
      <c r="H18" s="27" t="s">
        <v>758</v>
      </c>
      <c r="I18" s="24" t="s">
        <v>759</v>
      </c>
    </row>
    <row r="19" spans="1:9" ht="113.25">
      <c r="A19" s="24" t="s">
        <v>755</v>
      </c>
      <c r="B19" s="25" t="s">
        <v>83</v>
      </c>
      <c r="C19" s="24" t="s">
        <v>797</v>
      </c>
      <c r="D19" s="24" t="s">
        <v>798</v>
      </c>
      <c r="E19" s="24" t="s">
        <v>799</v>
      </c>
      <c r="F19" s="24">
        <v>1</v>
      </c>
      <c r="G19" s="26" t="s">
        <v>76</v>
      </c>
      <c r="H19" s="27" t="s">
        <v>758</v>
      </c>
      <c r="I19" s="24" t="s">
        <v>759</v>
      </c>
    </row>
    <row r="20" spans="1:9" ht="113.25">
      <c r="A20" s="24" t="s">
        <v>755</v>
      </c>
      <c r="B20" s="25" t="s">
        <v>313</v>
      </c>
      <c r="C20" s="24" t="s">
        <v>800</v>
      </c>
      <c r="D20" s="24" t="s">
        <v>798</v>
      </c>
      <c r="E20" s="24" t="s">
        <v>801</v>
      </c>
      <c r="F20" s="24">
        <v>1</v>
      </c>
      <c r="G20" s="26" t="s">
        <v>309</v>
      </c>
      <c r="H20" s="27" t="s">
        <v>758</v>
      </c>
      <c r="I20" s="24" t="s">
        <v>759</v>
      </c>
    </row>
    <row r="21" spans="1:9" ht="113.25">
      <c r="A21" s="24" t="s">
        <v>755</v>
      </c>
      <c r="B21" s="25" t="s">
        <v>173</v>
      </c>
      <c r="C21" s="24" t="s">
        <v>802</v>
      </c>
      <c r="D21" s="24" t="s">
        <v>798</v>
      </c>
      <c r="E21" s="24" t="s">
        <v>803</v>
      </c>
      <c r="F21" s="24">
        <v>1</v>
      </c>
      <c r="G21" s="26" t="s">
        <v>169</v>
      </c>
      <c r="H21" s="27" t="s">
        <v>758</v>
      </c>
      <c r="I21" s="24" t="s">
        <v>759</v>
      </c>
    </row>
    <row r="22" spans="1:9" ht="126">
      <c r="A22" s="24" t="s">
        <v>755</v>
      </c>
      <c r="B22" s="25" t="s">
        <v>232</v>
      </c>
      <c r="C22" s="24" t="s">
        <v>233</v>
      </c>
      <c r="D22" s="24" t="s">
        <v>804</v>
      </c>
      <c r="E22" s="24" t="s">
        <v>805</v>
      </c>
      <c r="F22" s="24">
        <v>1</v>
      </c>
      <c r="G22" s="26" t="s">
        <v>228</v>
      </c>
      <c r="H22" s="27" t="s">
        <v>758</v>
      </c>
      <c r="I22" s="24" t="s">
        <v>759</v>
      </c>
    </row>
    <row r="23" spans="1:9" ht="113.25">
      <c r="A23" s="24" t="s">
        <v>755</v>
      </c>
      <c r="B23" s="25" t="s">
        <v>254</v>
      </c>
      <c r="C23" s="24" t="s">
        <v>255</v>
      </c>
      <c r="D23" s="24" t="s">
        <v>806</v>
      </c>
      <c r="E23" s="24" t="s">
        <v>807</v>
      </c>
      <c r="F23" s="24">
        <v>1</v>
      </c>
      <c r="G23" s="26" t="s">
        <v>250</v>
      </c>
      <c r="H23" s="27" t="s">
        <v>758</v>
      </c>
      <c r="I23" s="24" t="s">
        <v>759</v>
      </c>
    </row>
    <row r="24" spans="1:9" ht="113.25">
      <c r="A24" s="24" t="s">
        <v>755</v>
      </c>
      <c r="B24" s="25" t="s">
        <v>116</v>
      </c>
      <c r="C24" s="24" t="s">
        <v>117</v>
      </c>
      <c r="D24" s="24" t="s">
        <v>808</v>
      </c>
      <c r="E24" s="24" t="s">
        <v>809</v>
      </c>
      <c r="F24" s="24">
        <v>1</v>
      </c>
      <c r="G24" s="26" t="s">
        <v>108</v>
      </c>
      <c r="H24" s="27" t="s">
        <v>758</v>
      </c>
      <c r="I24" s="24" t="s">
        <v>759</v>
      </c>
    </row>
    <row r="25" spans="1:9" ht="113.25">
      <c r="A25" s="24" t="s">
        <v>755</v>
      </c>
      <c r="B25" s="25" t="s">
        <v>221</v>
      </c>
      <c r="C25" s="24" t="s">
        <v>222</v>
      </c>
      <c r="D25" s="24" t="s">
        <v>810</v>
      </c>
      <c r="E25" s="24" t="s">
        <v>811</v>
      </c>
      <c r="F25" s="24">
        <v>1</v>
      </c>
      <c r="G25" s="26" t="s">
        <v>217</v>
      </c>
      <c r="H25" s="27" t="s">
        <v>758</v>
      </c>
      <c r="I25" s="24" t="s">
        <v>759</v>
      </c>
    </row>
    <row r="26" spans="1:9" ht="113.25">
      <c r="A26" s="24" t="s">
        <v>755</v>
      </c>
      <c r="B26" s="25" t="s">
        <v>118</v>
      </c>
      <c r="C26" s="24" t="s">
        <v>812</v>
      </c>
      <c r="D26" s="24" t="s">
        <v>810</v>
      </c>
      <c r="E26" s="24" t="s">
        <v>813</v>
      </c>
      <c r="F26" s="24">
        <v>2</v>
      </c>
      <c r="G26" s="26" t="s">
        <v>814</v>
      </c>
      <c r="H26" s="27" t="s">
        <v>758</v>
      </c>
      <c r="I26" s="24" t="s">
        <v>759</v>
      </c>
    </row>
    <row r="27" spans="1:9" ht="113.25">
      <c r="A27" s="24" t="s">
        <v>755</v>
      </c>
      <c r="B27" s="25" t="s">
        <v>98</v>
      </c>
      <c r="C27" s="24" t="s">
        <v>99</v>
      </c>
      <c r="D27" s="24" t="s">
        <v>815</v>
      </c>
      <c r="E27" s="24" t="s">
        <v>816</v>
      </c>
      <c r="F27" s="24">
        <v>1</v>
      </c>
      <c r="G27" s="26" t="s">
        <v>92</v>
      </c>
      <c r="H27" s="27" t="s">
        <v>758</v>
      </c>
      <c r="I27" s="24" t="s">
        <v>759</v>
      </c>
    </row>
    <row r="28" spans="1:9" ht="113.25">
      <c r="A28" s="24" t="s">
        <v>755</v>
      </c>
      <c r="B28" s="25" t="s">
        <v>278</v>
      </c>
      <c r="C28" s="24" t="s">
        <v>817</v>
      </c>
      <c r="D28" s="24" t="s">
        <v>818</v>
      </c>
      <c r="E28" s="24" t="s">
        <v>819</v>
      </c>
      <c r="F28" s="24">
        <v>1</v>
      </c>
      <c r="G28" s="26" t="s">
        <v>273</v>
      </c>
      <c r="H28" s="27" t="s">
        <v>758</v>
      </c>
      <c r="I28" s="24" t="s">
        <v>759</v>
      </c>
    </row>
    <row r="29" spans="1:9" ht="113.25">
      <c r="A29" s="24" t="s">
        <v>755</v>
      </c>
      <c r="B29" s="25" t="s">
        <v>290</v>
      </c>
      <c r="C29" s="24" t="s">
        <v>291</v>
      </c>
      <c r="D29" s="24" t="s">
        <v>674</v>
      </c>
      <c r="E29" s="24" t="s">
        <v>820</v>
      </c>
      <c r="F29" s="24">
        <v>1</v>
      </c>
      <c r="G29" s="26" t="s">
        <v>285</v>
      </c>
      <c r="H29" s="27" t="s">
        <v>758</v>
      </c>
      <c r="I29" s="24" t="s">
        <v>759</v>
      </c>
    </row>
    <row r="30" spans="1:9" ht="126">
      <c r="A30" s="24" t="s">
        <v>755</v>
      </c>
      <c r="B30" s="25" t="s">
        <v>162</v>
      </c>
      <c r="C30" s="24" t="s">
        <v>821</v>
      </c>
      <c r="D30" s="24" t="s">
        <v>822</v>
      </c>
      <c r="E30" s="24" t="s">
        <v>823</v>
      </c>
      <c r="F30" s="24">
        <v>1</v>
      </c>
      <c r="G30" s="26" t="s">
        <v>158</v>
      </c>
      <c r="H30" s="27" t="s">
        <v>758</v>
      </c>
      <c r="I30" s="24" t="s">
        <v>759</v>
      </c>
    </row>
    <row r="31" spans="1:9" ht="138.75">
      <c r="A31" s="24" t="s">
        <v>755</v>
      </c>
      <c r="B31" s="25" t="s">
        <v>358</v>
      </c>
      <c r="C31" s="24" t="s">
        <v>824</v>
      </c>
      <c r="D31" s="24" t="s">
        <v>825</v>
      </c>
      <c r="E31" s="24" t="s">
        <v>826</v>
      </c>
      <c r="F31" s="24">
        <v>1</v>
      </c>
      <c r="G31" s="26" t="s">
        <v>354</v>
      </c>
      <c r="H31" s="27" t="s">
        <v>758</v>
      </c>
      <c r="I31" s="24" t="s">
        <v>759</v>
      </c>
    </row>
    <row r="32" spans="1:9" ht="189">
      <c r="A32" s="24" t="s">
        <v>755</v>
      </c>
      <c r="B32" s="25" t="s">
        <v>175</v>
      </c>
      <c r="C32" s="24" t="s">
        <v>827</v>
      </c>
      <c r="D32" s="24" t="s">
        <v>828</v>
      </c>
      <c r="E32" s="24" t="s">
        <v>829</v>
      </c>
      <c r="F32" s="24">
        <v>5</v>
      </c>
      <c r="G32" s="26" t="s">
        <v>830</v>
      </c>
      <c r="H32" s="27" t="s">
        <v>758</v>
      </c>
      <c r="I32" s="24" t="s">
        <v>759</v>
      </c>
    </row>
    <row r="33" spans="1:9" ht="214.5">
      <c r="A33" s="24" t="s">
        <v>831</v>
      </c>
      <c r="B33" s="25" t="s">
        <v>832</v>
      </c>
      <c r="C33" s="24" t="s">
        <v>833</v>
      </c>
      <c r="D33" s="24" t="s">
        <v>471</v>
      </c>
      <c r="E33" s="24" t="s">
        <v>834</v>
      </c>
      <c r="F33" s="24">
        <v>1</v>
      </c>
      <c r="G33" s="26" t="s">
        <v>228</v>
      </c>
      <c r="H33" s="27" t="s">
        <v>835</v>
      </c>
      <c r="I33" s="28" t="s">
        <v>836</v>
      </c>
    </row>
    <row r="34" spans="1:9" ht="214.5">
      <c r="A34" s="24" t="s">
        <v>831</v>
      </c>
      <c r="B34" s="25" t="s">
        <v>563</v>
      </c>
      <c r="C34" s="24" t="s">
        <v>837</v>
      </c>
      <c r="D34" s="24" t="s">
        <v>471</v>
      </c>
      <c r="E34" s="24" t="s">
        <v>838</v>
      </c>
      <c r="F34" s="24">
        <v>3</v>
      </c>
      <c r="G34" s="26" t="s">
        <v>839</v>
      </c>
      <c r="H34" s="27" t="s">
        <v>835</v>
      </c>
      <c r="I34" s="28" t="s">
        <v>836</v>
      </c>
    </row>
    <row r="35" spans="1:9" ht="214.5">
      <c r="A35" s="24" t="s">
        <v>831</v>
      </c>
      <c r="B35" s="25" t="s">
        <v>840</v>
      </c>
      <c r="C35" s="24" t="s">
        <v>841</v>
      </c>
      <c r="D35" s="24" t="s">
        <v>471</v>
      </c>
      <c r="E35" s="24" t="s">
        <v>842</v>
      </c>
      <c r="F35" s="24">
        <v>1</v>
      </c>
      <c r="G35" s="26" t="s">
        <v>76</v>
      </c>
      <c r="H35" s="27" t="s">
        <v>835</v>
      </c>
      <c r="I35" s="28" t="s">
        <v>836</v>
      </c>
    </row>
    <row r="36" spans="1:9" ht="214.5">
      <c r="A36" s="24" t="s">
        <v>831</v>
      </c>
      <c r="B36" s="25" t="s">
        <v>546</v>
      </c>
      <c r="C36" s="24" t="s">
        <v>843</v>
      </c>
      <c r="D36" s="24" t="s">
        <v>471</v>
      </c>
      <c r="E36" s="24" t="s">
        <v>844</v>
      </c>
      <c r="F36" s="24">
        <v>1</v>
      </c>
      <c r="G36" s="26" t="s">
        <v>158</v>
      </c>
      <c r="H36" s="27" t="s">
        <v>835</v>
      </c>
      <c r="I36" s="28" t="s">
        <v>836</v>
      </c>
    </row>
    <row r="37" spans="1:9" ht="214.5">
      <c r="A37" s="24" t="s">
        <v>831</v>
      </c>
      <c r="B37" s="25" t="s">
        <v>500</v>
      </c>
      <c r="C37" s="24" t="s">
        <v>845</v>
      </c>
      <c r="D37" s="24" t="s">
        <v>471</v>
      </c>
      <c r="E37" s="24" t="s">
        <v>846</v>
      </c>
      <c r="F37" s="24">
        <v>2</v>
      </c>
      <c r="G37" s="26" t="s">
        <v>847</v>
      </c>
      <c r="H37" s="27" t="s">
        <v>835</v>
      </c>
      <c r="I37" s="28" t="s">
        <v>836</v>
      </c>
    </row>
    <row r="38" spans="1:9" ht="214.5">
      <c r="A38" s="24" t="s">
        <v>831</v>
      </c>
      <c r="B38" s="25" t="s">
        <v>848</v>
      </c>
      <c r="C38" s="24" t="s">
        <v>849</v>
      </c>
      <c r="D38" s="24" t="s">
        <v>850</v>
      </c>
      <c r="E38" s="24" t="s">
        <v>851</v>
      </c>
      <c r="F38" s="24">
        <v>1</v>
      </c>
      <c r="G38" s="26" t="s">
        <v>273</v>
      </c>
      <c r="H38" s="27" t="s">
        <v>835</v>
      </c>
      <c r="I38" s="28" t="s">
        <v>836</v>
      </c>
    </row>
    <row r="39" spans="1:9" ht="214.5">
      <c r="A39" s="24" t="s">
        <v>831</v>
      </c>
      <c r="B39" s="25" t="s">
        <v>544</v>
      </c>
      <c r="C39" s="24" t="s">
        <v>852</v>
      </c>
      <c r="D39" s="24" t="s">
        <v>853</v>
      </c>
      <c r="E39" s="24" t="s">
        <v>854</v>
      </c>
      <c r="F39" s="24">
        <v>1</v>
      </c>
      <c r="G39" s="26" t="s">
        <v>158</v>
      </c>
      <c r="H39" s="27" t="s">
        <v>835</v>
      </c>
      <c r="I39" s="28" t="s">
        <v>836</v>
      </c>
    </row>
    <row r="40" spans="1:9" ht="214.5">
      <c r="A40" s="24" t="s">
        <v>831</v>
      </c>
      <c r="B40" s="25" t="s">
        <v>498</v>
      </c>
      <c r="C40" s="24" t="s">
        <v>855</v>
      </c>
      <c r="D40" s="24" t="s">
        <v>853</v>
      </c>
      <c r="E40" s="24" t="s">
        <v>856</v>
      </c>
      <c r="F40" s="24">
        <v>1</v>
      </c>
      <c r="G40" s="26" t="s">
        <v>108</v>
      </c>
      <c r="H40" s="27" t="s">
        <v>835</v>
      </c>
      <c r="I40" s="28" t="s">
        <v>836</v>
      </c>
    </row>
    <row r="41" spans="1:9" ht="214.5">
      <c r="A41" s="24" t="s">
        <v>831</v>
      </c>
      <c r="B41" s="25" t="s">
        <v>743</v>
      </c>
      <c r="C41" s="24" t="s">
        <v>857</v>
      </c>
      <c r="D41" s="24" t="s">
        <v>853</v>
      </c>
      <c r="E41" s="24" t="s">
        <v>858</v>
      </c>
      <c r="F41" s="24">
        <v>1</v>
      </c>
      <c r="G41" s="26" t="s">
        <v>354</v>
      </c>
      <c r="H41" s="27" t="s">
        <v>835</v>
      </c>
      <c r="I41" s="28" t="s">
        <v>836</v>
      </c>
    </row>
    <row r="42" spans="1:9" ht="214.5">
      <c r="A42" s="24" t="s">
        <v>831</v>
      </c>
      <c r="B42" s="25" t="s">
        <v>625</v>
      </c>
      <c r="C42" s="24" t="s">
        <v>859</v>
      </c>
      <c r="D42" s="24" t="s">
        <v>860</v>
      </c>
      <c r="E42" s="24" t="s">
        <v>861</v>
      </c>
      <c r="F42" s="24">
        <v>1</v>
      </c>
      <c r="G42" s="26" t="s">
        <v>228</v>
      </c>
      <c r="H42" s="27" t="s">
        <v>835</v>
      </c>
      <c r="I42" s="28" t="s">
        <v>836</v>
      </c>
    </row>
    <row r="43" spans="1:9" ht="214.5">
      <c r="A43" s="24" t="s">
        <v>831</v>
      </c>
      <c r="B43" s="25" t="s">
        <v>862</v>
      </c>
      <c r="C43" s="24" t="s">
        <v>863</v>
      </c>
      <c r="D43" s="24" t="s">
        <v>804</v>
      </c>
      <c r="E43" s="24" t="s">
        <v>864</v>
      </c>
      <c r="F43" s="24">
        <v>1</v>
      </c>
      <c r="G43" s="26" t="s">
        <v>228</v>
      </c>
      <c r="H43" s="27" t="s">
        <v>835</v>
      </c>
      <c r="I43" s="28" t="s">
        <v>836</v>
      </c>
    </row>
    <row r="44" spans="1:9" ht="214.5">
      <c r="A44" s="24" t="s">
        <v>831</v>
      </c>
      <c r="B44" s="25" t="s">
        <v>699</v>
      </c>
      <c r="C44" s="24" t="s">
        <v>865</v>
      </c>
      <c r="D44" s="24" t="s">
        <v>798</v>
      </c>
      <c r="E44" s="24" t="s">
        <v>866</v>
      </c>
      <c r="F44" s="24">
        <v>1</v>
      </c>
      <c r="G44" s="26" t="s">
        <v>309</v>
      </c>
      <c r="H44" s="27" t="s">
        <v>835</v>
      </c>
      <c r="I44" s="28" t="s">
        <v>836</v>
      </c>
    </row>
    <row r="45" spans="1:9" ht="214.5">
      <c r="A45" s="24" t="s">
        <v>831</v>
      </c>
      <c r="B45" s="25" t="s">
        <v>725</v>
      </c>
      <c r="C45" s="24" t="s">
        <v>867</v>
      </c>
      <c r="D45" s="24" t="s">
        <v>798</v>
      </c>
      <c r="E45" s="24" t="s">
        <v>868</v>
      </c>
      <c r="F45" s="24">
        <v>1</v>
      </c>
      <c r="G45" s="26" t="s">
        <v>342</v>
      </c>
      <c r="H45" s="27" t="s">
        <v>835</v>
      </c>
      <c r="I45" s="28" t="s">
        <v>836</v>
      </c>
    </row>
    <row r="46" spans="1:9" ht="214.5">
      <c r="A46" s="24" t="s">
        <v>831</v>
      </c>
      <c r="B46" s="25" t="s">
        <v>473</v>
      </c>
      <c r="C46" s="24" t="s">
        <v>869</v>
      </c>
      <c r="D46" s="24" t="s">
        <v>798</v>
      </c>
      <c r="E46" s="24" t="s">
        <v>870</v>
      </c>
      <c r="F46" s="24">
        <v>1</v>
      </c>
      <c r="G46" s="26" t="s">
        <v>76</v>
      </c>
      <c r="H46" s="27" t="s">
        <v>835</v>
      </c>
      <c r="I46" s="28" t="s">
        <v>836</v>
      </c>
    </row>
    <row r="47" spans="1:9" ht="214.5">
      <c r="A47" s="24" t="s">
        <v>831</v>
      </c>
      <c r="B47" s="25" t="s">
        <v>561</v>
      </c>
      <c r="C47" s="24" t="s">
        <v>871</v>
      </c>
      <c r="D47" s="24" t="s">
        <v>798</v>
      </c>
      <c r="E47" s="24" t="s">
        <v>872</v>
      </c>
      <c r="F47" s="24">
        <v>1</v>
      </c>
      <c r="G47" s="26" t="s">
        <v>169</v>
      </c>
      <c r="H47" s="27" t="s">
        <v>835</v>
      </c>
      <c r="I47" s="28" t="s">
        <v>836</v>
      </c>
    </row>
    <row r="48" spans="1:9" ht="214.5">
      <c r="A48" s="24" t="s">
        <v>831</v>
      </c>
      <c r="B48" s="25" t="s">
        <v>873</v>
      </c>
      <c r="C48" s="24" t="s">
        <v>874</v>
      </c>
      <c r="D48" s="24" t="s">
        <v>818</v>
      </c>
      <c r="E48" s="24" t="s">
        <v>875</v>
      </c>
      <c r="F48" s="24">
        <v>1</v>
      </c>
      <c r="G48" s="26" t="s">
        <v>273</v>
      </c>
      <c r="H48" s="27" t="s">
        <v>835</v>
      </c>
      <c r="I48" s="28" t="s">
        <v>836</v>
      </c>
    </row>
    <row r="49" spans="1:9" ht="214.5">
      <c r="A49" s="24" t="s">
        <v>831</v>
      </c>
      <c r="B49" s="25" t="s">
        <v>876</v>
      </c>
      <c r="C49" s="24" t="s">
        <v>877</v>
      </c>
      <c r="D49" s="24" t="s">
        <v>818</v>
      </c>
      <c r="E49" s="24" t="s">
        <v>878</v>
      </c>
      <c r="F49" s="24">
        <v>1</v>
      </c>
      <c r="G49" s="26" t="s">
        <v>273</v>
      </c>
      <c r="H49" s="27" t="s">
        <v>835</v>
      </c>
      <c r="I49" s="28" t="s">
        <v>836</v>
      </c>
    </row>
    <row r="50" spans="1:9" ht="214.5">
      <c r="A50" s="24" t="s">
        <v>831</v>
      </c>
      <c r="B50" s="25" t="s">
        <v>488</v>
      </c>
      <c r="C50" s="24" t="s">
        <v>879</v>
      </c>
      <c r="D50" s="24" t="s">
        <v>880</v>
      </c>
      <c r="E50" s="24" t="s">
        <v>881</v>
      </c>
      <c r="F50" s="24">
        <v>3</v>
      </c>
      <c r="G50" s="26" t="s">
        <v>882</v>
      </c>
      <c r="H50" s="27" t="s">
        <v>835</v>
      </c>
      <c r="I50" s="28" t="s">
        <v>836</v>
      </c>
    </row>
    <row r="51" spans="1:9" ht="214.5">
      <c r="A51" s="24" t="s">
        <v>831</v>
      </c>
      <c r="B51" s="25" t="s">
        <v>596</v>
      </c>
      <c r="C51" s="24" t="s">
        <v>883</v>
      </c>
      <c r="D51" s="24" t="s">
        <v>880</v>
      </c>
      <c r="E51" s="24" t="s">
        <v>884</v>
      </c>
      <c r="F51" s="24">
        <v>2</v>
      </c>
      <c r="G51" s="26" t="s">
        <v>885</v>
      </c>
      <c r="H51" s="27" t="s">
        <v>835</v>
      </c>
      <c r="I51" s="28" t="s">
        <v>836</v>
      </c>
    </row>
    <row r="52" spans="1:9" ht="214.5">
      <c r="A52" s="24" t="s">
        <v>831</v>
      </c>
      <c r="B52" s="25" t="s">
        <v>886</v>
      </c>
      <c r="C52" s="24" t="s">
        <v>887</v>
      </c>
      <c r="D52" s="24" t="s">
        <v>880</v>
      </c>
      <c r="E52" s="24" t="s">
        <v>888</v>
      </c>
      <c r="F52" s="24">
        <v>1</v>
      </c>
      <c r="G52" s="26" t="s">
        <v>285</v>
      </c>
      <c r="H52" s="27" t="s">
        <v>835</v>
      </c>
      <c r="I52" s="28" t="s">
        <v>836</v>
      </c>
    </row>
    <row r="53" spans="1:9" ht="214.5">
      <c r="A53" s="24" t="s">
        <v>831</v>
      </c>
      <c r="B53" s="25" t="s">
        <v>423</v>
      </c>
      <c r="C53" s="24" t="s">
        <v>889</v>
      </c>
      <c r="D53" s="24" t="s">
        <v>880</v>
      </c>
      <c r="E53" s="24" t="s">
        <v>890</v>
      </c>
      <c r="F53" s="24">
        <v>8</v>
      </c>
      <c r="G53" s="26" t="s">
        <v>891</v>
      </c>
      <c r="H53" s="27" t="s">
        <v>835</v>
      </c>
      <c r="I53" s="28" t="s">
        <v>836</v>
      </c>
    </row>
    <row r="54" spans="1:9" ht="214.5">
      <c r="A54" s="24" t="s">
        <v>831</v>
      </c>
      <c r="B54" s="25" t="s">
        <v>892</v>
      </c>
      <c r="C54" s="24" t="s">
        <v>893</v>
      </c>
      <c r="D54" s="24" t="s">
        <v>880</v>
      </c>
      <c r="E54" s="24" t="s">
        <v>894</v>
      </c>
      <c r="F54" s="24">
        <v>1</v>
      </c>
      <c r="G54" s="26" t="s">
        <v>342</v>
      </c>
      <c r="H54" s="27" t="s">
        <v>835</v>
      </c>
      <c r="I54" s="28" t="s">
        <v>836</v>
      </c>
    </row>
    <row r="55" spans="1:9" ht="214.5">
      <c r="A55" s="24" t="s">
        <v>831</v>
      </c>
      <c r="B55" s="25" t="s">
        <v>895</v>
      </c>
      <c r="C55" s="24" t="s">
        <v>896</v>
      </c>
      <c r="D55" s="24" t="s">
        <v>880</v>
      </c>
      <c r="E55" s="24" t="s">
        <v>897</v>
      </c>
      <c r="F55" s="24">
        <v>1</v>
      </c>
      <c r="G55" s="26" t="s">
        <v>158</v>
      </c>
      <c r="H55" s="27" t="s">
        <v>835</v>
      </c>
      <c r="I55" s="28" t="s">
        <v>836</v>
      </c>
    </row>
    <row r="56" spans="1:9" ht="214.5">
      <c r="A56" s="24" t="s">
        <v>831</v>
      </c>
      <c r="B56" s="25" t="s">
        <v>898</v>
      </c>
      <c r="C56" s="24" t="s">
        <v>899</v>
      </c>
      <c r="D56" s="24" t="s">
        <v>880</v>
      </c>
      <c r="E56" s="24" t="s">
        <v>900</v>
      </c>
      <c r="F56" s="24">
        <v>2</v>
      </c>
      <c r="G56" s="26" t="s">
        <v>847</v>
      </c>
      <c r="H56" s="27" t="s">
        <v>835</v>
      </c>
      <c r="I56" s="28" t="s">
        <v>836</v>
      </c>
    </row>
    <row r="57" spans="1:9" ht="214.5">
      <c r="A57" s="24" t="s">
        <v>831</v>
      </c>
      <c r="B57" s="25" t="s">
        <v>462</v>
      </c>
      <c r="C57" s="24" t="s">
        <v>901</v>
      </c>
      <c r="D57" s="24" t="s">
        <v>880</v>
      </c>
      <c r="E57" s="24" t="s">
        <v>902</v>
      </c>
      <c r="F57" s="24">
        <v>2</v>
      </c>
      <c r="G57" s="26" t="s">
        <v>903</v>
      </c>
      <c r="H57" s="27" t="s">
        <v>835</v>
      </c>
      <c r="I57" s="28" t="s">
        <v>836</v>
      </c>
    </row>
    <row r="58" spans="1:9" ht="214.5">
      <c r="A58" s="24" t="s">
        <v>831</v>
      </c>
      <c r="B58" s="25" t="s">
        <v>559</v>
      </c>
      <c r="C58" s="24" t="s">
        <v>904</v>
      </c>
      <c r="D58" s="24" t="s">
        <v>880</v>
      </c>
      <c r="E58" s="24" t="s">
        <v>905</v>
      </c>
      <c r="F58" s="24">
        <v>3</v>
      </c>
      <c r="G58" s="26" t="s">
        <v>906</v>
      </c>
      <c r="H58" s="27" t="s">
        <v>835</v>
      </c>
      <c r="I58" s="28" t="s">
        <v>836</v>
      </c>
    </row>
    <row r="59" spans="1:9" ht="214.5">
      <c r="A59" s="24" t="s">
        <v>831</v>
      </c>
      <c r="B59" s="25" t="s">
        <v>907</v>
      </c>
      <c r="C59" s="24" t="s">
        <v>908</v>
      </c>
      <c r="D59" s="24" t="s">
        <v>880</v>
      </c>
      <c r="E59" s="24" t="s">
        <v>909</v>
      </c>
      <c r="F59" s="24">
        <v>1</v>
      </c>
      <c r="G59" s="26" t="s">
        <v>217</v>
      </c>
      <c r="H59" s="27" t="s">
        <v>835</v>
      </c>
      <c r="I59" s="28" t="s">
        <v>836</v>
      </c>
    </row>
    <row r="60" spans="1:9" ht="214.5">
      <c r="A60" s="24" t="s">
        <v>831</v>
      </c>
      <c r="B60" s="25" t="s">
        <v>910</v>
      </c>
      <c r="C60" s="24" t="s">
        <v>911</v>
      </c>
      <c r="D60" s="24" t="s">
        <v>400</v>
      </c>
      <c r="E60" s="24" t="s">
        <v>912</v>
      </c>
      <c r="F60" s="24">
        <v>2</v>
      </c>
      <c r="G60" s="26" t="s">
        <v>913</v>
      </c>
      <c r="H60" s="27" t="s">
        <v>835</v>
      </c>
      <c r="I60" s="28" t="s">
        <v>836</v>
      </c>
    </row>
    <row r="61" spans="1:9" ht="214.5">
      <c r="A61" s="24" t="s">
        <v>831</v>
      </c>
      <c r="B61" s="25" t="s">
        <v>407</v>
      </c>
      <c r="C61" s="24" t="s">
        <v>914</v>
      </c>
      <c r="D61" s="24" t="s">
        <v>400</v>
      </c>
      <c r="E61" s="24" t="s">
        <v>915</v>
      </c>
      <c r="F61" s="24">
        <v>25</v>
      </c>
      <c r="G61" s="26" t="s">
        <v>916</v>
      </c>
      <c r="H61" s="27" t="s">
        <v>835</v>
      </c>
      <c r="I61" s="28" t="s">
        <v>836</v>
      </c>
    </row>
    <row r="62" spans="1:9" ht="214.5">
      <c r="A62" s="24" t="s">
        <v>831</v>
      </c>
      <c r="B62" s="25" t="s">
        <v>917</v>
      </c>
      <c r="C62" s="24" t="s">
        <v>918</v>
      </c>
      <c r="D62" s="24" t="s">
        <v>919</v>
      </c>
      <c r="E62" s="24" t="s">
        <v>920</v>
      </c>
      <c r="F62" s="24">
        <v>1</v>
      </c>
      <c r="G62" s="26" t="s">
        <v>297</v>
      </c>
      <c r="H62" s="27" t="s">
        <v>835</v>
      </c>
      <c r="I62" s="28" t="s">
        <v>836</v>
      </c>
    </row>
    <row r="63" spans="1:9" ht="214.5">
      <c r="A63" s="24" t="s">
        <v>831</v>
      </c>
      <c r="B63" s="25" t="s">
        <v>921</v>
      </c>
      <c r="C63" s="24" t="s">
        <v>922</v>
      </c>
      <c r="D63" s="24" t="s">
        <v>923</v>
      </c>
      <c r="E63" s="24" t="s">
        <v>924</v>
      </c>
      <c r="F63" s="24">
        <v>2</v>
      </c>
      <c r="G63" s="26" t="s">
        <v>925</v>
      </c>
      <c r="H63" s="27" t="s">
        <v>835</v>
      </c>
      <c r="I63" s="28" t="s">
        <v>836</v>
      </c>
    </row>
    <row r="64" spans="1:9" ht="214.5">
      <c r="A64" s="24" t="s">
        <v>831</v>
      </c>
      <c r="B64" s="25" t="s">
        <v>926</v>
      </c>
      <c r="C64" s="24" t="s">
        <v>927</v>
      </c>
      <c r="D64" s="24" t="s">
        <v>928</v>
      </c>
      <c r="E64" s="24" t="s">
        <v>929</v>
      </c>
      <c r="F64" s="24">
        <v>1</v>
      </c>
      <c r="G64" s="26" t="s">
        <v>143</v>
      </c>
      <c r="H64" s="27" t="s">
        <v>835</v>
      </c>
      <c r="I64" s="28" t="s">
        <v>836</v>
      </c>
    </row>
    <row r="65" spans="1:9" ht="214.5">
      <c r="A65" s="24" t="s">
        <v>831</v>
      </c>
      <c r="B65" s="25" t="s">
        <v>930</v>
      </c>
      <c r="C65" s="24" t="s">
        <v>931</v>
      </c>
      <c r="D65" s="24" t="s">
        <v>932</v>
      </c>
      <c r="E65" s="24" t="s">
        <v>933</v>
      </c>
      <c r="F65" s="24">
        <v>1</v>
      </c>
      <c r="G65" s="26" t="s">
        <v>193</v>
      </c>
      <c r="H65" s="27" t="s">
        <v>835</v>
      </c>
      <c r="I65" s="28" t="s">
        <v>836</v>
      </c>
    </row>
    <row r="66" spans="1:9" ht="214.5">
      <c r="A66" s="24" t="s">
        <v>831</v>
      </c>
      <c r="B66" s="25" t="s">
        <v>402</v>
      </c>
      <c r="C66" s="24" t="s">
        <v>934</v>
      </c>
      <c r="D66" s="24" t="s">
        <v>935</v>
      </c>
      <c r="E66" s="24" t="s">
        <v>936</v>
      </c>
      <c r="F66" s="24">
        <v>25</v>
      </c>
      <c r="G66" s="26" t="s">
        <v>916</v>
      </c>
      <c r="H66" s="27" t="s">
        <v>835</v>
      </c>
      <c r="I66" s="28" t="s">
        <v>836</v>
      </c>
    </row>
    <row r="67" spans="1:9" ht="214.5">
      <c r="A67" s="24" t="s">
        <v>831</v>
      </c>
      <c r="B67" s="25" t="s">
        <v>937</v>
      </c>
      <c r="C67" s="24" t="s">
        <v>938</v>
      </c>
      <c r="D67" s="24" t="s">
        <v>935</v>
      </c>
      <c r="E67" s="24" t="s">
        <v>939</v>
      </c>
      <c r="F67" s="24">
        <v>2</v>
      </c>
      <c r="G67" s="26" t="s">
        <v>940</v>
      </c>
      <c r="H67" s="27" t="s">
        <v>835</v>
      </c>
      <c r="I67" s="28" t="s">
        <v>836</v>
      </c>
    </row>
    <row r="68" spans="1:9" ht="214.5">
      <c r="A68" s="24" t="s">
        <v>831</v>
      </c>
      <c r="B68" s="25" t="s">
        <v>941</v>
      </c>
      <c r="C68" s="24" t="s">
        <v>942</v>
      </c>
      <c r="D68" s="24" t="s">
        <v>935</v>
      </c>
      <c r="E68" s="24" t="s">
        <v>943</v>
      </c>
      <c r="F68" s="24">
        <v>1</v>
      </c>
      <c r="G68" s="26" t="s">
        <v>331</v>
      </c>
      <c r="H68" s="27" t="s">
        <v>835</v>
      </c>
      <c r="I68" s="28" t="s">
        <v>836</v>
      </c>
    </row>
    <row r="69" spans="1:9" ht="214.5">
      <c r="A69" s="24" t="s">
        <v>831</v>
      </c>
      <c r="B69" s="25" t="s">
        <v>944</v>
      </c>
      <c r="C69" s="24" t="s">
        <v>945</v>
      </c>
      <c r="D69" s="24" t="s">
        <v>946</v>
      </c>
      <c r="E69" s="24" t="s">
        <v>947</v>
      </c>
      <c r="F69" s="24">
        <v>1</v>
      </c>
      <c r="G69" s="26" t="s">
        <v>193</v>
      </c>
      <c r="H69" s="27" t="s">
        <v>835</v>
      </c>
      <c r="I69" s="28" t="s">
        <v>836</v>
      </c>
    </row>
    <row r="70" spans="1:9" ht="214.5">
      <c r="A70" s="24" t="s">
        <v>831</v>
      </c>
      <c r="B70" s="25" t="s">
        <v>948</v>
      </c>
      <c r="C70" s="24" t="s">
        <v>949</v>
      </c>
      <c r="D70" s="24" t="s">
        <v>946</v>
      </c>
      <c r="E70" s="24" t="s">
        <v>950</v>
      </c>
      <c r="F70" s="24">
        <v>1</v>
      </c>
      <c r="G70" s="26" t="s">
        <v>354</v>
      </c>
      <c r="H70" s="27" t="s">
        <v>835</v>
      </c>
      <c r="I70" s="28" t="s">
        <v>836</v>
      </c>
    </row>
    <row r="71" spans="1:9" ht="214.5">
      <c r="A71" s="24" t="s">
        <v>831</v>
      </c>
      <c r="B71" s="25" t="s">
        <v>951</v>
      </c>
      <c r="C71" s="24" t="s">
        <v>952</v>
      </c>
      <c r="D71" s="24" t="s">
        <v>946</v>
      </c>
      <c r="E71" s="24" t="s">
        <v>953</v>
      </c>
      <c r="F71" s="24">
        <v>1</v>
      </c>
      <c r="G71" s="26" t="s">
        <v>92</v>
      </c>
      <c r="H71" s="27" t="s">
        <v>835</v>
      </c>
      <c r="I71" s="28" t="s">
        <v>836</v>
      </c>
    </row>
    <row r="72" spans="1:9" ht="214.5">
      <c r="A72" s="24" t="s">
        <v>831</v>
      </c>
      <c r="B72" s="25" t="s">
        <v>732</v>
      </c>
      <c r="C72" s="24" t="s">
        <v>954</v>
      </c>
      <c r="D72" s="24" t="s">
        <v>729</v>
      </c>
      <c r="E72" s="24" t="s">
        <v>955</v>
      </c>
      <c r="F72" s="24">
        <v>1</v>
      </c>
      <c r="G72" s="26" t="s">
        <v>342</v>
      </c>
      <c r="H72" s="27" t="s">
        <v>835</v>
      </c>
      <c r="I72" s="28" t="s">
        <v>836</v>
      </c>
    </row>
    <row r="73" spans="1:9" ht="214.5">
      <c r="A73" s="24" t="s">
        <v>831</v>
      </c>
      <c r="B73" s="25" t="s">
        <v>956</v>
      </c>
      <c r="C73" s="24" t="s">
        <v>957</v>
      </c>
      <c r="D73" s="24" t="s">
        <v>778</v>
      </c>
      <c r="E73" s="24" t="s">
        <v>958</v>
      </c>
      <c r="F73" s="24">
        <v>1</v>
      </c>
      <c r="G73" s="26" t="s">
        <v>297</v>
      </c>
      <c r="H73" s="27" t="s">
        <v>835</v>
      </c>
      <c r="I73" s="28" t="s">
        <v>836</v>
      </c>
    </row>
    <row r="74" spans="1:9" ht="214.5">
      <c r="A74" s="24" t="s">
        <v>831</v>
      </c>
      <c r="B74" s="25" t="s">
        <v>688</v>
      </c>
      <c r="C74" s="24" t="s">
        <v>959</v>
      </c>
      <c r="D74" s="24" t="s">
        <v>778</v>
      </c>
      <c r="E74" s="24" t="s">
        <v>960</v>
      </c>
      <c r="F74" s="24">
        <v>1</v>
      </c>
      <c r="G74" s="26" t="s">
        <v>297</v>
      </c>
      <c r="H74" s="27" t="s">
        <v>835</v>
      </c>
      <c r="I74" s="28" t="s">
        <v>836</v>
      </c>
    </row>
    <row r="75" spans="1:9" ht="214.5">
      <c r="A75" s="24" t="s">
        <v>831</v>
      </c>
      <c r="B75" s="25" t="s">
        <v>612</v>
      </c>
      <c r="C75" s="24" t="s">
        <v>961</v>
      </c>
      <c r="D75" s="24" t="s">
        <v>962</v>
      </c>
      <c r="E75" s="24" t="s">
        <v>963</v>
      </c>
      <c r="F75" s="24">
        <v>1</v>
      </c>
      <c r="G75" s="26" t="s">
        <v>217</v>
      </c>
      <c r="H75" s="27" t="s">
        <v>835</v>
      </c>
      <c r="I75" s="28" t="s">
        <v>836</v>
      </c>
    </row>
    <row r="76" spans="1:9" ht="214.5">
      <c r="A76" s="24" t="s">
        <v>831</v>
      </c>
      <c r="B76" s="25" t="s">
        <v>964</v>
      </c>
      <c r="C76" s="24" t="s">
        <v>965</v>
      </c>
      <c r="D76" s="24" t="s">
        <v>966</v>
      </c>
      <c r="E76" s="24" t="s">
        <v>967</v>
      </c>
      <c r="F76" s="24">
        <v>1</v>
      </c>
      <c r="G76" s="26" t="s">
        <v>128</v>
      </c>
      <c r="H76" s="27" t="s">
        <v>835</v>
      </c>
      <c r="I76" s="28" t="s">
        <v>836</v>
      </c>
    </row>
    <row r="77" spans="1:9" ht="214.5">
      <c r="A77" s="24" t="s">
        <v>831</v>
      </c>
      <c r="B77" s="25" t="s">
        <v>447</v>
      </c>
      <c r="C77" s="24" t="s">
        <v>968</v>
      </c>
      <c r="D77" s="24" t="s">
        <v>969</v>
      </c>
      <c r="E77" s="24" t="s">
        <v>970</v>
      </c>
      <c r="F77" s="24">
        <v>3</v>
      </c>
      <c r="G77" s="26" t="s">
        <v>971</v>
      </c>
      <c r="H77" s="27" t="s">
        <v>835</v>
      </c>
      <c r="I77" s="28" t="s">
        <v>836</v>
      </c>
    </row>
    <row r="78" spans="1:9" ht="214.5">
      <c r="A78" s="24" t="s">
        <v>831</v>
      </c>
      <c r="B78" s="25" t="s">
        <v>451</v>
      </c>
      <c r="C78" s="24" t="s">
        <v>972</v>
      </c>
      <c r="D78" s="24" t="s">
        <v>973</v>
      </c>
      <c r="E78" s="24" t="s">
        <v>974</v>
      </c>
      <c r="F78" s="24">
        <v>1</v>
      </c>
      <c r="G78" s="26" t="s">
        <v>58</v>
      </c>
      <c r="H78" s="27" t="s">
        <v>835</v>
      </c>
      <c r="I78" s="28" t="s">
        <v>836</v>
      </c>
    </row>
    <row r="79" spans="1:9" ht="214.5">
      <c r="A79" s="24" t="s">
        <v>831</v>
      </c>
      <c r="B79" s="25" t="s">
        <v>519</v>
      </c>
      <c r="C79" s="24" t="s">
        <v>975</v>
      </c>
      <c r="D79" s="24" t="s">
        <v>966</v>
      </c>
      <c r="E79" s="24" t="s">
        <v>976</v>
      </c>
      <c r="F79" s="24">
        <v>1</v>
      </c>
      <c r="G79" s="26" t="s">
        <v>128</v>
      </c>
      <c r="H79" s="27" t="s">
        <v>835</v>
      </c>
      <c r="I79" s="28" t="s">
        <v>836</v>
      </c>
    </row>
    <row r="80" spans="1:9" ht="214.5">
      <c r="A80" s="24" t="s">
        <v>831</v>
      </c>
      <c r="B80" s="25" t="s">
        <v>977</v>
      </c>
      <c r="C80" s="24" t="s">
        <v>978</v>
      </c>
      <c r="D80" s="24" t="s">
        <v>979</v>
      </c>
      <c r="E80" s="24" t="s">
        <v>980</v>
      </c>
      <c r="F80" s="24">
        <v>1</v>
      </c>
      <c r="G80" s="26" t="s">
        <v>143</v>
      </c>
      <c r="H80" s="27" t="s">
        <v>835</v>
      </c>
      <c r="I80" s="28" t="s">
        <v>836</v>
      </c>
    </row>
    <row r="81" spans="1:9" ht="214.5">
      <c r="A81" s="24" t="s">
        <v>831</v>
      </c>
      <c r="B81" s="25" t="s">
        <v>981</v>
      </c>
      <c r="C81" s="24" t="s">
        <v>982</v>
      </c>
      <c r="D81" s="24" t="s">
        <v>983</v>
      </c>
      <c r="E81" s="24" t="s">
        <v>984</v>
      </c>
      <c r="F81" s="24">
        <v>1</v>
      </c>
      <c r="G81" s="26" t="s">
        <v>250</v>
      </c>
      <c r="H81" s="27" t="s">
        <v>835</v>
      </c>
      <c r="I81" s="28" t="s">
        <v>836</v>
      </c>
    </row>
    <row r="82" spans="1:9" ht="214.5">
      <c r="A82" s="24" t="s">
        <v>831</v>
      </c>
      <c r="B82" s="25" t="s">
        <v>430</v>
      </c>
      <c r="C82" s="24" t="s">
        <v>985</v>
      </c>
      <c r="D82" s="24" t="s">
        <v>986</v>
      </c>
      <c r="E82" s="24" t="s">
        <v>987</v>
      </c>
      <c r="F82" s="24">
        <v>3</v>
      </c>
      <c r="G82" s="26" t="s">
        <v>988</v>
      </c>
      <c r="H82" s="27" t="s">
        <v>835</v>
      </c>
      <c r="I82" s="28" t="s">
        <v>836</v>
      </c>
    </row>
    <row r="83" spans="1:9" ht="214.5">
      <c r="A83" s="24" t="s">
        <v>831</v>
      </c>
      <c r="B83" s="25" t="s">
        <v>989</v>
      </c>
      <c r="C83" s="24" t="s">
        <v>990</v>
      </c>
      <c r="D83" s="24" t="s">
        <v>986</v>
      </c>
      <c r="E83" s="24" t="s">
        <v>991</v>
      </c>
      <c r="F83" s="24">
        <v>1</v>
      </c>
      <c r="G83" s="26" t="s">
        <v>239</v>
      </c>
      <c r="H83" s="27" t="s">
        <v>835</v>
      </c>
      <c r="I83" s="28" t="s">
        <v>836</v>
      </c>
    </row>
    <row r="84" spans="1:9" ht="214.5">
      <c r="A84" s="24" t="s">
        <v>831</v>
      </c>
      <c r="B84" s="25" t="s">
        <v>992</v>
      </c>
      <c r="C84" s="24" t="s">
        <v>993</v>
      </c>
      <c r="D84" s="24" t="s">
        <v>994</v>
      </c>
      <c r="E84" s="24" t="s">
        <v>995</v>
      </c>
      <c r="F84" s="24">
        <v>1</v>
      </c>
      <c r="G84" s="26" t="s">
        <v>261</v>
      </c>
      <c r="H84" s="27" t="s">
        <v>835</v>
      </c>
      <c r="I84" s="28" t="s">
        <v>836</v>
      </c>
    </row>
    <row r="85" spans="1:9" ht="214.5">
      <c r="A85" s="24" t="s">
        <v>831</v>
      </c>
      <c r="B85" s="25" t="s">
        <v>996</v>
      </c>
      <c r="C85" s="24" t="s">
        <v>997</v>
      </c>
      <c r="D85" s="24" t="s">
        <v>998</v>
      </c>
      <c r="E85" s="24" t="s">
        <v>999</v>
      </c>
      <c r="F85" s="24">
        <v>1</v>
      </c>
      <c r="G85" s="26" t="s">
        <v>331</v>
      </c>
      <c r="H85" s="27" t="s">
        <v>835</v>
      </c>
      <c r="I85" s="28" t="s">
        <v>836</v>
      </c>
    </row>
    <row r="86" spans="1:9" ht="214.5">
      <c r="A86" s="24" t="s">
        <v>831</v>
      </c>
      <c r="B86" s="25" t="s">
        <v>1000</v>
      </c>
      <c r="C86" s="24" t="s">
        <v>1001</v>
      </c>
      <c r="D86" s="24" t="s">
        <v>1002</v>
      </c>
      <c r="E86" s="24" t="s">
        <v>1003</v>
      </c>
      <c r="F86" s="24">
        <v>1</v>
      </c>
      <c r="G86" s="26" t="s">
        <v>205</v>
      </c>
      <c r="H86" s="27" t="s">
        <v>835</v>
      </c>
      <c r="I86" s="28" t="s">
        <v>836</v>
      </c>
    </row>
    <row r="87" spans="1:9" ht="214.5">
      <c r="A87" s="24" t="s">
        <v>831</v>
      </c>
      <c r="B87" s="25" t="s">
        <v>506</v>
      </c>
      <c r="C87" s="24" t="s">
        <v>1004</v>
      </c>
      <c r="D87" s="24" t="s">
        <v>1002</v>
      </c>
      <c r="E87" s="24" t="s">
        <v>1005</v>
      </c>
      <c r="F87" s="24">
        <v>3</v>
      </c>
      <c r="G87" s="26" t="s">
        <v>1006</v>
      </c>
      <c r="H87" s="27" t="s">
        <v>835</v>
      </c>
      <c r="I87" s="28" t="s">
        <v>836</v>
      </c>
    </row>
    <row r="88" spans="1:9" ht="214.5">
      <c r="A88" s="24" t="s">
        <v>831</v>
      </c>
      <c r="B88" s="25" t="s">
        <v>1007</v>
      </c>
      <c r="C88" s="24" t="s">
        <v>1008</v>
      </c>
      <c r="D88" s="24" t="s">
        <v>1009</v>
      </c>
      <c r="E88" s="24" t="s">
        <v>1010</v>
      </c>
      <c r="F88" s="24">
        <v>1</v>
      </c>
      <c r="G88" s="26" t="s">
        <v>143</v>
      </c>
      <c r="H88" s="27" t="s">
        <v>835</v>
      </c>
      <c r="I88" s="28" t="s">
        <v>836</v>
      </c>
    </row>
    <row r="89" spans="1:9" ht="214.5">
      <c r="A89" s="24" t="s">
        <v>831</v>
      </c>
      <c r="B89" s="25" t="s">
        <v>394</v>
      </c>
      <c r="C89" s="24" t="s">
        <v>1011</v>
      </c>
      <c r="D89" s="24" t="s">
        <v>1012</v>
      </c>
      <c r="E89" s="24" t="s">
        <v>1013</v>
      </c>
      <c r="F89" s="24">
        <v>25</v>
      </c>
      <c r="G89" s="26" t="s">
        <v>916</v>
      </c>
      <c r="H89" s="27" t="s">
        <v>835</v>
      </c>
      <c r="I89" s="28" t="s">
        <v>836</v>
      </c>
    </row>
    <row r="90" spans="1:9" ht="214.5">
      <c r="A90" s="24" t="s">
        <v>831</v>
      </c>
      <c r="B90" s="25" t="s">
        <v>397</v>
      </c>
      <c r="C90" s="24" t="s">
        <v>1014</v>
      </c>
      <c r="D90" s="24" t="s">
        <v>1012</v>
      </c>
      <c r="E90" s="24" t="s">
        <v>1015</v>
      </c>
      <c r="F90" s="24">
        <v>25</v>
      </c>
      <c r="G90" s="26" t="s">
        <v>916</v>
      </c>
      <c r="H90" s="27" t="s">
        <v>835</v>
      </c>
      <c r="I90" s="28" t="s">
        <v>836</v>
      </c>
    </row>
    <row r="91" spans="1:9" ht="214.5">
      <c r="A91" s="24" t="s">
        <v>831</v>
      </c>
      <c r="B91" s="25" t="s">
        <v>525</v>
      </c>
      <c r="C91" s="24" t="s">
        <v>1016</v>
      </c>
      <c r="D91" s="24" t="s">
        <v>1017</v>
      </c>
      <c r="E91" s="24" t="s">
        <v>1018</v>
      </c>
      <c r="F91" s="24">
        <v>4</v>
      </c>
      <c r="G91" s="26" t="s">
        <v>1019</v>
      </c>
      <c r="H91" s="27" t="s">
        <v>835</v>
      </c>
      <c r="I91" s="28" t="s">
        <v>836</v>
      </c>
    </row>
    <row r="92" spans="1:9" ht="214.5">
      <c r="A92" s="24" t="s">
        <v>831</v>
      </c>
      <c r="B92" s="25" t="s">
        <v>675</v>
      </c>
      <c r="C92" s="24" t="s">
        <v>1020</v>
      </c>
      <c r="D92" s="24" t="s">
        <v>1021</v>
      </c>
      <c r="E92" s="24" t="s">
        <v>1022</v>
      </c>
      <c r="F92" s="24">
        <v>1</v>
      </c>
      <c r="G92" s="26" t="s">
        <v>285</v>
      </c>
      <c r="H92" s="27" t="s">
        <v>835</v>
      </c>
      <c r="I92" s="28" t="s">
        <v>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Meena</dc:creator>
  <cp:keywords/>
  <dc:description/>
  <cp:lastModifiedBy/>
  <cp:revision/>
  <dcterms:created xsi:type="dcterms:W3CDTF">2026-10-08T06:35:24Z</dcterms:created>
  <dcterms:modified xsi:type="dcterms:W3CDTF">2026-10-08T07:07:51Z</dcterms:modified>
  <cp:category/>
  <cp:contentStatus/>
</cp:coreProperties>
</file>