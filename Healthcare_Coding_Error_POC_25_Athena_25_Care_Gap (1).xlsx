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6EB03B92B3CB4E84B74710F944E19FAD8815BC7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ecutive Dashboard" sheetId="1" r:id="rId1"/>
    <sheet name="Error Workqueue" sheetId="2" r:id="rId2"/>
    <sheet name="Error Taxonomy" sheetId="3" r:id="rId3"/>
    <sheet name="Demo Guide" sheetId="4" r:id="rId4"/>
  </sheets>
  <calcPr calcId="0" fullCalcOnLoad="1" forceFullCalc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  <c r="G5" i="1"/>
  <c r="E5" i="1"/>
  <c r="C5" i="1"/>
  <c r="A5" i="1"/>
</calcChain>
</file>

<file path=xl/sharedStrings.xml><?xml version="1.0" encoding="utf-8"?>
<sst xmlns="http://schemas.openxmlformats.org/spreadsheetml/2006/main" count="1022" uniqueCount="363">
  <si>
    <t>Healthcare Coding Error POC Dashboard</t>
  </si>
  <si>
    <t>50 synthetic coding-error cases split exactly across the two demo payers.</t>
  </si>
  <si>
    <t>Total Cases</t>
  </si>
  <si>
    <t>Athena Cases</t>
  </si>
  <si>
    <t>Care Gap Cases</t>
  </si>
  <si>
    <t>Critical Cases</t>
  </si>
  <si>
    <t>Payer</t>
  </si>
  <si>
    <t>Cases</t>
  </si>
  <si>
    <t>Athena Health Insurance</t>
  </si>
  <si>
    <t>Care Gap Health</t>
  </si>
  <si>
    <t>Coding Error Workqueue</t>
  </si>
  <si>
    <t>Rows 1 to 25 are Athena Health Insurance; rows 26 to 50 are Care Gap Health. Incorrect values are red and recommended corrections are green.</t>
  </si>
  <si>
    <t>Error ID</t>
  </si>
  <si>
    <t>Claim ID</t>
  </si>
  <si>
    <t>Patient ID</t>
  </si>
  <si>
    <t>Service Date</t>
  </si>
  <si>
    <t>Setting</t>
  </si>
  <si>
    <t>Provider</t>
  </si>
  <si>
    <t>Error Name</t>
  </si>
  <si>
    <t>Category</t>
  </si>
  <si>
    <t>Rule ID</t>
  </si>
  <si>
    <t>Severity</t>
  </si>
  <si>
    <t>Before / Error</t>
  </si>
  <si>
    <t>Recommended After</t>
  </si>
  <si>
    <t>Why Flagged</t>
  </si>
  <si>
    <t>Recommended Resolution</t>
  </si>
  <si>
    <t>Gross Charge ($)</t>
  </si>
  <si>
    <t>Revenue at Risk ($)</t>
  </si>
  <si>
    <t>Status</t>
  </si>
  <si>
    <t>Owner</t>
  </si>
  <si>
    <t>Target Date</t>
  </si>
  <si>
    <t>Notes</t>
  </si>
  <si>
    <t>ERR-0001</t>
  </si>
  <si>
    <t>CLM-260001</t>
  </si>
  <si>
    <t>P100001</t>
  </si>
  <si>
    <t>IPD</t>
  </si>
  <si>
    <t>Emily Carter, MD</t>
  </si>
  <si>
    <t>Wrong principal diagnosis</t>
  </si>
  <si>
    <t>Diagnosis coding</t>
  </si>
  <si>
    <t>RULE-001</t>
  </si>
  <si>
    <t>Critical</t>
  </si>
  <si>
    <t>R06.02 first</t>
  </si>
  <si>
    <t>J18.9 first</t>
  </si>
  <si>
    <t>Wrong principal diagnosis detected from claim and documentation review.</t>
  </si>
  <si>
    <t>Review complete record and resequence principal diagnosis</t>
  </si>
  <si>
    <t>Open</t>
  </si>
  <si>
    <t>Coding Team</t>
  </si>
  <si>
    <t>Synthetic POC case</t>
  </si>
  <si>
    <t>ERR-0002</t>
  </si>
  <si>
    <t>CLM-260002</t>
  </si>
  <si>
    <t>P100002</t>
  </si>
  <si>
    <t>OPD</t>
  </si>
  <si>
    <t>Michael Ross, MD</t>
  </si>
  <si>
    <t>Incorrect DRG assignment</t>
  </si>
  <si>
    <t>Inpatient reimbursement</t>
  </si>
  <si>
    <t>RULE-002</t>
  </si>
  <si>
    <t>MS-DRG 195</t>
  </si>
  <si>
    <t>MS-DRG 193</t>
  </si>
  <si>
    <t>Incorrect DRG assignment detected from claim and documentation review.</t>
  </si>
  <si>
    <t>Validate diagnoses, procedures and CC/MCC; recalculate DRG</t>
  </si>
  <si>
    <t>In Review</t>
  </si>
  <si>
    <t>CDI Team</t>
  </si>
  <si>
    <t>ERR-0003</t>
  </si>
  <si>
    <t>CLM-260003</t>
  </si>
  <si>
    <t>P100003</t>
  </si>
  <si>
    <t>Sophia Bennett, MD</t>
  </si>
  <si>
    <t>Inappropriate modifier</t>
  </si>
  <si>
    <t>Modifier</t>
  </si>
  <si>
    <t>RULE-003</t>
  </si>
  <si>
    <t>High</t>
  </si>
  <si>
    <t>99214-59</t>
  </si>
  <si>
    <t>99214</t>
  </si>
  <si>
    <t>Inappropriate modifier detected from claim and documentation review.</t>
  </si>
  <si>
    <t>Remove or replace modifier based on documentation</t>
  </si>
  <si>
    <t>Provider Query</t>
  </si>
  <si>
    <t>Billing Team</t>
  </si>
  <si>
    <t>ERR-0004</t>
  </si>
  <si>
    <t>CLM-260004</t>
  </si>
  <si>
    <t>P100004</t>
  </si>
  <si>
    <t>Daniel Brooks, MD</t>
  </si>
  <si>
    <t>Lack of medical necessity</t>
  </si>
  <si>
    <t>Medical necessity</t>
  </si>
  <si>
    <t>RULE-004</t>
  </si>
  <si>
    <t>71046 linked to H66.90</t>
  </si>
  <si>
    <t>Hold or link supported diagnosis</t>
  </si>
  <si>
    <t>Lack of medical necessity detected from claim and documentation review.</t>
  </si>
  <si>
    <t>Correct diagnosis linkage or hold unsupported service</t>
  </si>
  <si>
    <t>Corrected</t>
  </si>
  <si>
    <t>Compliance</t>
  </si>
  <si>
    <t>ERR-0005</t>
  </si>
  <si>
    <t>CLM-260005</t>
  </si>
  <si>
    <t>P100005</t>
  </si>
  <si>
    <t>Upcoding</t>
  </si>
  <si>
    <t>Code level</t>
  </si>
  <si>
    <t>RULE-005</t>
  </si>
  <si>
    <t>99215</t>
  </si>
  <si>
    <t>99213</t>
  </si>
  <si>
    <t>Upcoding detected from claim and documentation review.</t>
  </si>
  <si>
    <t>Reduce to documentation-supported code and compliance review</t>
  </si>
  <si>
    <t>Validated</t>
  </si>
  <si>
    <t>ERR-0006</t>
  </si>
  <si>
    <t>CLM-260006</t>
  </si>
  <si>
    <t>P100006</t>
  </si>
  <si>
    <t>Undercoding</t>
  </si>
  <si>
    <t>RULE-006</t>
  </si>
  <si>
    <t>99212</t>
  </si>
  <si>
    <t>Undercoding detected from claim and documentation review.</t>
  </si>
  <si>
    <t>Assign documented complexity and review revenue impact</t>
  </si>
  <si>
    <t>ERR-0007</t>
  </si>
  <si>
    <t>CLM-260007</t>
  </si>
  <si>
    <t>P100007</t>
  </si>
  <si>
    <t>Insufficient documentation</t>
  </si>
  <si>
    <t>Documentation</t>
  </si>
  <si>
    <t>RULE-007</t>
  </si>
  <si>
    <t>Unspecified code</t>
  </si>
  <si>
    <t>Provider query</t>
  </si>
  <si>
    <t>Insufficient documentation detected from claim and documentation review.</t>
  </si>
  <si>
    <t>Send non-leading provider query and complete documentation</t>
  </si>
  <si>
    <t>ERR-0008</t>
  </si>
  <si>
    <t>CLM-260008</t>
  </si>
  <si>
    <t>P100008</t>
  </si>
  <si>
    <t>Unbundling / NCCI conflict</t>
  </si>
  <si>
    <t>NCCI / bundling</t>
  </si>
  <si>
    <t>RULE-008</t>
  </si>
  <si>
    <t>01829 + 01830</t>
  </si>
  <si>
    <t>01830</t>
  </si>
  <si>
    <t>Unbundling / NCCI conflict detected from claim and documentation review.</t>
  </si>
  <si>
    <t>Bundle components unless valid modifier exception is supported</t>
  </si>
  <si>
    <t>ERR-0009</t>
  </si>
  <si>
    <t>CLM-260009</t>
  </si>
  <si>
    <t>P100009</t>
  </si>
  <si>
    <t>Duplicate billing</t>
  </si>
  <si>
    <t>Billing integrity</t>
  </si>
  <si>
    <t>RULE-009</t>
  </si>
  <si>
    <t>93000 x2</t>
  </si>
  <si>
    <t>93000 x1</t>
  </si>
  <si>
    <t>Duplicate billing detected from claim and documentation review.</t>
  </si>
  <si>
    <t>Void duplicate and retain valid original service</t>
  </si>
  <si>
    <t>ERR-0010</t>
  </si>
  <si>
    <t>CLM-260010</t>
  </si>
  <si>
    <t>P100010</t>
  </si>
  <si>
    <t>Wrong procedure code</t>
  </si>
  <si>
    <t>Procedure coding</t>
  </si>
  <si>
    <t>RULE-010</t>
  </si>
  <si>
    <t>71045</t>
  </si>
  <si>
    <t>71046</t>
  </si>
  <si>
    <t>Wrong procedure code detected from claim and documentation review.</t>
  </si>
  <si>
    <t>Review procedure note and assign correct CPT/HCPCS</t>
  </si>
  <si>
    <t>ERR-0011</t>
  </si>
  <si>
    <t>CLM-260011</t>
  </si>
  <si>
    <t>P100011</t>
  </si>
  <si>
    <t>Diagnosis not linked to service</t>
  </si>
  <si>
    <t>Diagnosis linkage</t>
  </si>
  <si>
    <t>RULE-011</t>
  </si>
  <si>
    <t>17110 linked to I10</t>
  </si>
  <si>
    <t>17110 linked to B07.9</t>
  </si>
  <si>
    <t>Diagnosis not linked to service detected from claim and documentation review.</t>
  </si>
  <si>
    <t>Link service to diagnosis supporting medical necessity</t>
  </si>
  <si>
    <t>ERR-0012</t>
  </si>
  <si>
    <t>CLM-260012</t>
  </si>
  <si>
    <t>P100012</t>
  </si>
  <si>
    <t>Outdated or deleted code</t>
  </si>
  <si>
    <t>Code currency</t>
  </si>
  <si>
    <t>RULE-012</t>
  </si>
  <si>
    <t>Inactive code</t>
  </si>
  <si>
    <t>Current valid code</t>
  </si>
  <si>
    <t>Outdated or deleted code detected from claim and documentation review.</t>
  </si>
  <si>
    <t>Use valid code effective on date of service</t>
  </si>
  <si>
    <t>ERR-0013</t>
  </si>
  <si>
    <t>CLM-260013</t>
  </si>
  <si>
    <t>P100013</t>
  </si>
  <si>
    <t>Missing laterality or specificity</t>
  </si>
  <si>
    <t>RULE-013</t>
  </si>
  <si>
    <t>M25.51</t>
  </si>
  <si>
    <t>M25.511</t>
  </si>
  <si>
    <t>Missing laterality or specificity detected from claim and documentation review.</t>
  </si>
  <si>
    <t>Assign highest specificity supported by record</t>
  </si>
  <si>
    <t>ERR-0014</t>
  </si>
  <si>
    <t>CLM-260014</t>
  </si>
  <si>
    <t>P100014</t>
  </si>
  <si>
    <t>Multiple units billed incorrectly</t>
  </si>
  <si>
    <t>Units</t>
  </si>
  <si>
    <t>RULE-014</t>
  </si>
  <si>
    <t>J-code x4</t>
  </si>
  <si>
    <t>J-code x1</t>
  </si>
  <si>
    <t>Multiple units billed incorrectly detected from claim and documentation review.</t>
  </si>
  <si>
    <t>Correct units using MAR or procedure documentation</t>
  </si>
  <si>
    <t>ERR-0015</t>
  </si>
  <si>
    <t>CLM-260015</t>
  </si>
  <si>
    <t>P100015</t>
  </si>
  <si>
    <t>Incorrect place of service</t>
  </si>
  <si>
    <t>Claim data</t>
  </si>
  <si>
    <t>RULE-015</t>
  </si>
  <si>
    <t>POS 21</t>
  </si>
  <si>
    <t>POS 22</t>
  </si>
  <si>
    <t>Incorrect place of service detected from claim and documentation review.</t>
  </si>
  <si>
    <t>Correct POS to match encounter setting</t>
  </si>
  <si>
    <t>ERR-0016</t>
  </si>
  <si>
    <t>CLM-260016</t>
  </si>
  <si>
    <t>P100016</t>
  </si>
  <si>
    <t>Unsupported time-based coding</t>
  </si>
  <si>
    <t>E/M coding</t>
  </si>
  <si>
    <t>RULE-016</t>
  </si>
  <si>
    <t>99215 time-based</t>
  </si>
  <si>
    <t>99214 MDM-based</t>
  </si>
  <si>
    <t>Unsupported time-based coding detected from claim and documentation review.</t>
  </si>
  <si>
    <t>Use MDM level or document qualifying total time</t>
  </si>
  <si>
    <t>ERR-0017</t>
  </si>
  <si>
    <t>CLM-260017</t>
  </si>
  <si>
    <t>P100017</t>
  </si>
  <si>
    <t>Incorrect patient or claim data</t>
  </si>
  <si>
    <t>Demographic / claim data</t>
  </si>
  <si>
    <t>RULE-017</t>
  </si>
  <si>
    <t>Wrong member ID</t>
  </si>
  <si>
    <t>Correct eligible member ID</t>
  </si>
  <si>
    <t>Incorrect patient or claim data detected from claim and documentation review.</t>
  </si>
  <si>
    <t>Correct eligibility or claim data before resubmission</t>
  </si>
  <si>
    <t>ERR-0018</t>
  </si>
  <si>
    <t>CLM-260018</t>
  </si>
  <si>
    <t>P100018</t>
  </si>
  <si>
    <t>Symptom coded instead of confirmed diagnosis</t>
  </si>
  <si>
    <t>RULE-018</t>
  </si>
  <si>
    <t>Medium</t>
  </si>
  <si>
    <t>R50.9</t>
  </si>
  <si>
    <t>J18.9</t>
  </si>
  <si>
    <t>Symptom coded instead of confirmed diagnosis detected from claim and documentation review.</t>
  </si>
  <si>
    <t>Use confirmed diagnosis when supported</t>
  </si>
  <si>
    <t>ERR-0019</t>
  </si>
  <si>
    <t>CLM-260019</t>
  </si>
  <si>
    <t>P100019</t>
  </si>
  <si>
    <t>Missing coexisting condition</t>
  </si>
  <si>
    <t>Inpatient coding</t>
  </si>
  <si>
    <t>RULE-019</t>
  </si>
  <si>
    <t>Comorbidity omitted</t>
  </si>
  <si>
    <t>Add supported secondary diagnosis</t>
  </si>
  <si>
    <t>Missing coexisting condition detected from claim and documentation review.</t>
  </si>
  <si>
    <t>Capture reportable condition affecting care</t>
  </si>
  <si>
    <t>ERR-0020</t>
  </si>
  <si>
    <t>CLM-260020</t>
  </si>
  <si>
    <t>P100020</t>
  </si>
  <si>
    <t>Conflicting documentation</t>
  </si>
  <si>
    <t>RULE-020</t>
  </si>
  <si>
    <t>Conflicting diagnosis</t>
  </si>
  <si>
    <t>Provider clarification</t>
  </si>
  <si>
    <t>Conflicting documentation detected from claim and documentation review.</t>
  </si>
  <si>
    <t>Issue clarification query and resolve conflict</t>
  </si>
  <si>
    <t>ERR-0021</t>
  </si>
  <si>
    <t>CLM-260021</t>
  </si>
  <si>
    <t>P100021</t>
  </si>
  <si>
    <t>ERR-0022</t>
  </si>
  <si>
    <t>CLM-260022</t>
  </si>
  <si>
    <t>P100022</t>
  </si>
  <si>
    <t>ERR-0023</t>
  </si>
  <si>
    <t>CLM-260023</t>
  </si>
  <si>
    <t>P100023</t>
  </si>
  <si>
    <t>ERR-0024</t>
  </si>
  <si>
    <t>CLM-260024</t>
  </si>
  <si>
    <t>P100024</t>
  </si>
  <si>
    <t>ERR-0025</t>
  </si>
  <si>
    <t>CLM-260025</t>
  </si>
  <si>
    <t>P100025</t>
  </si>
  <si>
    <t>ERR-0026</t>
  </si>
  <si>
    <t>CLM-260026</t>
  </si>
  <si>
    <t>P100026</t>
  </si>
  <si>
    <t>ERR-0027</t>
  </si>
  <si>
    <t>CLM-260027</t>
  </si>
  <si>
    <t>P100027</t>
  </si>
  <si>
    <t>ERR-0028</t>
  </si>
  <si>
    <t>CLM-260028</t>
  </si>
  <si>
    <t>P100028</t>
  </si>
  <si>
    <t>ERR-0029</t>
  </si>
  <si>
    <t>CLM-260029</t>
  </si>
  <si>
    <t>P100029</t>
  </si>
  <si>
    <t>ERR-0030</t>
  </si>
  <si>
    <t>CLM-260030</t>
  </si>
  <si>
    <t>P100030</t>
  </si>
  <si>
    <t>ERR-0031</t>
  </si>
  <si>
    <t>CLM-260031</t>
  </si>
  <si>
    <t>P100031</t>
  </si>
  <si>
    <t>ERR-0032</t>
  </si>
  <si>
    <t>CLM-260032</t>
  </si>
  <si>
    <t>P100032</t>
  </si>
  <si>
    <t>ERR-0033</t>
  </si>
  <si>
    <t>CLM-260033</t>
  </si>
  <si>
    <t>P100033</t>
  </si>
  <si>
    <t>ERR-0034</t>
  </si>
  <si>
    <t>CLM-260034</t>
  </si>
  <si>
    <t>P100034</t>
  </si>
  <si>
    <t>ERR-0035</t>
  </si>
  <si>
    <t>CLM-260035</t>
  </si>
  <si>
    <t>P100035</t>
  </si>
  <si>
    <t>ERR-0036</t>
  </si>
  <si>
    <t>CLM-260036</t>
  </si>
  <si>
    <t>P100036</t>
  </si>
  <si>
    <t>ERR-0037</t>
  </si>
  <si>
    <t>CLM-260037</t>
  </si>
  <si>
    <t>P100037</t>
  </si>
  <si>
    <t>ERR-0038</t>
  </si>
  <si>
    <t>CLM-260038</t>
  </si>
  <si>
    <t>P100038</t>
  </si>
  <si>
    <t>ERR-0039</t>
  </si>
  <si>
    <t>CLM-260039</t>
  </si>
  <si>
    <t>P100039</t>
  </si>
  <si>
    <t>ERR-0040</t>
  </si>
  <si>
    <t>CLM-260040</t>
  </si>
  <si>
    <t>P100040</t>
  </si>
  <si>
    <t>ERR-0041</t>
  </si>
  <si>
    <t>CLM-260041</t>
  </si>
  <si>
    <t>P100041</t>
  </si>
  <si>
    <t>ERR-0042</t>
  </si>
  <si>
    <t>CLM-260042</t>
  </si>
  <si>
    <t>P100042</t>
  </si>
  <si>
    <t>ERR-0043</t>
  </si>
  <si>
    <t>CLM-260043</t>
  </si>
  <si>
    <t>P100043</t>
  </si>
  <si>
    <t>ERR-0044</t>
  </si>
  <si>
    <t>CLM-260044</t>
  </si>
  <si>
    <t>P100044</t>
  </si>
  <si>
    <t>ERR-0045</t>
  </si>
  <si>
    <t>CLM-260045</t>
  </si>
  <si>
    <t>P100045</t>
  </si>
  <si>
    <t>ERR-0046</t>
  </si>
  <si>
    <t>CLM-260046</t>
  </si>
  <si>
    <t>P100046</t>
  </si>
  <si>
    <t>ERR-0047</t>
  </si>
  <si>
    <t>CLM-260047</t>
  </si>
  <si>
    <t>P100047</t>
  </si>
  <si>
    <t>ERR-0048</t>
  </si>
  <si>
    <t>CLM-260048</t>
  </si>
  <si>
    <t>P100048</t>
  </si>
  <si>
    <t>ERR-0049</t>
  </si>
  <si>
    <t>CLM-260049</t>
  </si>
  <si>
    <t>P100049</t>
  </si>
  <si>
    <t>ERR-0050</t>
  </si>
  <si>
    <t>CLM-260050</t>
  </si>
  <si>
    <t>P100050</t>
  </si>
  <si>
    <t>Coding Error Taxonomy</t>
  </si>
  <si>
    <t>Coding and billing error categories used in the POC workqueue.</t>
  </si>
  <si>
    <t>Source</t>
  </si>
  <si>
    <t>Supplied coding-errors report</t>
  </si>
  <si>
    <t>Emery POC Demo Guide</t>
  </si>
  <si>
    <t>Suggested walkthrough for showing error detection and correction.</t>
  </si>
  <si>
    <t>Step</t>
  </si>
  <si>
    <t>Action</t>
  </si>
  <si>
    <t>Talking Point</t>
  </si>
  <si>
    <t>Outcome</t>
  </si>
  <si>
    <t>1</t>
  </si>
  <si>
    <t>Open dashboard</t>
  </si>
  <si>
    <t>Show the exact 25 / 25 payer distribution.</t>
  </si>
  <si>
    <t>Demo presenter</t>
  </si>
  <si>
    <t>Clear audit trail</t>
  </si>
  <si>
    <t>2</t>
  </si>
  <si>
    <t>Filter critical cases</t>
  </si>
  <si>
    <t>Demonstrate prioritization of compliance and denial risks.</t>
  </si>
  <si>
    <t>3</t>
  </si>
  <si>
    <t>Compare before and after</t>
  </si>
  <si>
    <t>Show the red error value and green recommended correction.</t>
  </si>
  <si>
    <t>4</t>
  </si>
  <si>
    <t>Assign ownership</t>
  </si>
  <si>
    <t>Route to Coding, CDI, Billing or Compliance.</t>
  </si>
  <si>
    <t>5</t>
  </si>
  <si>
    <t>Close the loop</t>
  </si>
  <si>
    <t>Change status to Corrected or Validated and explain second-level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</si>
</sst>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\$#,##0.00"/>
  </numFmts>
  <fonts count="5">
    <font>
      <sz val="11"/>
      <color theme="1"/>
      <name val="Calibri"/>
      <family val="2"/>
      <scheme val="minor"/>
    </font>
    <font>
      <b/>
      <sz val="17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22"/>
      <color rgb="FF17365D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166" fontId="0" fillId="0" borderId="0" xfId="0" applyNumberFormat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Cases by Payer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Dashboard'!B9</c:f>
              <c:strCache>
                <c:ptCount val="1"/>
                <c:pt idx="0">
                  <c:v>Cases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Dashboard'!$A$10:$A$11</c:f>
              <c:strCache>
                <c:ptCount val="2"/>
                <c:pt idx="0">
                  <c:v>Athena Health Insurance</c:v>
                </c:pt>
                <c:pt idx="1">
                  <c:v>Care Gap Health</c:v>
                </c:pt>
              </c:strCache>
            </c:strRef>
          </c:cat>
          <c:val>
            <c:numRef>
              <c:f>'Executive Dashboard'!$B$10:$B$11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A-4D23-9679-2614B4909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8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dingErrorWorkqueue" displayName="CodingErrorWorkqueue" ref="A4:U54">
  <autoFilter ref="A4:U54" xr:uid="{00000000-0009-0000-0100-000001000000}"/>
  <tableColumns count="21">
    <tableColumn id="1" xr3:uid="{00000000-0010-0000-0000-000001000000}" name="Error ID"/>
    <tableColumn id="2" xr3:uid="{00000000-0010-0000-0000-000002000000}" name="Claim ID"/>
    <tableColumn id="3" xr3:uid="{00000000-0010-0000-0000-000003000000}" name="Patient ID"/>
    <tableColumn id="4" xr3:uid="{00000000-0010-0000-0000-000004000000}" name="Service Date"/>
    <tableColumn id="5" xr3:uid="{00000000-0010-0000-0000-000005000000}" name="Payer"/>
    <tableColumn id="6" xr3:uid="{00000000-0010-0000-0000-000006000000}" name="Setting"/>
    <tableColumn id="7" xr3:uid="{00000000-0010-0000-0000-000007000000}" name="Provider"/>
    <tableColumn id="8" xr3:uid="{00000000-0010-0000-0000-000008000000}" name="Error Name"/>
    <tableColumn id="9" xr3:uid="{00000000-0010-0000-0000-000009000000}" name="Category"/>
    <tableColumn id="10" xr3:uid="{00000000-0010-0000-0000-00000A000000}" name="Rule ID"/>
    <tableColumn id="11" xr3:uid="{00000000-0010-0000-0000-00000B000000}" name="Severity"/>
    <tableColumn id="12" xr3:uid="{00000000-0010-0000-0000-00000C000000}" name="Before / Error"/>
    <tableColumn id="13" xr3:uid="{00000000-0010-0000-0000-00000D000000}" name="Recommended After"/>
    <tableColumn id="14" xr3:uid="{00000000-0010-0000-0000-00000E000000}" name="Why Flagged"/>
    <tableColumn id="15" xr3:uid="{00000000-0010-0000-0000-00000F000000}" name="Recommended Resolution"/>
    <tableColumn id="16" xr3:uid="{00000000-0010-0000-0000-000010000000}" name="Gross Charge ($)"/>
    <tableColumn id="17" xr3:uid="{00000000-0010-0000-0000-000011000000}" name="Revenue at Risk ($)"/>
    <tableColumn id="18" xr3:uid="{00000000-0010-0000-0000-000012000000}" name="Status"/>
    <tableColumn id="19" xr3:uid="{00000000-0010-0000-0000-000013000000}" name="Owner"/>
    <tableColumn id="20" xr3:uid="{00000000-0010-0000-0000-000014000000}" name="Target Date"/>
    <tableColumn id="21" xr3:uid="{00000000-0010-0000-0000-000015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dingErrorTaxonomy" displayName="CodingErrorTaxonomy" ref="A4:E24">
  <autoFilter ref="A4:E24" xr:uid="{00000000-0009-0000-0100-000002000000}"/>
  <tableColumns count="5">
    <tableColumn id="1" xr3:uid="{00000000-0010-0000-0100-000001000000}" name="Error Name"/>
    <tableColumn id="2" xr3:uid="{00000000-0010-0000-0100-000002000000}" name="Severity"/>
    <tableColumn id="3" xr3:uid="{00000000-0010-0000-0100-000003000000}" name="Category"/>
    <tableColumn id="4" xr3:uid="{00000000-0010-0000-0100-000004000000}" name="Recommended Resolution"/>
    <tableColumn id="5" xr3:uid="{00000000-0010-0000-0100-000005000000}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moGuide" displayName="DemoGuide" ref="A4:E9">
  <autoFilter ref="A4:E9" xr:uid="{00000000-0009-0000-0100-000003000000}"/>
  <tableColumns count="5">
    <tableColumn id="1" xr3:uid="{00000000-0010-0000-0200-000001000000}" name="Step"/>
    <tableColumn id="2" xr3:uid="{00000000-0010-0000-0200-000002000000}" name="Action"/>
    <tableColumn id="3" xr3:uid="{00000000-0010-0000-0200-000003000000}" name="Talking Point"/>
    <tableColumn id="4" xr3:uid="{00000000-0010-0000-0200-000004000000}" name="Owner"/>
    <tableColumn id="5" xr3:uid="{00000000-0010-0000-0200-000005000000}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5" customWidth="1"/>
    <col min="2" max="2" width="13" customWidth="1"/>
    <col min="3" max="3" width="4" customWidth="1"/>
    <col min="4" max="8" width="18" customWidth="1"/>
  </cols>
  <sheetData>
    <row r="1" spans="1:8">
      <c r="A1" s="12" t="s">
        <v>0</v>
      </c>
      <c r="B1" s="13"/>
      <c r="C1" s="13"/>
      <c r="D1" s="13"/>
      <c r="E1" s="13"/>
      <c r="F1" s="13"/>
      <c r="G1" s="13"/>
      <c r="H1" s="13"/>
    </row>
    <row r="2" spans="1:8">
      <c r="A2" s="10" t="s">
        <v>1</v>
      </c>
      <c r="B2" s="13"/>
      <c r="C2" s="13"/>
      <c r="D2" s="13"/>
      <c r="E2" s="13"/>
      <c r="F2" s="13"/>
      <c r="G2" s="13"/>
      <c r="H2" s="13"/>
    </row>
    <row r="4" spans="1:8">
      <c r="A4" s="9" t="s">
        <v>2</v>
      </c>
      <c r="B4" s="13"/>
      <c r="C4" s="9" t="s">
        <v>3</v>
      </c>
      <c r="D4" s="13"/>
      <c r="E4" s="9" t="s">
        <v>4</v>
      </c>
      <c r="F4" s="13"/>
      <c r="G4" s="9" t="s">
        <v>5</v>
      </c>
      <c r="H4" s="13"/>
    </row>
    <row r="5" spans="1:8">
      <c r="A5" s="11" t="str">
        <f>COUNTA('Error Workqueue'!A5:A54)</f>
        <v/>
      </c>
      <c r="B5" s="13"/>
      <c r="C5" s="11" t="str">
        <f>COUNTIF('Error Workqueue'!E:E,"Athena Health Insurance")</f>
        <v/>
      </c>
      <c r="D5" s="13"/>
      <c r="E5" s="11" t="str">
        <f>COUNTIF('Error Workqueue'!E:E,"Care Gap Health")</f>
        <v/>
      </c>
      <c r="F5" s="13"/>
      <c r="G5" s="11" t="str">
        <f>COUNTIF('Error Workqueue'!K:K,"Critical")</f>
        <v/>
      </c>
      <c r="H5" s="13"/>
    </row>
    <row r="6" spans="1:8">
      <c r="A6" s="13"/>
      <c r="B6" s="13"/>
      <c r="C6" s="13"/>
      <c r="D6" s="13"/>
      <c r="E6" s="13"/>
      <c r="F6" s="13"/>
      <c r="G6" s="13"/>
      <c r="H6" s="13"/>
    </row>
    <row r="9" spans="1:8">
      <c r="A9" s="1" t="s">
        <v>6</v>
      </c>
      <c r="B9" s="1" t="s">
        <v>7</v>
      </c>
    </row>
    <row r="10" spans="1:8">
      <c r="A10" t="s">
        <v>8</v>
      </c>
      <c r="B10" t="str">
        <f>COUNTIF('Error Workqueue'!E:E,A10)</f>
        <v/>
      </c>
    </row>
    <row r="11" spans="1:8">
      <c r="A11" t="s">
        <v>9</v>
      </c>
      <c r="B11" t="str">
        <f>COUNTIF('Error Workqueue'!E:E,A11)</f>
        <v/>
      </c>
    </row>
  </sheetData>
  <mergeCells count="10">
    <mergeCell ref="A1:H1"/>
    <mergeCell ref="C4:D4"/>
    <mergeCell ref="A4:B4"/>
    <mergeCell ref="G4:H4"/>
    <mergeCell ref="E4:F4"/>
    <mergeCell ref="A2:H2"/>
    <mergeCell ref="C5:D6"/>
    <mergeCell ref="A5:B6"/>
    <mergeCell ref="G5:H6"/>
    <mergeCell ref="E5:F6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" customWidth="1"/>
    <col min="2" max="2" width="13" customWidth="1"/>
    <col min="3" max="3" width="11" customWidth="1"/>
    <col min="4" max="4" width="12" customWidth="1"/>
    <col min="5" max="5" width="23" customWidth="1"/>
    <col min="6" max="6" width="9" customWidth="1"/>
    <col min="7" max="7" width="21" customWidth="1"/>
    <col min="8" max="8" width="31" customWidth="1"/>
    <col min="9" max="9" width="22" customWidth="1"/>
    <col min="10" max="10" width="12" customWidth="1"/>
    <col min="11" max="11" width="11" customWidth="1"/>
    <col min="12" max="12" width="25" customWidth="1"/>
    <col min="13" max="13" width="28" customWidth="1"/>
    <col min="14" max="14" width="40" customWidth="1"/>
    <col min="15" max="15" width="45" customWidth="1"/>
    <col min="16" max="16" width="16" customWidth="1"/>
    <col min="17" max="17" width="18" customWidth="1"/>
    <col min="18" max="18" width="16" customWidth="1"/>
    <col min="19" max="19" width="17" customWidth="1"/>
    <col min="20" max="20" width="13" customWidth="1"/>
    <col min="21" max="21" width="24" customWidth="1"/>
  </cols>
  <sheetData>
    <row r="1" spans="1:21">
      <c r="A1" s="12" t="s">
        <v>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>
      <c r="A2" s="10" t="s">
        <v>11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4" spans="1:21">
      <c r="A4" s="1" t="s">
        <v>12</v>
      </c>
      <c r="B4" s="1" t="s">
        <v>13</v>
      </c>
      <c r="C4" s="1" t="s">
        <v>14</v>
      </c>
      <c r="D4" s="1" t="s">
        <v>15</v>
      </c>
      <c r="E4" s="1" t="s">
        <v>6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27</v>
      </c>
      <c r="R4" s="1" t="s">
        <v>28</v>
      </c>
      <c r="S4" s="1" t="s">
        <v>29</v>
      </c>
      <c r="T4" s="1" t="s">
        <v>30</v>
      </c>
      <c r="U4" s="1" t="s">
        <v>31</v>
      </c>
    </row>
    <row r="5" spans="1:21" ht="33.950000000000003" customHeight="1">
      <c r="A5" s="2" t="s">
        <v>32</v>
      </c>
      <c r="B5" s="2" t="s">
        <v>33</v>
      </c>
      <c r="C5" s="2" t="s">
        <v>34</v>
      </c>
      <c r="D5" s="3">
        <v>46266</v>
      </c>
      <c r="E5" s="2" t="s">
        <v>8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4" t="s">
        <v>40</v>
      </c>
      <c r="L5" s="4" t="s">
        <v>41</v>
      </c>
      <c r="M5" s="5" t="s">
        <v>42</v>
      </c>
      <c r="N5" s="2" t="s">
        <v>43</v>
      </c>
      <c r="O5" s="2" t="s">
        <v>44</v>
      </c>
      <c r="P5" s="6">
        <v>3015.92</v>
      </c>
      <c r="Q5" s="6">
        <v>2412.7399999999998</v>
      </c>
      <c r="R5" s="2" t="s">
        <v>45</v>
      </c>
      <c r="S5" s="2" t="s">
        <v>46</v>
      </c>
      <c r="T5" s="3">
        <v>46302</v>
      </c>
      <c r="U5" s="2" t="s">
        <v>47</v>
      </c>
    </row>
    <row r="6" spans="1:21" ht="33.950000000000003" customHeight="1">
      <c r="A6" s="2" t="s">
        <v>48</v>
      </c>
      <c r="B6" s="2" t="s">
        <v>49</v>
      </c>
      <c r="C6" s="2" t="s">
        <v>50</v>
      </c>
      <c r="D6" s="3">
        <v>46267</v>
      </c>
      <c r="E6" s="2" t="s">
        <v>8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4" t="s">
        <v>40</v>
      </c>
      <c r="L6" s="4" t="s">
        <v>56</v>
      </c>
      <c r="M6" s="5" t="s">
        <v>57</v>
      </c>
      <c r="N6" s="2" t="s">
        <v>58</v>
      </c>
      <c r="O6" s="2" t="s">
        <v>59</v>
      </c>
      <c r="P6" s="6">
        <v>1485.02</v>
      </c>
      <c r="Q6" s="6">
        <v>1188.02</v>
      </c>
      <c r="R6" s="2" t="s">
        <v>60</v>
      </c>
      <c r="S6" s="2" t="s">
        <v>61</v>
      </c>
      <c r="T6" s="3">
        <v>46303</v>
      </c>
      <c r="U6" s="2" t="s">
        <v>47</v>
      </c>
    </row>
    <row r="7" spans="1:21" ht="33.950000000000003" customHeight="1">
      <c r="A7" s="2" t="s">
        <v>62</v>
      </c>
      <c r="B7" s="2" t="s">
        <v>63</v>
      </c>
      <c r="C7" s="2" t="s">
        <v>64</v>
      </c>
      <c r="D7" s="3">
        <v>46268</v>
      </c>
      <c r="E7" s="2" t="s">
        <v>8</v>
      </c>
      <c r="F7" s="2" t="s">
        <v>51</v>
      </c>
      <c r="G7" s="2" t="s">
        <v>65</v>
      </c>
      <c r="H7" s="2" t="s">
        <v>66</v>
      </c>
      <c r="I7" s="2" t="s">
        <v>67</v>
      </c>
      <c r="J7" s="2" t="s">
        <v>68</v>
      </c>
      <c r="K7" s="7" t="s">
        <v>69</v>
      </c>
      <c r="L7" s="4" t="s">
        <v>70</v>
      </c>
      <c r="M7" s="5" t="s">
        <v>71</v>
      </c>
      <c r="N7" s="2" t="s">
        <v>72</v>
      </c>
      <c r="O7" s="2" t="s">
        <v>73</v>
      </c>
      <c r="P7" s="6">
        <v>5910.77</v>
      </c>
      <c r="Q7" s="6">
        <v>2955.39</v>
      </c>
      <c r="R7" s="2" t="s">
        <v>74</v>
      </c>
      <c r="S7" s="2" t="s">
        <v>75</v>
      </c>
      <c r="T7" s="3">
        <v>46304</v>
      </c>
      <c r="U7" s="2" t="s">
        <v>47</v>
      </c>
    </row>
    <row r="8" spans="1:21" ht="33.950000000000003" customHeight="1">
      <c r="A8" s="2" t="s">
        <v>76</v>
      </c>
      <c r="B8" s="2" t="s">
        <v>77</v>
      </c>
      <c r="C8" s="2" t="s">
        <v>78</v>
      </c>
      <c r="D8" s="3">
        <v>46269</v>
      </c>
      <c r="E8" s="2" t="s">
        <v>8</v>
      </c>
      <c r="F8" s="2" t="s">
        <v>35</v>
      </c>
      <c r="G8" s="2" t="s">
        <v>79</v>
      </c>
      <c r="H8" s="2" t="s">
        <v>80</v>
      </c>
      <c r="I8" s="2" t="s">
        <v>81</v>
      </c>
      <c r="J8" s="2" t="s">
        <v>82</v>
      </c>
      <c r="K8" s="4" t="s">
        <v>40</v>
      </c>
      <c r="L8" s="4" t="s">
        <v>83</v>
      </c>
      <c r="M8" s="5" t="s">
        <v>84</v>
      </c>
      <c r="N8" s="2" t="s">
        <v>85</v>
      </c>
      <c r="O8" s="2" t="s">
        <v>86</v>
      </c>
      <c r="P8" s="6">
        <v>791.06</v>
      </c>
      <c r="Q8" s="6">
        <v>632.85</v>
      </c>
      <c r="R8" s="2" t="s">
        <v>87</v>
      </c>
      <c r="S8" s="2" t="s">
        <v>88</v>
      </c>
      <c r="T8" s="3">
        <v>46305</v>
      </c>
      <c r="U8" s="2" t="s">
        <v>47</v>
      </c>
    </row>
    <row r="9" spans="1:21" ht="33.950000000000003" customHeight="1">
      <c r="A9" s="2" t="s">
        <v>89</v>
      </c>
      <c r="B9" s="2" t="s">
        <v>90</v>
      </c>
      <c r="C9" s="2" t="s">
        <v>91</v>
      </c>
      <c r="D9" s="3">
        <v>46270</v>
      </c>
      <c r="E9" s="2" t="s">
        <v>8</v>
      </c>
      <c r="F9" s="2" t="s">
        <v>51</v>
      </c>
      <c r="G9" s="2" t="s">
        <v>36</v>
      </c>
      <c r="H9" s="2" t="s">
        <v>92</v>
      </c>
      <c r="I9" s="2" t="s">
        <v>93</v>
      </c>
      <c r="J9" s="2" t="s">
        <v>94</v>
      </c>
      <c r="K9" s="4" t="s">
        <v>40</v>
      </c>
      <c r="L9" s="4" t="s">
        <v>95</v>
      </c>
      <c r="M9" s="5" t="s">
        <v>96</v>
      </c>
      <c r="N9" s="2" t="s">
        <v>97</v>
      </c>
      <c r="O9" s="2" t="s">
        <v>98</v>
      </c>
      <c r="P9" s="6">
        <v>4892.5600000000004</v>
      </c>
      <c r="Q9" s="6">
        <v>3914.05</v>
      </c>
      <c r="R9" s="2" t="s">
        <v>99</v>
      </c>
      <c r="S9" s="2" t="s">
        <v>46</v>
      </c>
      <c r="T9" s="3">
        <v>46306</v>
      </c>
      <c r="U9" s="2" t="s">
        <v>47</v>
      </c>
    </row>
    <row r="10" spans="1:21" ht="33.950000000000003" customHeight="1">
      <c r="A10" s="2" t="s">
        <v>100</v>
      </c>
      <c r="B10" s="2" t="s">
        <v>101</v>
      </c>
      <c r="C10" s="2" t="s">
        <v>102</v>
      </c>
      <c r="D10" s="3">
        <v>46271</v>
      </c>
      <c r="E10" s="2" t="s">
        <v>8</v>
      </c>
      <c r="F10" s="2" t="s">
        <v>51</v>
      </c>
      <c r="G10" s="2" t="s">
        <v>52</v>
      </c>
      <c r="H10" s="2" t="s">
        <v>103</v>
      </c>
      <c r="I10" s="2" t="s">
        <v>93</v>
      </c>
      <c r="J10" s="2" t="s">
        <v>104</v>
      </c>
      <c r="K10" s="7" t="s">
        <v>69</v>
      </c>
      <c r="L10" s="4" t="s">
        <v>105</v>
      </c>
      <c r="M10" s="5" t="s">
        <v>71</v>
      </c>
      <c r="N10" s="2" t="s">
        <v>106</v>
      </c>
      <c r="O10" s="2" t="s">
        <v>107</v>
      </c>
      <c r="P10" s="6">
        <v>3386.35</v>
      </c>
      <c r="Q10" s="6">
        <v>1693.17</v>
      </c>
      <c r="R10" s="2" t="s">
        <v>45</v>
      </c>
      <c r="S10" s="2" t="s">
        <v>61</v>
      </c>
      <c r="T10" s="3">
        <v>46307</v>
      </c>
      <c r="U10" s="2" t="s">
        <v>47</v>
      </c>
    </row>
    <row r="11" spans="1:21" ht="33.950000000000003" customHeight="1">
      <c r="A11" s="2" t="s">
        <v>108</v>
      </c>
      <c r="B11" s="2" t="s">
        <v>109</v>
      </c>
      <c r="C11" s="2" t="s">
        <v>110</v>
      </c>
      <c r="D11" s="3">
        <v>46272</v>
      </c>
      <c r="E11" s="2" t="s">
        <v>8</v>
      </c>
      <c r="F11" s="2" t="s">
        <v>35</v>
      </c>
      <c r="G11" s="2" t="s">
        <v>65</v>
      </c>
      <c r="H11" s="2" t="s">
        <v>111</v>
      </c>
      <c r="I11" s="2" t="s">
        <v>112</v>
      </c>
      <c r="J11" s="2" t="s">
        <v>113</v>
      </c>
      <c r="K11" s="7" t="s">
        <v>69</v>
      </c>
      <c r="L11" s="4" t="s">
        <v>114</v>
      </c>
      <c r="M11" s="5" t="s">
        <v>115</v>
      </c>
      <c r="N11" s="2" t="s">
        <v>116</v>
      </c>
      <c r="O11" s="2" t="s">
        <v>117</v>
      </c>
      <c r="P11" s="6">
        <v>663.29</v>
      </c>
      <c r="Q11" s="6">
        <v>331.64</v>
      </c>
      <c r="R11" s="2" t="s">
        <v>60</v>
      </c>
      <c r="S11" s="2" t="s">
        <v>75</v>
      </c>
      <c r="T11" s="3">
        <v>46308</v>
      </c>
      <c r="U11" s="2" t="s">
        <v>47</v>
      </c>
    </row>
    <row r="12" spans="1:21" ht="33.950000000000003" customHeight="1">
      <c r="A12" s="2" t="s">
        <v>118</v>
      </c>
      <c r="B12" s="2" t="s">
        <v>119</v>
      </c>
      <c r="C12" s="2" t="s">
        <v>120</v>
      </c>
      <c r="D12" s="3">
        <v>46273</v>
      </c>
      <c r="E12" s="2" t="s">
        <v>8</v>
      </c>
      <c r="F12" s="2" t="s">
        <v>51</v>
      </c>
      <c r="G12" s="2" t="s">
        <v>79</v>
      </c>
      <c r="H12" s="2" t="s">
        <v>121</v>
      </c>
      <c r="I12" s="2" t="s">
        <v>122</v>
      </c>
      <c r="J12" s="2" t="s">
        <v>123</v>
      </c>
      <c r="K12" s="4" t="s">
        <v>40</v>
      </c>
      <c r="L12" s="4" t="s">
        <v>124</v>
      </c>
      <c r="M12" s="5" t="s">
        <v>125</v>
      </c>
      <c r="N12" s="2" t="s">
        <v>126</v>
      </c>
      <c r="O12" s="2" t="s">
        <v>127</v>
      </c>
      <c r="P12" s="6">
        <v>4640.8100000000004</v>
      </c>
      <c r="Q12" s="6">
        <v>3712.65</v>
      </c>
      <c r="R12" s="2" t="s">
        <v>74</v>
      </c>
      <c r="S12" s="2" t="s">
        <v>88</v>
      </c>
      <c r="T12" s="3">
        <v>46302</v>
      </c>
      <c r="U12" s="2" t="s">
        <v>47</v>
      </c>
    </row>
    <row r="13" spans="1:21" ht="33.950000000000003" customHeight="1">
      <c r="A13" s="2" t="s">
        <v>128</v>
      </c>
      <c r="B13" s="2" t="s">
        <v>129</v>
      </c>
      <c r="C13" s="2" t="s">
        <v>130</v>
      </c>
      <c r="D13" s="3">
        <v>46274</v>
      </c>
      <c r="E13" s="2" t="s">
        <v>8</v>
      </c>
      <c r="F13" s="2" t="s">
        <v>51</v>
      </c>
      <c r="G13" s="2" t="s">
        <v>36</v>
      </c>
      <c r="H13" s="2" t="s">
        <v>131</v>
      </c>
      <c r="I13" s="2" t="s">
        <v>132</v>
      </c>
      <c r="J13" s="2" t="s">
        <v>133</v>
      </c>
      <c r="K13" s="4" t="s">
        <v>40</v>
      </c>
      <c r="L13" s="4" t="s">
        <v>134</v>
      </c>
      <c r="M13" s="5" t="s">
        <v>135</v>
      </c>
      <c r="N13" s="2" t="s">
        <v>136</v>
      </c>
      <c r="O13" s="2" t="s">
        <v>137</v>
      </c>
      <c r="P13" s="6">
        <v>481.84</v>
      </c>
      <c r="Q13" s="6">
        <v>385.47</v>
      </c>
      <c r="R13" s="2" t="s">
        <v>87</v>
      </c>
      <c r="S13" s="2" t="s">
        <v>46</v>
      </c>
      <c r="T13" s="3">
        <v>46303</v>
      </c>
      <c r="U13" s="2" t="s">
        <v>47</v>
      </c>
    </row>
    <row r="14" spans="1:21" ht="33.950000000000003" customHeight="1">
      <c r="A14" s="2" t="s">
        <v>138</v>
      </c>
      <c r="B14" s="2" t="s">
        <v>139</v>
      </c>
      <c r="C14" s="2" t="s">
        <v>140</v>
      </c>
      <c r="D14" s="3">
        <v>46275</v>
      </c>
      <c r="E14" s="2" t="s">
        <v>8</v>
      </c>
      <c r="F14" s="2" t="s">
        <v>35</v>
      </c>
      <c r="G14" s="2" t="s">
        <v>52</v>
      </c>
      <c r="H14" s="2" t="s">
        <v>141</v>
      </c>
      <c r="I14" s="2" t="s">
        <v>142</v>
      </c>
      <c r="J14" s="2" t="s">
        <v>143</v>
      </c>
      <c r="K14" s="7" t="s">
        <v>69</v>
      </c>
      <c r="L14" s="4" t="s">
        <v>144</v>
      </c>
      <c r="M14" s="5" t="s">
        <v>145</v>
      </c>
      <c r="N14" s="2" t="s">
        <v>146</v>
      </c>
      <c r="O14" s="2" t="s">
        <v>147</v>
      </c>
      <c r="P14" s="6">
        <v>3987.76</v>
      </c>
      <c r="Q14" s="6">
        <v>1993.88</v>
      </c>
      <c r="R14" s="2" t="s">
        <v>99</v>
      </c>
      <c r="S14" s="2" t="s">
        <v>61</v>
      </c>
      <c r="T14" s="3">
        <v>46304</v>
      </c>
      <c r="U14" s="2" t="s">
        <v>47</v>
      </c>
    </row>
    <row r="15" spans="1:21" ht="33.950000000000003" customHeight="1">
      <c r="A15" s="2" t="s">
        <v>148</v>
      </c>
      <c r="B15" s="2" t="s">
        <v>149</v>
      </c>
      <c r="C15" s="2" t="s">
        <v>150</v>
      </c>
      <c r="D15" s="3">
        <v>46276</v>
      </c>
      <c r="E15" s="2" t="s">
        <v>8</v>
      </c>
      <c r="F15" s="2" t="s">
        <v>51</v>
      </c>
      <c r="G15" s="2" t="s">
        <v>65</v>
      </c>
      <c r="H15" s="2" t="s">
        <v>151</v>
      </c>
      <c r="I15" s="2" t="s">
        <v>152</v>
      </c>
      <c r="J15" s="2" t="s">
        <v>153</v>
      </c>
      <c r="K15" s="7" t="s">
        <v>69</v>
      </c>
      <c r="L15" s="4" t="s">
        <v>154</v>
      </c>
      <c r="M15" s="5" t="s">
        <v>155</v>
      </c>
      <c r="N15" s="2" t="s">
        <v>156</v>
      </c>
      <c r="O15" s="2" t="s">
        <v>157</v>
      </c>
      <c r="P15" s="6">
        <v>768.22</v>
      </c>
      <c r="Q15" s="6">
        <v>384.11</v>
      </c>
      <c r="R15" s="2" t="s">
        <v>45</v>
      </c>
      <c r="S15" s="2" t="s">
        <v>75</v>
      </c>
      <c r="T15" s="3">
        <v>46305</v>
      </c>
      <c r="U15" s="2" t="s">
        <v>47</v>
      </c>
    </row>
    <row r="16" spans="1:21" ht="33.950000000000003" customHeight="1">
      <c r="A16" s="2" t="s">
        <v>158</v>
      </c>
      <c r="B16" s="2" t="s">
        <v>159</v>
      </c>
      <c r="C16" s="2" t="s">
        <v>160</v>
      </c>
      <c r="D16" s="3">
        <v>46277</v>
      </c>
      <c r="E16" s="2" t="s">
        <v>8</v>
      </c>
      <c r="F16" s="2" t="s">
        <v>51</v>
      </c>
      <c r="G16" s="2" t="s">
        <v>79</v>
      </c>
      <c r="H16" s="2" t="s">
        <v>161</v>
      </c>
      <c r="I16" s="2" t="s">
        <v>162</v>
      </c>
      <c r="J16" s="2" t="s">
        <v>163</v>
      </c>
      <c r="K16" s="7" t="s">
        <v>69</v>
      </c>
      <c r="L16" s="4" t="s">
        <v>164</v>
      </c>
      <c r="M16" s="5" t="s">
        <v>165</v>
      </c>
      <c r="N16" s="2" t="s">
        <v>166</v>
      </c>
      <c r="O16" s="2" t="s">
        <v>167</v>
      </c>
      <c r="P16" s="6">
        <v>952.81</v>
      </c>
      <c r="Q16" s="6">
        <v>476.4</v>
      </c>
      <c r="R16" s="2" t="s">
        <v>60</v>
      </c>
      <c r="S16" s="2" t="s">
        <v>88</v>
      </c>
      <c r="T16" s="3">
        <v>46306</v>
      </c>
      <c r="U16" s="2" t="s">
        <v>47</v>
      </c>
    </row>
    <row r="17" spans="1:21" ht="33.950000000000003" customHeight="1">
      <c r="A17" s="2" t="s">
        <v>168</v>
      </c>
      <c r="B17" s="2" t="s">
        <v>169</v>
      </c>
      <c r="C17" s="2" t="s">
        <v>170</v>
      </c>
      <c r="D17" s="3">
        <v>46278</v>
      </c>
      <c r="E17" s="2" t="s">
        <v>8</v>
      </c>
      <c r="F17" s="2" t="s">
        <v>35</v>
      </c>
      <c r="G17" s="2" t="s">
        <v>36</v>
      </c>
      <c r="H17" s="2" t="s">
        <v>171</v>
      </c>
      <c r="I17" s="2" t="s">
        <v>38</v>
      </c>
      <c r="J17" s="2" t="s">
        <v>172</v>
      </c>
      <c r="K17" s="7" t="s">
        <v>69</v>
      </c>
      <c r="L17" s="4" t="s">
        <v>173</v>
      </c>
      <c r="M17" s="5" t="s">
        <v>174</v>
      </c>
      <c r="N17" s="2" t="s">
        <v>175</v>
      </c>
      <c r="O17" s="2" t="s">
        <v>176</v>
      </c>
      <c r="P17" s="6">
        <v>3906.99</v>
      </c>
      <c r="Q17" s="6">
        <v>1953.49</v>
      </c>
      <c r="R17" s="2" t="s">
        <v>74</v>
      </c>
      <c r="S17" s="2" t="s">
        <v>46</v>
      </c>
      <c r="T17" s="3">
        <v>46307</v>
      </c>
      <c r="U17" s="2" t="s">
        <v>47</v>
      </c>
    </row>
    <row r="18" spans="1:21" ht="33.950000000000003" customHeight="1">
      <c r="A18" s="2" t="s">
        <v>177</v>
      </c>
      <c r="B18" s="2" t="s">
        <v>178</v>
      </c>
      <c r="C18" s="2" t="s">
        <v>179</v>
      </c>
      <c r="D18" s="3">
        <v>46279</v>
      </c>
      <c r="E18" s="2" t="s">
        <v>8</v>
      </c>
      <c r="F18" s="2" t="s">
        <v>51</v>
      </c>
      <c r="G18" s="2" t="s">
        <v>52</v>
      </c>
      <c r="H18" s="2" t="s">
        <v>180</v>
      </c>
      <c r="I18" s="2" t="s">
        <v>181</v>
      </c>
      <c r="J18" s="2" t="s">
        <v>182</v>
      </c>
      <c r="K18" s="7" t="s">
        <v>69</v>
      </c>
      <c r="L18" s="4" t="s">
        <v>183</v>
      </c>
      <c r="M18" s="5" t="s">
        <v>184</v>
      </c>
      <c r="N18" s="2" t="s">
        <v>185</v>
      </c>
      <c r="O18" s="2" t="s">
        <v>186</v>
      </c>
      <c r="P18" s="6">
        <v>7467.64</v>
      </c>
      <c r="Q18" s="6">
        <v>3733.82</v>
      </c>
      <c r="R18" s="2" t="s">
        <v>87</v>
      </c>
      <c r="S18" s="2" t="s">
        <v>61</v>
      </c>
      <c r="T18" s="3">
        <v>46308</v>
      </c>
      <c r="U18" s="2" t="s">
        <v>47</v>
      </c>
    </row>
    <row r="19" spans="1:21" ht="33.950000000000003" customHeight="1">
      <c r="A19" s="2" t="s">
        <v>187</v>
      </c>
      <c r="B19" s="2" t="s">
        <v>188</v>
      </c>
      <c r="C19" s="2" t="s">
        <v>189</v>
      </c>
      <c r="D19" s="3">
        <v>46280</v>
      </c>
      <c r="E19" s="2" t="s">
        <v>8</v>
      </c>
      <c r="F19" s="2" t="s">
        <v>51</v>
      </c>
      <c r="G19" s="2" t="s">
        <v>65</v>
      </c>
      <c r="H19" s="2" t="s">
        <v>190</v>
      </c>
      <c r="I19" s="2" t="s">
        <v>191</v>
      </c>
      <c r="J19" s="2" t="s">
        <v>192</v>
      </c>
      <c r="K19" s="7" t="s">
        <v>69</v>
      </c>
      <c r="L19" s="4" t="s">
        <v>193</v>
      </c>
      <c r="M19" s="5" t="s">
        <v>194</v>
      </c>
      <c r="N19" s="2" t="s">
        <v>195</v>
      </c>
      <c r="O19" s="2" t="s">
        <v>196</v>
      </c>
      <c r="P19" s="6">
        <v>1245.6500000000001</v>
      </c>
      <c r="Q19" s="6">
        <v>622.83000000000004</v>
      </c>
      <c r="R19" s="2" t="s">
        <v>99</v>
      </c>
      <c r="S19" s="2" t="s">
        <v>75</v>
      </c>
      <c r="T19" s="3">
        <v>46302</v>
      </c>
      <c r="U19" s="2" t="s">
        <v>47</v>
      </c>
    </row>
    <row r="20" spans="1:21" ht="33.950000000000003" customHeight="1">
      <c r="A20" s="2" t="s">
        <v>197</v>
      </c>
      <c r="B20" s="2" t="s">
        <v>198</v>
      </c>
      <c r="C20" s="2" t="s">
        <v>199</v>
      </c>
      <c r="D20" s="3">
        <v>46281</v>
      </c>
      <c r="E20" s="2" t="s">
        <v>8</v>
      </c>
      <c r="F20" s="2" t="s">
        <v>35</v>
      </c>
      <c r="G20" s="2" t="s">
        <v>79</v>
      </c>
      <c r="H20" s="2" t="s">
        <v>200</v>
      </c>
      <c r="I20" s="2" t="s">
        <v>201</v>
      </c>
      <c r="J20" s="2" t="s">
        <v>202</v>
      </c>
      <c r="K20" s="7" t="s">
        <v>69</v>
      </c>
      <c r="L20" s="4" t="s">
        <v>203</v>
      </c>
      <c r="M20" s="5" t="s">
        <v>204</v>
      </c>
      <c r="N20" s="2" t="s">
        <v>205</v>
      </c>
      <c r="O20" s="2" t="s">
        <v>206</v>
      </c>
      <c r="P20" s="6">
        <v>2125.66</v>
      </c>
      <c r="Q20" s="6">
        <v>1062.83</v>
      </c>
      <c r="R20" s="2" t="s">
        <v>45</v>
      </c>
      <c r="S20" s="2" t="s">
        <v>88</v>
      </c>
      <c r="T20" s="3">
        <v>46303</v>
      </c>
      <c r="U20" s="2" t="s">
        <v>47</v>
      </c>
    </row>
    <row r="21" spans="1:21" ht="33.950000000000003" customHeight="1">
      <c r="A21" s="2" t="s">
        <v>207</v>
      </c>
      <c r="B21" s="2" t="s">
        <v>208</v>
      </c>
      <c r="C21" s="2" t="s">
        <v>209</v>
      </c>
      <c r="D21" s="3">
        <v>46282</v>
      </c>
      <c r="E21" s="2" t="s">
        <v>8</v>
      </c>
      <c r="F21" s="2" t="s">
        <v>51</v>
      </c>
      <c r="G21" s="2" t="s">
        <v>36</v>
      </c>
      <c r="H21" s="2" t="s">
        <v>210</v>
      </c>
      <c r="I21" s="2" t="s">
        <v>211</v>
      </c>
      <c r="J21" s="2" t="s">
        <v>212</v>
      </c>
      <c r="K21" s="7" t="s">
        <v>69</v>
      </c>
      <c r="L21" s="4" t="s">
        <v>213</v>
      </c>
      <c r="M21" s="5" t="s">
        <v>214</v>
      </c>
      <c r="N21" s="2" t="s">
        <v>215</v>
      </c>
      <c r="O21" s="2" t="s">
        <v>216</v>
      </c>
      <c r="P21" s="6">
        <v>5702.78</v>
      </c>
      <c r="Q21" s="6">
        <v>2851.39</v>
      </c>
      <c r="R21" s="2" t="s">
        <v>60</v>
      </c>
      <c r="S21" s="2" t="s">
        <v>46</v>
      </c>
      <c r="T21" s="3">
        <v>46304</v>
      </c>
      <c r="U21" s="2" t="s">
        <v>47</v>
      </c>
    </row>
    <row r="22" spans="1:21" ht="33.950000000000003" customHeight="1">
      <c r="A22" s="2" t="s">
        <v>217</v>
      </c>
      <c r="B22" s="2" t="s">
        <v>218</v>
      </c>
      <c r="C22" s="2" t="s">
        <v>219</v>
      </c>
      <c r="D22" s="3">
        <v>46283</v>
      </c>
      <c r="E22" s="2" t="s">
        <v>8</v>
      </c>
      <c r="F22" s="2" t="s">
        <v>51</v>
      </c>
      <c r="G22" s="2" t="s">
        <v>52</v>
      </c>
      <c r="H22" s="2" t="s">
        <v>220</v>
      </c>
      <c r="I22" s="2" t="s">
        <v>38</v>
      </c>
      <c r="J22" s="2" t="s">
        <v>221</v>
      </c>
      <c r="K22" s="8" t="s">
        <v>222</v>
      </c>
      <c r="L22" s="4" t="s">
        <v>223</v>
      </c>
      <c r="M22" s="5" t="s">
        <v>224</v>
      </c>
      <c r="N22" s="2" t="s">
        <v>225</v>
      </c>
      <c r="O22" s="2" t="s">
        <v>226</v>
      </c>
      <c r="P22" s="6">
        <v>8537.2199999999993</v>
      </c>
      <c r="Q22" s="6">
        <v>2134.3000000000002</v>
      </c>
      <c r="R22" s="2" t="s">
        <v>74</v>
      </c>
      <c r="S22" s="2" t="s">
        <v>61</v>
      </c>
      <c r="T22" s="3">
        <v>46305</v>
      </c>
      <c r="U22" s="2" t="s">
        <v>47</v>
      </c>
    </row>
    <row r="23" spans="1:21" ht="33.950000000000003" customHeight="1">
      <c r="A23" s="2" t="s">
        <v>227</v>
      </c>
      <c r="B23" s="2" t="s">
        <v>228</v>
      </c>
      <c r="C23" s="2" t="s">
        <v>229</v>
      </c>
      <c r="D23" s="3">
        <v>46284</v>
      </c>
      <c r="E23" s="2" t="s">
        <v>8</v>
      </c>
      <c r="F23" s="2" t="s">
        <v>35</v>
      </c>
      <c r="G23" s="2" t="s">
        <v>65</v>
      </c>
      <c r="H23" s="2" t="s">
        <v>230</v>
      </c>
      <c r="I23" s="2" t="s">
        <v>231</v>
      </c>
      <c r="J23" s="2" t="s">
        <v>232</v>
      </c>
      <c r="K23" s="7" t="s">
        <v>69</v>
      </c>
      <c r="L23" s="4" t="s">
        <v>233</v>
      </c>
      <c r="M23" s="5" t="s">
        <v>234</v>
      </c>
      <c r="N23" s="2" t="s">
        <v>235</v>
      </c>
      <c r="O23" s="2" t="s">
        <v>236</v>
      </c>
      <c r="P23" s="6">
        <v>5257.36</v>
      </c>
      <c r="Q23" s="6">
        <v>2628.68</v>
      </c>
      <c r="R23" s="2" t="s">
        <v>87</v>
      </c>
      <c r="S23" s="2" t="s">
        <v>75</v>
      </c>
      <c r="T23" s="3">
        <v>46306</v>
      </c>
      <c r="U23" s="2" t="s">
        <v>47</v>
      </c>
    </row>
    <row r="24" spans="1:21" ht="33.950000000000003" customHeight="1">
      <c r="A24" s="2" t="s">
        <v>237</v>
      </c>
      <c r="B24" s="2" t="s">
        <v>238</v>
      </c>
      <c r="C24" s="2" t="s">
        <v>239</v>
      </c>
      <c r="D24" s="3">
        <v>46285</v>
      </c>
      <c r="E24" s="2" t="s">
        <v>8</v>
      </c>
      <c r="F24" s="2" t="s">
        <v>51</v>
      </c>
      <c r="G24" s="2" t="s">
        <v>79</v>
      </c>
      <c r="H24" s="2" t="s">
        <v>240</v>
      </c>
      <c r="I24" s="2" t="s">
        <v>112</v>
      </c>
      <c r="J24" s="2" t="s">
        <v>241</v>
      </c>
      <c r="K24" s="7" t="s">
        <v>69</v>
      </c>
      <c r="L24" s="4" t="s">
        <v>242</v>
      </c>
      <c r="M24" s="5" t="s">
        <v>243</v>
      </c>
      <c r="N24" s="2" t="s">
        <v>244</v>
      </c>
      <c r="O24" s="2" t="s">
        <v>245</v>
      </c>
      <c r="P24" s="6">
        <v>3660.62</v>
      </c>
      <c r="Q24" s="6">
        <v>1830.31</v>
      </c>
      <c r="R24" s="2" t="s">
        <v>99</v>
      </c>
      <c r="S24" s="2" t="s">
        <v>88</v>
      </c>
      <c r="T24" s="3">
        <v>46307</v>
      </c>
      <c r="U24" s="2" t="s">
        <v>47</v>
      </c>
    </row>
    <row r="25" spans="1:21" ht="33.950000000000003" customHeight="1">
      <c r="A25" s="2" t="s">
        <v>246</v>
      </c>
      <c r="B25" s="2" t="s">
        <v>247</v>
      </c>
      <c r="C25" s="2" t="s">
        <v>248</v>
      </c>
      <c r="D25" s="3">
        <v>46286</v>
      </c>
      <c r="E25" s="2" t="s">
        <v>8</v>
      </c>
      <c r="F25" s="2" t="s">
        <v>51</v>
      </c>
      <c r="G25" s="2" t="s">
        <v>36</v>
      </c>
      <c r="H25" s="2" t="s">
        <v>37</v>
      </c>
      <c r="I25" s="2" t="s">
        <v>38</v>
      </c>
      <c r="J25" s="2" t="s">
        <v>39</v>
      </c>
      <c r="K25" s="4" t="s">
        <v>40</v>
      </c>
      <c r="L25" s="4" t="s">
        <v>41</v>
      </c>
      <c r="M25" s="5" t="s">
        <v>42</v>
      </c>
      <c r="N25" s="2" t="s">
        <v>43</v>
      </c>
      <c r="O25" s="2" t="s">
        <v>44</v>
      </c>
      <c r="P25" s="6">
        <v>8789.86</v>
      </c>
      <c r="Q25" s="6">
        <v>7031.89</v>
      </c>
      <c r="R25" s="2" t="s">
        <v>45</v>
      </c>
      <c r="S25" s="2" t="s">
        <v>46</v>
      </c>
      <c r="T25" s="3">
        <v>46308</v>
      </c>
      <c r="U25" s="2" t="s">
        <v>47</v>
      </c>
    </row>
    <row r="26" spans="1:21" ht="33.950000000000003" customHeight="1">
      <c r="A26" s="2" t="s">
        <v>249</v>
      </c>
      <c r="B26" s="2" t="s">
        <v>250</v>
      </c>
      <c r="C26" s="2" t="s">
        <v>251</v>
      </c>
      <c r="D26" s="3">
        <v>46287</v>
      </c>
      <c r="E26" s="2" t="s">
        <v>8</v>
      </c>
      <c r="F26" s="2" t="s">
        <v>35</v>
      </c>
      <c r="G26" s="2" t="s">
        <v>52</v>
      </c>
      <c r="H26" s="2" t="s">
        <v>53</v>
      </c>
      <c r="I26" s="2" t="s">
        <v>54</v>
      </c>
      <c r="J26" s="2" t="s">
        <v>55</v>
      </c>
      <c r="K26" s="4" t="s">
        <v>40</v>
      </c>
      <c r="L26" s="4" t="s">
        <v>56</v>
      </c>
      <c r="M26" s="5" t="s">
        <v>57</v>
      </c>
      <c r="N26" s="2" t="s">
        <v>58</v>
      </c>
      <c r="O26" s="2" t="s">
        <v>59</v>
      </c>
      <c r="P26" s="6">
        <v>562.26</v>
      </c>
      <c r="Q26" s="6">
        <v>449.81</v>
      </c>
      <c r="R26" s="2" t="s">
        <v>60</v>
      </c>
      <c r="S26" s="2" t="s">
        <v>61</v>
      </c>
      <c r="T26" s="3">
        <v>46302</v>
      </c>
      <c r="U26" s="2" t="s">
        <v>47</v>
      </c>
    </row>
    <row r="27" spans="1:21" ht="33.950000000000003" customHeight="1">
      <c r="A27" s="2" t="s">
        <v>252</v>
      </c>
      <c r="B27" s="2" t="s">
        <v>253</v>
      </c>
      <c r="C27" s="2" t="s">
        <v>254</v>
      </c>
      <c r="D27" s="3">
        <v>46288</v>
      </c>
      <c r="E27" s="2" t="s">
        <v>8</v>
      </c>
      <c r="F27" s="2" t="s">
        <v>51</v>
      </c>
      <c r="G27" s="2" t="s">
        <v>65</v>
      </c>
      <c r="H27" s="2" t="s">
        <v>66</v>
      </c>
      <c r="I27" s="2" t="s">
        <v>67</v>
      </c>
      <c r="J27" s="2" t="s">
        <v>68</v>
      </c>
      <c r="K27" s="7" t="s">
        <v>69</v>
      </c>
      <c r="L27" s="4" t="s">
        <v>70</v>
      </c>
      <c r="M27" s="5" t="s">
        <v>71</v>
      </c>
      <c r="N27" s="2" t="s">
        <v>72</v>
      </c>
      <c r="O27" s="2" t="s">
        <v>73</v>
      </c>
      <c r="P27" s="6">
        <v>7747.45</v>
      </c>
      <c r="Q27" s="6">
        <v>3873.72</v>
      </c>
      <c r="R27" s="2" t="s">
        <v>74</v>
      </c>
      <c r="S27" s="2" t="s">
        <v>75</v>
      </c>
      <c r="T27" s="3">
        <v>46303</v>
      </c>
      <c r="U27" s="2" t="s">
        <v>47</v>
      </c>
    </row>
    <row r="28" spans="1:21" ht="33.950000000000003" customHeight="1">
      <c r="A28" s="2" t="s">
        <v>255</v>
      </c>
      <c r="B28" s="2" t="s">
        <v>256</v>
      </c>
      <c r="C28" s="2" t="s">
        <v>257</v>
      </c>
      <c r="D28" s="3">
        <v>46289</v>
      </c>
      <c r="E28" s="2" t="s">
        <v>8</v>
      </c>
      <c r="F28" s="2" t="s">
        <v>51</v>
      </c>
      <c r="G28" s="2" t="s">
        <v>79</v>
      </c>
      <c r="H28" s="2" t="s">
        <v>80</v>
      </c>
      <c r="I28" s="2" t="s">
        <v>81</v>
      </c>
      <c r="J28" s="2" t="s">
        <v>82</v>
      </c>
      <c r="K28" s="4" t="s">
        <v>40</v>
      </c>
      <c r="L28" s="4" t="s">
        <v>83</v>
      </c>
      <c r="M28" s="5" t="s">
        <v>84</v>
      </c>
      <c r="N28" s="2" t="s">
        <v>85</v>
      </c>
      <c r="O28" s="2" t="s">
        <v>86</v>
      </c>
      <c r="P28" s="6">
        <v>2713.04</v>
      </c>
      <c r="Q28" s="6">
        <v>2170.4299999999998</v>
      </c>
      <c r="R28" s="2" t="s">
        <v>87</v>
      </c>
      <c r="S28" s="2" t="s">
        <v>88</v>
      </c>
      <c r="T28" s="3">
        <v>46304</v>
      </c>
      <c r="U28" s="2" t="s">
        <v>47</v>
      </c>
    </row>
    <row r="29" spans="1:21" ht="33.950000000000003" customHeight="1">
      <c r="A29" s="2" t="s">
        <v>258</v>
      </c>
      <c r="B29" s="2" t="s">
        <v>259</v>
      </c>
      <c r="C29" s="2" t="s">
        <v>260</v>
      </c>
      <c r="D29" s="3">
        <v>46290</v>
      </c>
      <c r="E29" s="2" t="s">
        <v>8</v>
      </c>
      <c r="F29" s="2" t="s">
        <v>35</v>
      </c>
      <c r="G29" s="2" t="s">
        <v>36</v>
      </c>
      <c r="H29" s="2" t="s">
        <v>92</v>
      </c>
      <c r="I29" s="2" t="s">
        <v>93</v>
      </c>
      <c r="J29" s="2" t="s">
        <v>94</v>
      </c>
      <c r="K29" s="4" t="s">
        <v>40</v>
      </c>
      <c r="L29" s="4" t="s">
        <v>95</v>
      </c>
      <c r="M29" s="5" t="s">
        <v>96</v>
      </c>
      <c r="N29" s="2" t="s">
        <v>97</v>
      </c>
      <c r="O29" s="2" t="s">
        <v>98</v>
      </c>
      <c r="P29" s="6">
        <v>1426.66</v>
      </c>
      <c r="Q29" s="6">
        <v>1141.33</v>
      </c>
      <c r="R29" s="2" t="s">
        <v>99</v>
      </c>
      <c r="S29" s="2" t="s">
        <v>46</v>
      </c>
      <c r="T29" s="3">
        <v>46305</v>
      </c>
      <c r="U29" s="2" t="s">
        <v>47</v>
      </c>
    </row>
    <row r="30" spans="1:21" ht="33.950000000000003" customHeight="1">
      <c r="A30" s="2" t="s">
        <v>261</v>
      </c>
      <c r="B30" s="2" t="s">
        <v>262</v>
      </c>
      <c r="C30" s="2" t="s">
        <v>263</v>
      </c>
      <c r="D30" s="3">
        <v>46266</v>
      </c>
      <c r="E30" s="2" t="s">
        <v>9</v>
      </c>
      <c r="F30" s="2" t="s">
        <v>51</v>
      </c>
      <c r="G30" s="2" t="s">
        <v>52</v>
      </c>
      <c r="H30" s="2" t="s">
        <v>103</v>
      </c>
      <c r="I30" s="2" t="s">
        <v>93</v>
      </c>
      <c r="J30" s="2" t="s">
        <v>104</v>
      </c>
      <c r="K30" s="7" t="s">
        <v>69</v>
      </c>
      <c r="L30" s="4" t="s">
        <v>105</v>
      </c>
      <c r="M30" s="5" t="s">
        <v>71</v>
      </c>
      <c r="N30" s="2" t="s">
        <v>106</v>
      </c>
      <c r="O30" s="2" t="s">
        <v>107</v>
      </c>
      <c r="P30" s="6">
        <v>1192.46</v>
      </c>
      <c r="Q30" s="6">
        <v>596.23</v>
      </c>
      <c r="R30" s="2" t="s">
        <v>45</v>
      </c>
      <c r="S30" s="2" t="s">
        <v>61</v>
      </c>
      <c r="T30" s="3">
        <v>46306</v>
      </c>
      <c r="U30" s="2" t="s">
        <v>47</v>
      </c>
    </row>
    <row r="31" spans="1:21" ht="33.950000000000003" customHeight="1">
      <c r="A31" s="2" t="s">
        <v>264</v>
      </c>
      <c r="B31" s="2" t="s">
        <v>265</v>
      </c>
      <c r="C31" s="2" t="s">
        <v>266</v>
      </c>
      <c r="D31" s="3">
        <v>46267</v>
      </c>
      <c r="E31" s="2" t="s">
        <v>9</v>
      </c>
      <c r="F31" s="2" t="s">
        <v>51</v>
      </c>
      <c r="G31" s="2" t="s">
        <v>65</v>
      </c>
      <c r="H31" s="2" t="s">
        <v>111</v>
      </c>
      <c r="I31" s="2" t="s">
        <v>112</v>
      </c>
      <c r="J31" s="2" t="s">
        <v>113</v>
      </c>
      <c r="K31" s="7" t="s">
        <v>69</v>
      </c>
      <c r="L31" s="4" t="s">
        <v>114</v>
      </c>
      <c r="M31" s="5" t="s">
        <v>115</v>
      </c>
      <c r="N31" s="2" t="s">
        <v>116</v>
      </c>
      <c r="O31" s="2" t="s">
        <v>117</v>
      </c>
      <c r="P31" s="6">
        <v>2880.06</v>
      </c>
      <c r="Q31" s="6">
        <v>1440.03</v>
      </c>
      <c r="R31" s="2" t="s">
        <v>60</v>
      </c>
      <c r="S31" s="2" t="s">
        <v>75</v>
      </c>
      <c r="T31" s="3">
        <v>46307</v>
      </c>
      <c r="U31" s="2" t="s">
        <v>47</v>
      </c>
    </row>
    <row r="32" spans="1:21" ht="33.950000000000003" customHeight="1">
      <c r="A32" s="2" t="s">
        <v>267</v>
      </c>
      <c r="B32" s="2" t="s">
        <v>268</v>
      </c>
      <c r="C32" s="2" t="s">
        <v>269</v>
      </c>
      <c r="D32" s="3">
        <v>46268</v>
      </c>
      <c r="E32" s="2" t="s">
        <v>9</v>
      </c>
      <c r="F32" s="2" t="s">
        <v>35</v>
      </c>
      <c r="G32" s="2" t="s">
        <v>79</v>
      </c>
      <c r="H32" s="2" t="s">
        <v>121</v>
      </c>
      <c r="I32" s="2" t="s">
        <v>122</v>
      </c>
      <c r="J32" s="2" t="s">
        <v>123</v>
      </c>
      <c r="K32" s="4" t="s">
        <v>40</v>
      </c>
      <c r="L32" s="4" t="s">
        <v>124</v>
      </c>
      <c r="M32" s="5" t="s">
        <v>125</v>
      </c>
      <c r="N32" s="2" t="s">
        <v>126</v>
      </c>
      <c r="O32" s="2" t="s">
        <v>127</v>
      </c>
      <c r="P32" s="6">
        <v>7372.72</v>
      </c>
      <c r="Q32" s="6">
        <v>5898.18</v>
      </c>
      <c r="R32" s="2" t="s">
        <v>74</v>
      </c>
      <c r="S32" s="2" t="s">
        <v>88</v>
      </c>
      <c r="T32" s="3">
        <v>46308</v>
      </c>
      <c r="U32" s="2" t="s">
        <v>47</v>
      </c>
    </row>
    <row r="33" spans="1:21" ht="33.950000000000003" customHeight="1">
      <c r="A33" s="2" t="s">
        <v>270</v>
      </c>
      <c r="B33" s="2" t="s">
        <v>271</v>
      </c>
      <c r="C33" s="2" t="s">
        <v>272</v>
      </c>
      <c r="D33" s="3">
        <v>46269</v>
      </c>
      <c r="E33" s="2" t="s">
        <v>9</v>
      </c>
      <c r="F33" s="2" t="s">
        <v>51</v>
      </c>
      <c r="G33" s="2" t="s">
        <v>36</v>
      </c>
      <c r="H33" s="2" t="s">
        <v>131</v>
      </c>
      <c r="I33" s="2" t="s">
        <v>132</v>
      </c>
      <c r="J33" s="2" t="s">
        <v>133</v>
      </c>
      <c r="K33" s="4" t="s">
        <v>40</v>
      </c>
      <c r="L33" s="4" t="s">
        <v>134</v>
      </c>
      <c r="M33" s="5" t="s">
        <v>135</v>
      </c>
      <c r="N33" s="2" t="s">
        <v>136</v>
      </c>
      <c r="O33" s="2" t="s">
        <v>137</v>
      </c>
      <c r="P33" s="6">
        <v>1749.43</v>
      </c>
      <c r="Q33" s="6">
        <v>1399.54</v>
      </c>
      <c r="R33" s="2" t="s">
        <v>87</v>
      </c>
      <c r="S33" s="2" t="s">
        <v>46</v>
      </c>
      <c r="T33" s="3">
        <v>46302</v>
      </c>
      <c r="U33" s="2" t="s">
        <v>47</v>
      </c>
    </row>
    <row r="34" spans="1:21" ht="33.950000000000003" customHeight="1">
      <c r="A34" s="2" t="s">
        <v>273</v>
      </c>
      <c r="B34" s="2" t="s">
        <v>274</v>
      </c>
      <c r="C34" s="2" t="s">
        <v>275</v>
      </c>
      <c r="D34" s="3">
        <v>46270</v>
      </c>
      <c r="E34" s="2" t="s">
        <v>9</v>
      </c>
      <c r="F34" s="2" t="s">
        <v>51</v>
      </c>
      <c r="G34" s="2" t="s">
        <v>52</v>
      </c>
      <c r="H34" s="2" t="s">
        <v>141</v>
      </c>
      <c r="I34" s="2" t="s">
        <v>142</v>
      </c>
      <c r="J34" s="2" t="s">
        <v>143</v>
      </c>
      <c r="K34" s="7" t="s">
        <v>69</v>
      </c>
      <c r="L34" s="4" t="s">
        <v>144</v>
      </c>
      <c r="M34" s="5" t="s">
        <v>145</v>
      </c>
      <c r="N34" s="2" t="s">
        <v>146</v>
      </c>
      <c r="O34" s="2" t="s">
        <v>147</v>
      </c>
      <c r="P34" s="6">
        <v>5297.16</v>
      </c>
      <c r="Q34" s="6">
        <v>2648.58</v>
      </c>
      <c r="R34" s="2" t="s">
        <v>99</v>
      </c>
      <c r="S34" s="2" t="s">
        <v>61</v>
      </c>
      <c r="T34" s="3">
        <v>46303</v>
      </c>
      <c r="U34" s="2" t="s">
        <v>47</v>
      </c>
    </row>
    <row r="35" spans="1:21" ht="33.950000000000003" customHeight="1">
      <c r="A35" s="2" t="s">
        <v>276</v>
      </c>
      <c r="B35" s="2" t="s">
        <v>277</v>
      </c>
      <c r="C35" s="2" t="s">
        <v>278</v>
      </c>
      <c r="D35" s="3">
        <v>46271</v>
      </c>
      <c r="E35" s="2" t="s">
        <v>9</v>
      </c>
      <c r="F35" s="2" t="s">
        <v>35</v>
      </c>
      <c r="G35" s="2" t="s">
        <v>65</v>
      </c>
      <c r="H35" s="2" t="s">
        <v>151</v>
      </c>
      <c r="I35" s="2" t="s">
        <v>152</v>
      </c>
      <c r="J35" s="2" t="s">
        <v>153</v>
      </c>
      <c r="K35" s="7" t="s">
        <v>69</v>
      </c>
      <c r="L35" s="4" t="s">
        <v>154</v>
      </c>
      <c r="M35" s="5" t="s">
        <v>155</v>
      </c>
      <c r="N35" s="2" t="s">
        <v>156</v>
      </c>
      <c r="O35" s="2" t="s">
        <v>157</v>
      </c>
      <c r="P35" s="6">
        <v>5804.38</v>
      </c>
      <c r="Q35" s="6">
        <v>2902.19</v>
      </c>
      <c r="R35" s="2" t="s">
        <v>45</v>
      </c>
      <c r="S35" s="2" t="s">
        <v>75</v>
      </c>
      <c r="T35" s="3">
        <v>46304</v>
      </c>
      <c r="U35" s="2" t="s">
        <v>47</v>
      </c>
    </row>
    <row r="36" spans="1:21" ht="33.950000000000003" customHeight="1">
      <c r="A36" s="2" t="s">
        <v>279</v>
      </c>
      <c r="B36" s="2" t="s">
        <v>280</v>
      </c>
      <c r="C36" s="2" t="s">
        <v>281</v>
      </c>
      <c r="D36" s="3">
        <v>46272</v>
      </c>
      <c r="E36" s="2" t="s">
        <v>9</v>
      </c>
      <c r="F36" s="2" t="s">
        <v>51</v>
      </c>
      <c r="G36" s="2" t="s">
        <v>79</v>
      </c>
      <c r="H36" s="2" t="s">
        <v>161</v>
      </c>
      <c r="I36" s="2" t="s">
        <v>162</v>
      </c>
      <c r="J36" s="2" t="s">
        <v>163</v>
      </c>
      <c r="K36" s="7" t="s">
        <v>69</v>
      </c>
      <c r="L36" s="4" t="s">
        <v>164</v>
      </c>
      <c r="M36" s="5" t="s">
        <v>165</v>
      </c>
      <c r="N36" s="2" t="s">
        <v>166</v>
      </c>
      <c r="O36" s="2" t="s">
        <v>167</v>
      </c>
      <c r="P36" s="6">
        <v>3445.72</v>
      </c>
      <c r="Q36" s="6">
        <v>1722.86</v>
      </c>
      <c r="R36" s="2" t="s">
        <v>60</v>
      </c>
      <c r="S36" s="2" t="s">
        <v>88</v>
      </c>
      <c r="T36" s="3">
        <v>46305</v>
      </c>
      <c r="U36" s="2" t="s">
        <v>47</v>
      </c>
    </row>
    <row r="37" spans="1:21" ht="33.950000000000003" customHeight="1">
      <c r="A37" s="2" t="s">
        <v>282</v>
      </c>
      <c r="B37" s="2" t="s">
        <v>283</v>
      </c>
      <c r="C37" s="2" t="s">
        <v>284</v>
      </c>
      <c r="D37" s="3">
        <v>46273</v>
      </c>
      <c r="E37" s="2" t="s">
        <v>9</v>
      </c>
      <c r="F37" s="2" t="s">
        <v>51</v>
      </c>
      <c r="G37" s="2" t="s">
        <v>36</v>
      </c>
      <c r="H37" s="2" t="s">
        <v>171</v>
      </c>
      <c r="I37" s="2" t="s">
        <v>38</v>
      </c>
      <c r="J37" s="2" t="s">
        <v>172</v>
      </c>
      <c r="K37" s="7" t="s">
        <v>69</v>
      </c>
      <c r="L37" s="4" t="s">
        <v>173</v>
      </c>
      <c r="M37" s="5" t="s">
        <v>174</v>
      </c>
      <c r="N37" s="2" t="s">
        <v>175</v>
      </c>
      <c r="O37" s="2" t="s">
        <v>176</v>
      </c>
      <c r="P37" s="6">
        <v>4997.54</v>
      </c>
      <c r="Q37" s="6">
        <v>2498.77</v>
      </c>
      <c r="R37" s="2" t="s">
        <v>74</v>
      </c>
      <c r="S37" s="2" t="s">
        <v>46</v>
      </c>
      <c r="T37" s="3">
        <v>46306</v>
      </c>
      <c r="U37" s="2" t="s">
        <v>47</v>
      </c>
    </row>
    <row r="38" spans="1:21" ht="33.950000000000003" customHeight="1">
      <c r="A38" s="2" t="s">
        <v>285</v>
      </c>
      <c r="B38" s="2" t="s">
        <v>286</v>
      </c>
      <c r="C38" s="2" t="s">
        <v>287</v>
      </c>
      <c r="D38" s="3">
        <v>46274</v>
      </c>
      <c r="E38" s="2" t="s">
        <v>9</v>
      </c>
      <c r="F38" s="2" t="s">
        <v>35</v>
      </c>
      <c r="G38" s="2" t="s">
        <v>52</v>
      </c>
      <c r="H38" s="2" t="s">
        <v>180</v>
      </c>
      <c r="I38" s="2" t="s">
        <v>181</v>
      </c>
      <c r="J38" s="2" t="s">
        <v>182</v>
      </c>
      <c r="K38" s="7" t="s">
        <v>69</v>
      </c>
      <c r="L38" s="4" t="s">
        <v>183</v>
      </c>
      <c r="M38" s="5" t="s">
        <v>184</v>
      </c>
      <c r="N38" s="2" t="s">
        <v>185</v>
      </c>
      <c r="O38" s="2" t="s">
        <v>186</v>
      </c>
      <c r="P38" s="6">
        <v>705.68</v>
      </c>
      <c r="Q38" s="6">
        <v>352.84</v>
      </c>
      <c r="R38" s="2" t="s">
        <v>87</v>
      </c>
      <c r="S38" s="2" t="s">
        <v>61</v>
      </c>
      <c r="T38" s="3">
        <v>46307</v>
      </c>
      <c r="U38" s="2" t="s">
        <v>47</v>
      </c>
    </row>
    <row r="39" spans="1:21" ht="33.950000000000003" customHeight="1">
      <c r="A39" s="2" t="s">
        <v>288</v>
      </c>
      <c r="B39" s="2" t="s">
        <v>289</v>
      </c>
      <c r="C39" s="2" t="s">
        <v>290</v>
      </c>
      <c r="D39" s="3">
        <v>46275</v>
      </c>
      <c r="E39" s="2" t="s">
        <v>9</v>
      </c>
      <c r="F39" s="2" t="s">
        <v>51</v>
      </c>
      <c r="G39" s="2" t="s">
        <v>65</v>
      </c>
      <c r="H39" s="2" t="s">
        <v>190</v>
      </c>
      <c r="I39" s="2" t="s">
        <v>191</v>
      </c>
      <c r="J39" s="2" t="s">
        <v>192</v>
      </c>
      <c r="K39" s="7" t="s">
        <v>69</v>
      </c>
      <c r="L39" s="4" t="s">
        <v>193</v>
      </c>
      <c r="M39" s="5" t="s">
        <v>194</v>
      </c>
      <c r="N39" s="2" t="s">
        <v>195</v>
      </c>
      <c r="O39" s="2" t="s">
        <v>196</v>
      </c>
      <c r="P39" s="6">
        <v>677.47</v>
      </c>
      <c r="Q39" s="6">
        <v>338.74</v>
      </c>
      <c r="R39" s="2" t="s">
        <v>99</v>
      </c>
      <c r="S39" s="2" t="s">
        <v>75</v>
      </c>
      <c r="T39" s="3">
        <v>46308</v>
      </c>
      <c r="U39" s="2" t="s">
        <v>47</v>
      </c>
    </row>
    <row r="40" spans="1:21" ht="33.950000000000003" customHeight="1">
      <c r="A40" s="2" t="s">
        <v>291</v>
      </c>
      <c r="B40" s="2" t="s">
        <v>292</v>
      </c>
      <c r="C40" s="2" t="s">
        <v>293</v>
      </c>
      <c r="D40" s="3">
        <v>46276</v>
      </c>
      <c r="E40" s="2" t="s">
        <v>9</v>
      </c>
      <c r="F40" s="2" t="s">
        <v>51</v>
      </c>
      <c r="G40" s="2" t="s">
        <v>79</v>
      </c>
      <c r="H40" s="2" t="s">
        <v>200</v>
      </c>
      <c r="I40" s="2" t="s">
        <v>201</v>
      </c>
      <c r="J40" s="2" t="s">
        <v>202</v>
      </c>
      <c r="K40" s="7" t="s">
        <v>69</v>
      </c>
      <c r="L40" s="4" t="s">
        <v>203</v>
      </c>
      <c r="M40" s="5" t="s">
        <v>204</v>
      </c>
      <c r="N40" s="2" t="s">
        <v>205</v>
      </c>
      <c r="O40" s="2" t="s">
        <v>206</v>
      </c>
      <c r="P40" s="6">
        <v>1972.73</v>
      </c>
      <c r="Q40" s="6">
        <v>986.37</v>
      </c>
      <c r="R40" s="2" t="s">
        <v>45</v>
      </c>
      <c r="S40" s="2" t="s">
        <v>88</v>
      </c>
      <c r="T40" s="3">
        <v>46302</v>
      </c>
      <c r="U40" s="2" t="s">
        <v>47</v>
      </c>
    </row>
    <row r="41" spans="1:21" ht="33.950000000000003" customHeight="1">
      <c r="A41" s="2" t="s">
        <v>294</v>
      </c>
      <c r="B41" s="2" t="s">
        <v>295</v>
      </c>
      <c r="C41" s="2" t="s">
        <v>296</v>
      </c>
      <c r="D41" s="3">
        <v>46277</v>
      </c>
      <c r="E41" s="2" t="s">
        <v>9</v>
      </c>
      <c r="F41" s="2" t="s">
        <v>35</v>
      </c>
      <c r="G41" s="2" t="s">
        <v>36</v>
      </c>
      <c r="H41" s="2" t="s">
        <v>210</v>
      </c>
      <c r="I41" s="2" t="s">
        <v>211</v>
      </c>
      <c r="J41" s="2" t="s">
        <v>212</v>
      </c>
      <c r="K41" s="7" t="s">
        <v>69</v>
      </c>
      <c r="L41" s="4" t="s">
        <v>213</v>
      </c>
      <c r="M41" s="5" t="s">
        <v>214</v>
      </c>
      <c r="N41" s="2" t="s">
        <v>215</v>
      </c>
      <c r="O41" s="2" t="s">
        <v>216</v>
      </c>
      <c r="P41" s="6">
        <v>6171.54</v>
      </c>
      <c r="Q41" s="6">
        <v>3085.77</v>
      </c>
      <c r="R41" s="2" t="s">
        <v>60</v>
      </c>
      <c r="S41" s="2" t="s">
        <v>46</v>
      </c>
      <c r="T41" s="3">
        <v>46303</v>
      </c>
      <c r="U41" s="2" t="s">
        <v>47</v>
      </c>
    </row>
    <row r="42" spans="1:21" ht="33.950000000000003" customHeight="1">
      <c r="A42" s="2" t="s">
        <v>297</v>
      </c>
      <c r="B42" s="2" t="s">
        <v>298</v>
      </c>
      <c r="C42" s="2" t="s">
        <v>299</v>
      </c>
      <c r="D42" s="3">
        <v>46278</v>
      </c>
      <c r="E42" s="2" t="s">
        <v>9</v>
      </c>
      <c r="F42" s="2" t="s">
        <v>51</v>
      </c>
      <c r="G42" s="2" t="s">
        <v>52</v>
      </c>
      <c r="H42" s="2" t="s">
        <v>220</v>
      </c>
      <c r="I42" s="2" t="s">
        <v>38</v>
      </c>
      <c r="J42" s="2" t="s">
        <v>221</v>
      </c>
      <c r="K42" s="8" t="s">
        <v>222</v>
      </c>
      <c r="L42" s="4" t="s">
        <v>223</v>
      </c>
      <c r="M42" s="5" t="s">
        <v>224</v>
      </c>
      <c r="N42" s="2" t="s">
        <v>225</v>
      </c>
      <c r="O42" s="2" t="s">
        <v>226</v>
      </c>
      <c r="P42" s="6">
        <v>3934.19</v>
      </c>
      <c r="Q42" s="6">
        <v>983.55</v>
      </c>
      <c r="R42" s="2" t="s">
        <v>74</v>
      </c>
      <c r="S42" s="2" t="s">
        <v>61</v>
      </c>
      <c r="T42" s="3">
        <v>46304</v>
      </c>
      <c r="U42" s="2" t="s">
        <v>47</v>
      </c>
    </row>
    <row r="43" spans="1:21" ht="33.950000000000003" customHeight="1">
      <c r="A43" s="2" t="s">
        <v>300</v>
      </c>
      <c r="B43" s="2" t="s">
        <v>301</v>
      </c>
      <c r="C43" s="2" t="s">
        <v>302</v>
      </c>
      <c r="D43" s="3">
        <v>46279</v>
      </c>
      <c r="E43" s="2" t="s">
        <v>9</v>
      </c>
      <c r="F43" s="2" t="s">
        <v>51</v>
      </c>
      <c r="G43" s="2" t="s">
        <v>65</v>
      </c>
      <c r="H43" s="2" t="s">
        <v>230</v>
      </c>
      <c r="I43" s="2" t="s">
        <v>231</v>
      </c>
      <c r="J43" s="2" t="s">
        <v>232</v>
      </c>
      <c r="K43" s="7" t="s">
        <v>69</v>
      </c>
      <c r="L43" s="4" t="s">
        <v>233</v>
      </c>
      <c r="M43" s="5" t="s">
        <v>234</v>
      </c>
      <c r="N43" s="2" t="s">
        <v>235</v>
      </c>
      <c r="O43" s="2" t="s">
        <v>236</v>
      </c>
      <c r="P43" s="6">
        <v>2930.2</v>
      </c>
      <c r="Q43" s="6">
        <v>1465.1</v>
      </c>
      <c r="R43" s="2" t="s">
        <v>87</v>
      </c>
      <c r="S43" s="2" t="s">
        <v>75</v>
      </c>
      <c r="T43" s="3">
        <v>46305</v>
      </c>
      <c r="U43" s="2" t="s">
        <v>47</v>
      </c>
    </row>
    <row r="44" spans="1:21" ht="33.950000000000003" customHeight="1">
      <c r="A44" s="2" t="s">
        <v>303</v>
      </c>
      <c r="B44" s="2" t="s">
        <v>304</v>
      </c>
      <c r="C44" s="2" t="s">
        <v>305</v>
      </c>
      <c r="D44" s="3">
        <v>46280</v>
      </c>
      <c r="E44" s="2" t="s">
        <v>9</v>
      </c>
      <c r="F44" s="2" t="s">
        <v>35</v>
      </c>
      <c r="G44" s="2" t="s">
        <v>79</v>
      </c>
      <c r="H44" s="2" t="s">
        <v>240</v>
      </c>
      <c r="I44" s="2" t="s">
        <v>112</v>
      </c>
      <c r="J44" s="2" t="s">
        <v>241</v>
      </c>
      <c r="K44" s="7" t="s">
        <v>69</v>
      </c>
      <c r="L44" s="4" t="s">
        <v>242</v>
      </c>
      <c r="M44" s="5" t="s">
        <v>243</v>
      </c>
      <c r="N44" s="2" t="s">
        <v>244</v>
      </c>
      <c r="O44" s="2" t="s">
        <v>245</v>
      </c>
      <c r="P44" s="6">
        <v>5332.22</v>
      </c>
      <c r="Q44" s="6">
        <v>2666.11</v>
      </c>
      <c r="R44" s="2" t="s">
        <v>99</v>
      </c>
      <c r="S44" s="2" t="s">
        <v>88</v>
      </c>
      <c r="T44" s="3">
        <v>46306</v>
      </c>
      <c r="U44" s="2" t="s">
        <v>47</v>
      </c>
    </row>
    <row r="45" spans="1:21" ht="33.950000000000003" customHeight="1">
      <c r="A45" s="2" t="s">
        <v>306</v>
      </c>
      <c r="B45" s="2" t="s">
        <v>307</v>
      </c>
      <c r="C45" s="2" t="s">
        <v>308</v>
      </c>
      <c r="D45" s="3">
        <v>46281</v>
      </c>
      <c r="E45" s="2" t="s">
        <v>9</v>
      </c>
      <c r="F45" s="2" t="s">
        <v>51</v>
      </c>
      <c r="G45" s="2" t="s">
        <v>36</v>
      </c>
      <c r="H45" s="2" t="s">
        <v>37</v>
      </c>
      <c r="I45" s="2" t="s">
        <v>38</v>
      </c>
      <c r="J45" s="2" t="s">
        <v>39</v>
      </c>
      <c r="K45" s="4" t="s">
        <v>40</v>
      </c>
      <c r="L45" s="4" t="s">
        <v>41</v>
      </c>
      <c r="M45" s="5" t="s">
        <v>42</v>
      </c>
      <c r="N45" s="2" t="s">
        <v>43</v>
      </c>
      <c r="O45" s="2" t="s">
        <v>44</v>
      </c>
      <c r="P45" s="6">
        <v>4160.68</v>
      </c>
      <c r="Q45" s="6">
        <v>3328.54</v>
      </c>
      <c r="R45" s="2" t="s">
        <v>45</v>
      </c>
      <c r="S45" s="2" t="s">
        <v>46</v>
      </c>
      <c r="T45" s="3">
        <v>46307</v>
      </c>
      <c r="U45" s="2" t="s">
        <v>47</v>
      </c>
    </row>
    <row r="46" spans="1:21" ht="33.950000000000003" customHeight="1">
      <c r="A46" s="2" t="s">
        <v>309</v>
      </c>
      <c r="B46" s="2" t="s">
        <v>310</v>
      </c>
      <c r="C46" s="2" t="s">
        <v>311</v>
      </c>
      <c r="D46" s="3">
        <v>46282</v>
      </c>
      <c r="E46" s="2" t="s">
        <v>9</v>
      </c>
      <c r="F46" s="2" t="s">
        <v>51</v>
      </c>
      <c r="G46" s="2" t="s">
        <v>52</v>
      </c>
      <c r="H46" s="2" t="s">
        <v>53</v>
      </c>
      <c r="I46" s="2" t="s">
        <v>54</v>
      </c>
      <c r="J46" s="2" t="s">
        <v>55</v>
      </c>
      <c r="K46" s="4" t="s">
        <v>40</v>
      </c>
      <c r="L46" s="4" t="s">
        <v>56</v>
      </c>
      <c r="M46" s="5" t="s">
        <v>57</v>
      </c>
      <c r="N46" s="2" t="s">
        <v>58</v>
      </c>
      <c r="O46" s="2" t="s">
        <v>59</v>
      </c>
      <c r="P46" s="6">
        <v>2802.94</v>
      </c>
      <c r="Q46" s="6">
        <v>2242.35</v>
      </c>
      <c r="R46" s="2" t="s">
        <v>60</v>
      </c>
      <c r="S46" s="2" t="s">
        <v>61</v>
      </c>
      <c r="T46" s="3">
        <v>46308</v>
      </c>
      <c r="U46" s="2" t="s">
        <v>47</v>
      </c>
    </row>
    <row r="47" spans="1:21" ht="33.950000000000003" customHeight="1">
      <c r="A47" s="2" t="s">
        <v>312</v>
      </c>
      <c r="B47" s="2" t="s">
        <v>313</v>
      </c>
      <c r="C47" s="2" t="s">
        <v>314</v>
      </c>
      <c r="D47" s="3">
        <v>46283</v>
      </c>
      <c r="E47" s="2" t="s">
        <v>9</v>
      </c>
      <c r="F47" s="2" t="s">
        <v>35</v>
      </c>
      <c r="G47" s="2" t="s">
        <v>65</v>
      </c>
      <c r="H47" s="2" t="s">
        <v>66</v>
      </c>
      <c r="I47" s="2" t="s">
        <v>67</v>
      </c>
      <c r="J47" s="2" t="s">
        <v>68</v>
      </c>
      <c r="K47" s="7" t="s">
        <v>69</v>
      </c>
      <c r="L47" s="4" t="s">
        <v>70</v>
      </c>
      <c r="M47" s="5" t="s">
        <v>71</v>
      </c>
      <c r="N47" s="2" t="s">
        <v>72</v>
      </c>
      <c r="O47" s="2" t="s">
        <v>73</v>
      </c>
      <c r="P47" s="6">
        <v>7180.26</v>
      </c>
      <c r="Q47" s="6">
        <v>3590.13</v>
      </c>
      <c r="R47" s="2" t="s">
        <v>74</v>
      </c>
      <c r="S47" s="2" t="s">
        <v>75</v>
      </c>
      <c r="T47" s="3">
        <v>46302</v>
      </c>
      <c r="U47" s="2" t="s">
        <v>47</v>
      </c>
    </row>
    <row r="48" spans="1:21" ht="33.950000000000003" customHeight="1">
      <c r="A48" s="2" t="s">
        <v>315</v>
      </c>
      <c r="B48" s="2" t="s">
        <v>316</v>
      </c>
      <c r="C48" s="2" t="s">
        <v>317</v>
      </c>
      <c r="D48" s="3">
        <v>46284</v>
      </c>
      <c r="E48" s="2" t="s">
        <v>9</v>
      </c>
      <c r="F48" s="2" t="s">
        <v>51</v>
      </c>
      <c r="G48" s="2" t="s">
        <v>79</v>
      </c>
      <c r="H48" s="2" t="s">
        <v>80</v>
      </c>
      <c r="I48" s="2" t="s">
        <v>81</v>
      </c>
      <c r="J48" s="2" t="s">
        <v>82</v>
      </c>
      <c r="K48" s="4" t="s">
        <v>40</v>
      </c>
      <c r="L48" s="4" t="s">
        <v>83</v>
      </c>
      <c r="M48" s="5" t="s">
        <v>84</v>
      </c>
      <c r="N48" s="2" t="s">
        <v>85</v>
      </c>
      <c r="O48" s="2" t="s">
        <v>86</v>
      </c>
      <c r="P48" s="6">
        <v>6336.1</v>
      </c>
      <c r="Q48" s="6">
        <v>5068.88</v>
      </c>
      <c r="R48" s="2" t="s">
        <v>87</v>
      </c>
      <c r="S48" s="2" t="s">
        <v>88</v>
      </c>
      <c r="T48" s="3">
        <v>46303</v>
      </c>
      <c r="U48" s="2" t="s">
        <v>47</v>
      </c>
    </row>
    <row r="49" spans="1:21" ht="33.950000000000003" customHeight="1">
      <c r="A49" s="2" t="s">
        <v>318</v>
      </c>
      <c r="B49" s="2" t="s">
        <v>319</v>
      </c>
      <c r="C49" s="2" t="s">
        <v>320</v>
      </c>
      <c r="D49" s="3">
        <v>46285</v>
      </c>
      <c r="E49" s="2" t="s">
        <v>9</v>
      </c>
      <c r="F49" s="2" t="s">
        <v>51</v>
      </c>
      <c r="G49" s="2" t="s">
        <v>36</v>
      </c>
      <c r="H49" s="2" t="s">
        <v>92</v>
      </c>
      <c r="I49" s="2" t="s">
        <v>93</v>
      </c>
      <c r="J49" s="2" t="s">
        <v>94</v>
      </c>
      <c r="K49" s="4" t="s">
        <v>40</v>
      </c>
      <c r="L49" s="4" t="s">
        <v>95</v>
      </c>
      <c r="M49" s="5" t="s">
        <v>96</v>
      </c>
      <c r="N49" s="2" t="s">
        <v>97</v>
      </c>
      <c r="O49" s="2" t="s">
        <v>98</v>
      </c>
      <c r="P49" s="6">
        <v>2310.25</v>
      </c>
      <c r="Q49" s="6">
        <v>1848.2</v>
      </c>
      <c r="R49" s="2" t="s">
        <v>99</v>
      </c>
      <c r="S49" s="2" t="s">
        <v>46</v>
      </c>
      <c r="T49" s="3">
        <v>46304</v>
      </c>
      <c r="U49" s="2" t="s">
        <v>47</v>
      </c>
    </row>
    <row r="50" spans="1:21" ht="33.950000000000003" customHeight="1">
      <c r="A50" s="2" t="s">
        <v>321</v>
      </c>
      <c r="B50" s="2" t="s">
        <v>322</v>
      </c>
      <c r="C50" s="2" t="s">
        <v>323</v>
      </c>
      <c r="D50" s="3">
        <v>46286</v>
      </c>
      <c r="E50" s="2" t="s">
        <v>9</v>
      </c>
      <c r="F50" s="2" t="s">
        <v>35</v>
      </c>
      <c r="G50" s="2" t="s">
        <v>52</v>
      </c>
      <c r="H50" s="2" t="s">
        <v>103</v>
      </c>
      <c r="I50" s="2" t="s">
        <v>93</v>
      </c>
      <c r="J50" s="2" t="s">
        <v>104</v>
      </c>
      <c r="K50" s="7" t="s">
        <v>69</v>
      </c>
      <c r="L50" s="4" t="s">
        <v>105</v>
      </c>
      <c r="M50" s="5" t="s">
        <v>71</v>
      </c>
      <c r="N50" s="2" t="s">
        <v>106</v>
      </c>
      <c r="O50" s="2" t="s">
        <v>107</v>
      </c>
      <c r="P50" s="6">
        <v>5233.6499999999996</v>
      </c>
      <c r="Q50" s="6">
        <v>2616.8200000000002</v>
      </c>
      <c r="R50" s="2" t="s">
        <v>45</v>
      </c>
      <c r="S50" s="2" t="s">
        <v>61</v>
      </c>
      <c r="T50" s="3">
        <v>46305</v>
      </c>
      <c r="U50" s="2" t="s">
        <v>47</v>
      </c>
    </row>
    <row r="51" spans="1:21" ht="33.950000000000003" customHeight="1">
      <c r="A51" s="2" t="s">
        <v>324</v>
      </c>
      <c r="B51" s="2" t="s">
        <v>325</v>
      </c>
      <c r="C51" s="2" t="s">
        <v>326</v>
      </c>
      <c r="D51" s="3">
        <v>46287</v>
      </c>
      <c r="E51" s="2" t="s">
        <v>9</v>
      </c>
      <c r="F51" s="2" t="s">
        <v>51</v>
      </c>
      <c r="G51" s="2" t="s">
        <v>65</v>
      </c>
      <c r="H51" s="2" t="s">
        <v>111</v>
      </c>
      <c r="I51" s="2" t="s">
        <v>112</v>
      </c>
      <c r="J51" s="2" t="s">
        <v>113</v>
      </c>
      <c r="K51" s="7" t="s">
        <v>69</v>
      </c>
      <c r="L51" s="4" t="s">
        <v>114</v>
      </c>
      <c r="M51" s="5" t="s">
        <v>115</v>
      </c>
      <c r="N51" s="2" t="s">
        <v>116</v>
      </c>
      <c r="O51" s="2" t="s">
        <v>117</v>
      </c>
      <c r="P51" s="6">
        <v>4797.99</v>
      </c>
      <c r="Q51" s="6">
        <v>2398.9899999999998</v>
      </c>
      <c r="R51" s="2" t="s">
        <v>60</v>
      </c>
      <c r="S51" s="2" t="s">
        <v>75</v>
      </c>
      <c r="T51" s="3">
        <v>46306</v>
      </c>
      <c r="U51" s="2" t="s">
        <v>47</v>
      </c>
    </row>
    <row r="52" spans="1:21" ht="33.950000000000003" customHeight="1">
      <c r="A52" s="2" t="s">
        <v>327</v>
      </c>
      <c r="B52" s="2" t="s">
        <v>328</v>
      </c>
      <c r="C52" s="2" t="s">
        <v>329</v>
      </c>
      <c r="D52" s="3">
        <v>46288</v>
      </c>
      <c r="E52" s="2" t="s">
        <v>9</v>
      </c>
      <c r="F52" s="2" t="s">
        <v>51</v>
      </c>
      <c r="G52" s="2" t="s">
        <v>79</v>
      </c>
      <c r="H52" s="2" t="s">
        <v>121</v>
      </c>
      <c r="I52" s="2" t="s">
        <v>122</v>
      </c>
      <c r="J52" s="2" t="s">
        <v>123</v>
      </c>
      <c r="K52" s="4" t="s">
        <v>40</v>
      </c>
      <c r="L52" s="4" t="s">
        <v>124</v>
      </c>
      <c r="M52" s="5" t="s">
        <v>125</v>
      </c>
      <c r="N52" s="2" t="s">
        <v>126</v>
      </c>
      <c r="O52" s="2" t="s">
        <v>127</v>
      </c>
      <c r="P52" s="6">
        <v>7894.97</v>
      </c>
      <c r="Q52" s="6">
        <v>6315.98</v>
      </c>
      <c r="R52" s="2" t="s">
        <v>74</v>
      </c>
      <c r="S52" s="2" t="s">
        <v>88</v>
      </c>
      <c r="T52" s="3">
        <v>46307</v>
      </c>
      <c r="U52" s="2" t="s">
        <v>47</v>
      </c>
    </row>
    <row r="53" spans="1:21" ht="33.950000000000003" customHeight="1">
      <c r="A53" s="2" t="s">
        <v>330</v>
      </c>
      <c r="B53" s="2" t="s">
        <v>331</v>
      </c>
      <c r="C53" s="2" t="s">
        <v>332</v>
      </c>
      <c r="D53" s="3">
        <v>46289</v>
      </c>
      <c r="E53" s="2" t="s">
        <v>9</v>
      </c>
      <c r="F53" s="2" t="s">
        <v>35</v>
      </c>
      <c r="G53" s="2" t="s">
        <v>36</v>
      </c>
      <c r="H53" s="2" t="s">
        <v>131</v>
      </c>
      <c r="I53" s="2" t="s">
        <v>132</v>
      </c>
      <c r="J53" s="2" t="s">
        <v>133</v>
      </c>
      <c r="K53" s="4" t="s">
        <v>40</v>
      </c>
      <c r="L53" s="4" t="s">
        <v>134</v>
      </c>
      <c r="M53" s="5" t="s">
        <v>135</v>
      </c>
      <c r="N53" s="2" t="s">
        <v>136</v>
      </c>
      <c r="O53" s="2" t="s">
        <v>137</v>
      </c>
      <c r="P53" s="6">
        <v>6605.59</v>
      </c>
      <c r="Q53" s="6">
        <v>5284.47</v>
      </c>
      <c r="R53" s="2" t="s">
        <v>87</v>
      </c>
      <c r="S53" s="2" t="s">
        <v>46</v>
      </c>
      <c r="T53" s="3">
        <v>46308</v>
      </c>
      <c r="U53" s="2" t="s">
        <v>47</v>
      </c>
    </row>
    <row r="54" spans="1:21" ht="33.950000000000003" customHeight="1">
      <c r="A54" s="2" t="s">
        <v>333</v>
      </c>
      <c r="B54" s="2" t="s">
        <v>334</v>
      </c>
      <c r="C54" s="2" t="s">
        <v>335</v>
      </c>
      <c r="D54" s="3">
        <v>46290</v>
      </c>
      <c r="E54" s="2" t="s">
        <v>9</v>
      </c>
      <c r="F54" s="2" t="s">
        <v>51</v>
      </c>
      <c r="G54" s="2" t="s">
        <v>52</v>
      </c>
      <c r="H54" s="2" t="s">
        <v>141</v>
      </c>
      <c r="I54" s="2" t="s">
        <v>142</v>
      </c>
      <c r="J54" s="2" t="s">
        <v>143</v>
      </c>
      <c r="K54" s="7" t="s">
        <v>69</v>
      </c>
      <c r="L54" s="4" t="s">
        <v>144</v>
      </c>
      <c r="M54" s="5" t="s">
        <v>145</v>
      </c>
      <c r="N54" s="2" t="s">
        <v>146</v>
      </c>
      <c r="O54" s="2" t="s">
        <v>147</v>
      </c>
      <c r="P54" s="6">
        <v>2698.25</v>
      </c>
      <c r="Q54" s="6">
        <v>1349.12</v>
      </c>
      <c r="R54" s="2" t="s">
        <v>99</v>
      </c>
      <c r="S54" s="2" t="s">
        <v>61</v>
      </c>
      <c r="T54" s="3">
        <v>46302</v>
      </c>
      <c r="U54" s="2" t="s">
        <v>47</v>
      </c>
    </row>
  </sheetData>
  <mergeCells count="2">
    <mergeCell ref="A1:U1"/>
    <mergeCell ref="A2:U2"/>
  </mergeCells>
  <pageMargins left="0.75" right="0.75" top="1" bottom="1" header="0.5" footer="0.5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6" customWidth="1"/>
    <col min="2" max="2" width="14" customWidth="1"/>
    <col min="3" max="3" width="28" customWidth="1"/>
    <col min="4" max="4" width="60" customWidth="1"/>
    <col min="5" max="5" width="32" customWidth="1"/>
  </cols>
  <sheetData>
    <row r="1" spans="1:5">
      <c r="A1" s="12" t="s">
        <v>336</v>
      </c>
      <c r="B1" s="13"/>
      <c r="C1" s="13"/>
      <c r="D1" s="13"/>
      <c r="E1" s="13"/>
    </row>
    <row r="2" spans="1:5">
      <c r="A2" s="10" t="s">
        <v>337</v>
      </c>
      <c r="B2" s="13"/>
      <c r="C2" s="13"/>
      <c r="D2" s="13"/>
      <c r="E2" s="13"/>
    </row>
    <row r="4" spans="1:5">
      <c r="A4" s="1" t="s">
        <v>18</v>
      </c>
      <c r="B4" s="1" t="s">
        <v>21</v>
      </c>
      <c r="C4" s="1" t="s">
        <v>19</v>
      </c>
      <c r="D4" s="1" t="s">
        <v>25</v>
      </c>
      <c r="E4" s="1" t="s">
        <v>338</v>
      </c>
    </row>
    <row r="5" spans="1:5">
      <c r="A5" s="2" t="s">
        <v>37</v>
      </c>
      <c r="B5" s="2" t="s">
        <v>40</v>
      </c>
      <c r="C5" s="2" t="s">
        <v>38</v>
      </c>
      <c r="D5" s="2" t="s">
        <v>44</v>
      </c>
      <c r="E5" s="2" t="s">
        <v>339</v>
      </c>
    </row>
    <row r="6" spans="1:5">
      <c r="A6" s="2" t="s">
        <v>53</v>
      </c>
      <c r="B6" s="2" t="s">
        <v>40</v>
      </c>
      <c r="C6" s="2" t="s">
        <v>54</v>
      </c>
      <c r="D6" s="2" t="s">
        <v>59</v>
      </c>
      <c r="E6" s="2" t="s">
        <v>339</v>
      </c>
    </row>
    <row r="7" spans="1:5">
      <c r="A7" s="2" t="s">
        <v>66</v>
      </c>
      <c r="B7" s="2" t="s">
        <v>69</v>
      </c>
      <c r="C7" s="2" t="s">
        <v>67</v>
      </c>
      <c r="D7" s="2" t="s">
        <v>73</v>
      </c>
      <c r="E7" s="2" t="s">
        <v>339</v>
      </c>
    </row>
    <row r="8" spans="1:5">
      <c r="A8" s="2" t="s">
        <v>80</v>
      </c>
      <c r="B8" s="2" t="s">
        <v>40</v>
      </c>
      <c r="C8" s="2" t="s">
        <v>81</v>
      </c>
      <c r="D8" s="2" t="s">
        <v>86</v>
      </c>
      <c r="E8" s="2" t="s">
        <v>339</v>
      </c>
    </row>
    <row r="9" spans="1:5">
      <c r="A9" s="2" t="s">
        <v>92</v>
      </c>
      <c r="B9" s="2" t="s">
        <v>40</v>
      </c>
      <c r="C9" s="2" t="s">
        <v>93</v>
      </c>
      <c r="D9" s="2" t="s">
        <v>98</v>
      </c>
      <c r="E9" s="2" t="s">
        <v>339</v>
      </c>
    </row>
    <row r="10" spans="1:5">
      <c r="A10" s="2" t="s">
        <v>103</v>
      </c>
      <c r="B10" s="2" t="s">
        <v>69</v>
      </c>
      <c r="C10" s="2" t="s">
        <v>93</v>
      </c>
      <c r="D10" s="2" t="s">
        <v>107</v>
      </c>
      <c r="E10" s="2" t="s">
        <v>339</v>
      </c>
    </row>
    <row r="11" spans="1:5">
      <c r="A11" s="2" t="s">
        <v>111</v>
      </c>
      <c r="B11" s="2" t="s">
        <v>69</v>
      </c>
      <c r="C11" s="2" t="s">
        <v>112</v>
      </c>
      <c r="D11" s="2" t="s">
        <v>117</v>
      </c>
      <c r="E11" s="2" t="s">
        <v>339</v>
      </c>
    </row>
    <row r="12" spans="1:5">
      <c r="A12" s="2" t="s">
        <v>121</v>
      </c>
      <c r="B12" s="2" t="s">
        <v>40</v>
      </c>
      <c r="C12" s="2" t="s">
        <v>122</v>
      </c>
      <c r="D12" s="2" t="s">
        <v>127</v>
      </c>
      <c r="E12" s="2" t="s">
        <v>339</v>
      </c>
    </row>
    <row r="13" spans="1:5">
      <c r="A13" s="2" t="s">
        <v>131</v>
      </c>
      <c r="B13" s="2" t="s">
        <v>40</v>
      </c>
      <c r="C13" s="2" t="s">
        <v>132</v>
      </c>
      <c r="D13" s="2" t="s">
        <v>137</v>
      </c>
      <c r="E13" s="2" t="s">
        <v>339</v>
      </c>
    </row>
    <row r="14" spans="1:5">
      <c r="A14" s="2" t="s">
        <v>141</v>
      </c>
      <c r="B14" s="2" t="s">
        <v>69</v>
      </c>
      <c r="C14" s="2" t="s">
        <v>142</v>
      </c>
      <c r="D14" s="2" t="s">
        <v>147</v>
      </c>
      <c r="E14" s="2" t="s">
        <v>339</v>
      </c>
    </row>
    <row r="15" spans="1:5">
      <c r="A15" s="2" t="s">
        <v>151</v>
      </c>
      <c r="B15" s="2" t="s">
        <v>69</v>
      </c>
      <c r="C15" s="2" t="s">
        <v>152</v>
      </c>
      <c r="D15" s="2" t="s">
        <v>157</v>
      </c>
      <c r="E15" s="2" t="s">
        <v>339</v>
      </c>
    </row>
    <row r="16" spans="1:5">
      <c r="A16" s="2" t="s">
        <v>161</v>
      </c>
      <c r="B16" s="2" t="s">
        <v>69</v>
      </c>
      <c r="C16" s="2" t="s">
        <v>162</v>
      </c>
      <c r="D16" s="2" t="s">
        <v>167</v>
      </c>
      <c r="E16" s="2" t="s">
        <v>339</v>
      </c>
    </row>
    <row r="17" spans="1:5">
      <c r="A17" s="2" t="s">
        <v>171</v>
      </c>
      <c r="B17" s="2" t="s">
        <v>69</v>
      </c>
      <c r="C17" s="2" t="s">
        <v>38</v>
      </c>
      <c r="D17" s="2" t="s">
        <v>176</v>
      </c>
      <c r="E17" s="2" t="s">
        <v>339</v>
      </c>
    </row>
    <row r="18" spans="1:5">
      <c r="A18" s="2" t="s">
        <v>180</v>
      </c>
      <c r="B18" s="2" t="s">
        <v>69</v>
      </c>
      <c r="C18" s="2" t="s">
        <v>181</v>
      </c>
      <c r="D18" s="2" t="s">
        <v>186</v>
      </c>
      <c r="E18" s="2" t="s">
        <v>339</v>
      </c>
    </row>
    <row r="19" spans="1:5">
      <c r="A19" s="2" t="s">
        <v>190</v>
      </c>
      <c r="B19" s="2" t="s">
        <v>69</v>
      </c>
      <c r="C19" s="2" t="s">
        <v>191</v>
      </c>
      <c r="D19" s="2" t="s">
        <v>196</v>
      </c>
      <c r="E19" s="2" t="s">
        <v>339</v>
      </c>
    </row>
    <row r="20" spans="1:5">
      <c r="A20" s="2" t="s">
        <v>200</v>
      </c>
      <c r="B20" s="2" t="s">
        <v>69</v>
      </c>
      <c r="C20" s="2" t="s">
        <v>201</v>
      </c>
      <c r="D20" s="2" t="s">
        <v>206</v>
      </c>
      <c r="E20" s="2" t="s">
        <v>339</v>
      </c>
    </row>
    <row r="21" spans="1:5">
      <c r="A21" s="2" t="s">
        <v>210</v>
      </c>
      <c r="B21" s="2" t="s">
        <v>69</v>
      </c>
      <c r="C21" s="2" t="s">
        <v>211</v>
      </c>
      <c r="D21" s="2" t="s">
        <v>216</v>
      </c>
      <c r="E21" s="2" t="s">
        <v>339</v>
      </c>
    </row>
    <row r="22" spans="1:5">
      <c r="A22" s="2" t="s">
        <v>220</v>
      </c>
      <c r="B22" s="2" t="s">
        <v>222</v>
      </c>
      <c r="C22" s="2" t="s">
        <v>38</v>
      </c>
      <c r="D22" s="2" t="s">
        <v>226</v>
      </c>
      <c r="E22" s="2" t="s">
        <v>339</v>
      </c>
    </row>
    <row r="23" spans="1:5">
      <c r="A23" s="2" t="s">
        <v>230</v>
      </c>
      <c r="B23" s="2" t="s">
        <v>69</v>
      </c>
      <c r="C23" s="2" t="s">
        <v>231</v>
      </c>
      <c r="D23" s="2" t="s">
        <v>236</v>
      </c>
      <c r="E23" s="2" t="s">
        <v>339</v>
      </c>
    </row>
    <row r="24" spans="1:5">
      <c r="A24" s="2" t="s">
        <v>240</v>
      </c>
      <c r="B24" s="2" t="s">
        <v>69</v>
      </c>
      <c r="C24" s="2" t="s">
        <v>112</v>
      </c>
      <c r="D24" s="2" t="s">
        <v>245</v>
      </c>
      <c r="E24" s="2" t="s">
        <v>339</v>
      </c>
    </row>
  </sheetData>
  <mergeCells count="2">
    <mergeCell ref="A2:E2"/>
    <mergeCell ref="A1:E1"/>
  </mergeCells>
  <pageMargins left="0.75" right="0.75" top="1" bottom="1" header="0.5" footer="0.5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28" customWidth="1"/>
    <col min="3" max="3" width="60" customWidth="1"/>
    <col min="4" max="4" width="20" customWidth="1"/>
    <col min="5" max="5" width="24" customWidth="1"/>
  </cols>
  <sheetData>
    <row r="1" spans="1:5">
      <c r="A1" s="12" t="s">
        <v>340</v>
      </c>
      <c r="B1" s="13"/>
      <c r="C1" s="13"/>
      <c r="D1" s="13"/>
      <c r="E1" s="13"/>
    </row>
    <row r="2" spans="1:5">
      <c r="A2" s="10" t="s">
        <v>341</v>
      </c>
      <c r="B2" s="13"/>
      <c r="C2" s="13"/>
      <c r="D2" s="13"/>
      <c r="E2" s="13"/>
    </row>
    <row r="4" spans="1:5">
      <c r="A4" s="1" t="s">
        <v>342</v>
      </c>
      <c r="B4" s="1" t="s">
        <v>343</v>
      </c>
      <c r="C4" s="1" t="s">
        <v>344</v>
      </c>
      <c r="D4" s="1" t="s">
        <v>29</v>
      </c>
      <c r="E4" s="1" t="s">
        <v>345</v>
      </c>
    </row>
    <row r="5" spans="1:5">
      <c r="A5" s="2" t="s">
        <v>346</v>
      </c>
      <c r="B5" s="2" t="s">
        <v>347</v>
      </c>
      <c r="C5" s="2" t="s">
        <v>348</v>
      </c>
      <c r="D5" s="2" t="s">
        <v>349</v>
      </c>
      <c r="E5" s="2" t="s">
        <v>350</v>
      </c>
    </row>
    <row r="6" spans="1:5">
      <c r="A6" s="2" t="s">
        <v>351</v>
      </c>
      <c r="B6" s="2" t="s">
        <v>352</v>
      </c>
      <c r="C6" s="2" t="s">
        <v>353</v>
      </c>
      <c r="D6" s="2" t="s">
        <v>349</v>
      </c>
      <c r="E6" s="2" t="s">
        <v>350</v>
      </c>
    </row>
    <row r="7" spans="1:5">
      <c r="A7" s="2" t="s">
        <v>354</v>
      </c>
      <c r="B7" s="2" t="s">
        <v>355</v>
      </c>
      <c r="C7" s="2" t="s">
        <v>356</v>
      </c>
      <c r="D7" s="2" t="s">
        <v>349</v>
      </c>
      <c r="E7" s="2" t="s">
        <v>350</v>
      </c>
    </row>
    <row r="8" spans="1:5">
      <c r="A8" s="2" t="s">
        <v>357</v>
      </c>
      <c r="B8" s="2" t="s">
        <v>358</v>
      </c>
      <c r="C8" s="2" t="s">
        <v>359</v>
      </c>
      <c r="D8" s="2" t="s">
        <v>349</v>
      </c>
      <c r="E8" s="2" t="s">
        <v>350</v>
      </c>
    </row>
    <row r="9" spans="1:5">
      <c r="A9" s="2" t="s">
        <v>360</v>
      </c>
      <c r="B9" s="2" t="s">
        <v>361</v>
      </c>
      <c r="C9" s="2" t="s">
        <v>362</v>
      </c>
      <c r="D9" s="2" t="s">
        <v>349</v>
      </c>
      <c r="E9" s="2" t="s">
        <v>350</v>
      </c>
    </row>
  </sheetData>
  <mergeCells count="2">
    <mergeCell ref="A2:E2"/>
    <mergeCell ref="A1:E1"/>
  </mergeCells>
  <pageMargins left="0.75" right="0.75" top="1" bottom="1" header="0.5" footer="0.5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Shashwat Mahapatra</dc:creator>
  <cp:keywords/>
  <dc:description/>
  <cp:lastModifiedBy>Shashwat Mahapatra</cp:lastModifiedBy>
  <cp:revision/>
  <dcterms:created xsi:type="dcterms:W3CDTF">2026-10-06T06:56:15Z</dcterms:created>
  <dcterms:modified xsi:type="dcterms:W3CDTF">2026-10-06T06:56:28Z</dcterms:modified>
  <cp:category/>
  <cp:contentStatus/>
</cp:coreProperties>
</file>