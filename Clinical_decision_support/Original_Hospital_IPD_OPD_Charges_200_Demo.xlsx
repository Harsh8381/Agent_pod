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A03135ECAA63E48F9DD44534B3CFC68D72804796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README" sheetId="1" r:id="rId1"/>
    <sheet name="Charge Summary" sheetId="2" r:id="rId2"/>
    <sheet name="IPD Charges" sheetId="3" r:id="rId3"/>
    <sheet name="OPD Charges" sheetId="4" r:id="rId4"/>
    <sheet name="Dashboard" sheetId="5" r:id="rId5"/>
    <sheet name="CDM Master" sheetId="6" r:id="rId6"/>
    <sheet name="IPD Encounter" sheetId="7" r:id="rId7"/>
    <sheet name="Charge Router Rules" sheetId="8" r:id="rId8"/>
    <sheet name="Claim Edits" sheetId="9" r:id="rId9"/>
    <sheet name="Payer Contracts" sheetId="10" r:id="rId10"/>
    <sheet name="Price Transparency" sheetId="11" r:id="rId11"/>
    <sheet name="Governance" sheetId="12" r:id="rId12"/>
    <sheet name="Audit Trail" sheetId="13" r:id="rId13"/>
    <sheet name="Data Source Map" sheetId="14" r:id="rId14"/>
    <sheet name="Data Dictionary" sheetId="15" r:id="rId15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2" l="1"/>
  <c r="Q7" i="12"/>
  <c r="R6" i="12"/>
  <c r="Q6" i="12"/>
  <c r="R5" i="12"/>
  <c r="Q5" i="12"/>
  <c r="I9" i="11"/>
  <c r="H9" i="11"/>
  <c r="E9" i="11"/>
  <c r="I8" i="11"/>
  <c r="H8" i="11"/>
  <c r="E8" i="11"/>
  <c r="I7" i="11"/>
  <c r="H7" i="11"/>
  <c r="E7" i="11"/>
  <c r="I6" i="11"/>
  <c r="H6" i="11"/>
  <c r="E6" i="11"/>
  <c r="I5" i="11"/>
  <c r="H5" i="11"/>
  <c r="E5" i="11"/>
  <c r="S16" i="7"/>
  <c r="W15" i="7"/>
  <c r="T15" i="7"/>
  <c r="Q15" i="7"/>
  <c r="R15" i="7" s="1"/>
  <c r="U15" i="7" s="1"/>
  <c r="O15" i="7"/>
  <c r="N15" i="7"/>
  <c r="M15" i="7"/>
  <c r="L15" i="7"/>
  <c r="W14" i="7"/>
  <c r="T14" i="7"/>
  <c r="Q14" i="7"/>
  <c r="R14" i="7" s="1"/>
  <c r="U14" i="7" s="1"/>
  <c r="O14" i="7"/>
  <c r="N14" i="7"/>
  <c r="M14" i="7"/>
  <c r="L14" i="7"/>
  <c r="W13" i="7"/>
  <c r="T13" i="7"/>
  <c r="Q13" i="7"/>
  <c r="R13" i="7" s="1"/>
  <c r="U13" i="7" s="1"/>
  <c r="O13" i="7"/>
  <c r="N13" i="7"/>
  <c r="M13" i="7"/>
  <c r="L13" i="7"/>
  <c r="W12" i="7"/>
  <c r="T12" i="7"/>
  <c r="Q12" i="7"/>
  <c r="R12" i="7" s="1"/>
  <c r="U12" i="7" s="1"/>
  <c r="O12" i="7"/>
  <c r="N12" i="7"/>
  <c r="M12" i="7"/>
  <c r="L12" i="7"/>
  <c r="W11" i="7"/>
  <c r="T11" i="7"/>
  <c r="Q11" i="7"/>
  <c r="R11" i="7" s="1"/>
  <c r="U11" i="7" s="1"/>
  <c r="O11" i="7"/>
  <c r="N11" i="7"/>
  <c r="M11" i="7"/>
  <c r="L11" i="7"/>
  <c r="W10" i="7"/>
  <c r="T10" i="7"/>
  <c r="Q10" i="7"/>
  <c r="R10" i="7" s="1"/>
  <c r="U10" i="7" s="1"/>
  <c r="O10" i="7"/>
  <c r="N10" i="7"/>
  <c r="M10" i="7"/>
  <c r="L10" i="7"/>
  <c r="W9" i="7"/>
  <c r="T9" i="7"/>
  <c r="Q9" i="7"/>
  <c r="R9" i="7" s="1"/>
  <c r="U9" i="7" s="1"/>
  <c r="O9" i="7"/>
  <c r="N9" i="7"/>
  <c r="M9" i="7"/>
  <c r="L9" i="7"/>
  <c r="W8" i="7"/>
  <c r="T8" i="7"/>
  <c r="Q8" i="7"/>
  <c r="R8" i="7" s="1"/>
  <c r="U8" i="7" s="1"/>
  <c r="O8" i="7"/>
  <c r="N8" i="7"/>
  <c r="M8" i="7"/>
  <c r="L8" i="7"/>
  <c r="W7" i="7"/>
  <c r="T7" i="7"/>
  <c r="Q7" i="7"/>
  <c r="R7" i="7" s="1"/>
  <c r="U7" i="7" s="1"/>
  <c r="O7" i="7"/>
  <c r="N7" i="7"/>
  <c r="M7" i="7"/>
  <c r="L7" i="7"/>
  <c r="W6" i="7"/>
  <c r="T6" i="7"/>
  <c r="Q6" i="7"/>
  <c r="R6" i="7" s="1"/>
  <c r="U6" i="7" s="1"/>
  <c r="O6" i="7"/>
  <c r="N6" i="7"/>
  <c r="M6" i="7"/>
  <c r="L6" i="7"/>
  <c r="W5" i="7"/>
  <c r="T5" i="7"/>
  <c r="T16" i="7" s="1"/>
  <c r="Q5" i="7"/>
  <c r="R5" i="7" s="1"/>
  <c r="O5" i="7"/>
  <c r="N5" i="7"/>
  <c r="M5" i="7"/>
  <c r="L5" i="7"/>
  <c r="AG19" i="6"/>
  <c r="AH19" i="6" s="1"/>
  <c r="Q19" i="6"/>
  <c r="AG18" i="6"/>
  <c r="AH18" i="6" s="1"/>
  <c r="Q18" i="6"/>
  <c r="AG17" i="6"/>
  <c r="AH17" i="6" s="1"/>
  <c r="Q17" i="6"/>
  <c r="AG16" i="6"/>
  <c r="AH16" i="6" s="1"/>
  <c r="Q16" i="6"/>
  <c r="AG15" i="6"/>
  <c r="AH15" i="6" s="1"/>
  <c r="Q15" i="6"/>
  <c r="AG14" i="6"/>
  <c r="AH14" i="6" s="1"/>
  <c r="Q14" i="6"/>
  <c r="AG13" i="6"/>
  <c r="AH13" i="6" s="1"/>
  <c r="Q13" i="6"/>
  <c r="AG12" i="6"/>
  <c r="AH12" i="6" s="1"/>
  <c r="Q12" i="6"/>
  <c r="AG11" i="6"/>
  <c r="AH11" i="6" s="1"/>
  <c r="Q11" i="6"/>
  <c r="AG10" i="6"/>
  <c r="AH10" i="6" s="1"/>
  <c r="Q10" i="6"/>
  <c r="AG9" i="6"/>
  <c r="AH9" i="6" s="1"/>
  <c r="Q9" i="6"/>
  <c r="AG8" i="6"/>
  <c r="AH8" i="6" s="1"/>
  <c r="Q8" i="6"/>
  <c r="AG7" i="6"/>
  <c r="AH7" i="6" s="1"/>
  <c r="Q7" i="6"/>
  <c r="AG6" i="6"/>
  <c r="AH6" i="6" s="1"/>
  <c r="Q6" i="6"/>
  <c r="AG5" i="6"/>
  <c r="AH5" i="6" s="1"/>
  <c r="Q5" i="6"/>
  <c r="B19" i="5"/>
  <c r="B18" i="5"/>
  <c r="B17" i="5"/>
  <c r="B16" i="5"/>
  <c r="B15" i="5"/>
  <c r="B14" i="5"/>
  <c r="I9" i="5"/>
  <c r="E9" i="5"/>
  <c r="A9" i="5"/>
  <c r="I5" i="5"/>
  <c r="E5" i="5"/>
  <c r="A5" i="5"/>
  <c r="P106" i="4"/>
  <c r="Q104" i="4"/>
  <c r="O104" i="4"/>
  <c r="R104" i="4" s="1"/>
  <c r="Q103" i="4"/>
  <c r="O103" i="4"/>
  <c r="R103" i="4" s="1"/>
  <c r="Q102" i="4"/>
  <c r="O102" i="4"/>
  <c r="R102" i="4" s="1"/>
  <c r="Q101" i="4"/>
  <c r="O101" i="4"/>
  <c r="R101" i="4" s="1"/>
  <c r="Q100" i="4"/>
  <c r="O100" i="4"/>
  <c r="R100" i="4" s="1"/>
  <c r="Q99" i="4"/>
  <c r="O99" i="4"/>
  <c r="R99" i="4" s="1"/>
  <c r="Q98" i="4"/>
  <c r="O98" i="4"/>
  <c r="R98" i="4" s="1"/>
  <c r="Q97" i="4"/>
  <c r="O97" i="4"/>
  <c r="R97" i="4" s="1"/>
  <c r="Q96" i="4"/>
  <c r="O96" i="4"/>
  <c r="R96" i="4" s="1"/>
  <c r="Q95" i="4"/>
  <c r="O95" i="4"/>
  <c r="R95" i="4" s="1"/>
  <c r="Q94" i="4"/>
  <c r="O94" i="4"/>
  <c r="R94" i="4" s="1"/>
  <c r="Q93" i="4"/>
  <c r="O93" i="4"/>
  <c r="R93" i="4" s="1"/>
  <c r="Q92" i="4"/>
  <c r="O92" i="4"/>
  <c r="R92" i="4" s="1"/>
  <c r="Q91" i="4"/>
  <c r="O91" i="4"/>
  <c r="R91" i="4" s="1"/>
  <c r="Q90" i="4"/>
  <c r="O90" i="4"/>
  <c r="R90" i="4" s="1"/>
  <c r="Q89" i="4"/>
  <c r="O89" i="4"/>
  <c r="R89" i="4" s="1"/>
  <c r="Q88" i="4"/>
  <c r="O88" i="4"/>
  <c r="R88" i="4" s="1"/>
  <c r="Q87" i="4"/>
  <c r="O87" i="4"/>
  <c r="R87" i="4" s="1"/>
  <c r="Q86" i="4"/>
  <c r="O86" i="4"/>
  <c r="R86" i="4" s="1"/>
  <c r="Q85" i="4"/>
  <c r="O85" i="4"/>
  <c r="R85" i="4" s="1"/>
  <c r="Q84" i="4"/>
  <c r="O84" i="4"/>
  <c r="R84" i="4" s="1"/>
  <c r="Q83" i="4"/>
  <c r="O83" i="4"/>
  <c r="R83" i="4" s="1"/>
  <c r="Q82" i="4"/>
  <c r="O82" i="4"/>
  <c r="R82" i="4" s="1"/>
  <c r="Q81" i="4"/>
  <c r="O81" i="4"/>
  <c r="R81" i="4" s="1"/>
  <c r="Q80" i="4"/>
  <c r="O80" i="4"/>
  <c r="R80" i="4" s="1"/>
  <c r="Q79" i="4"/>
  <c r="O79" i="4"/>
  <c r="R79" i="4" s="1"/>
  <c r="Q78" i="4"/>
  <c r="O78" i="4"/>
  <c r="R78" i="4" s="1"/>
  <c r="Q77" i="4"/>
  <c r="O77" i="4"/>
  <c r="R77" i="4" s="1"/>
  <c r="Q76" i="4"/>
  <c r="O76" i="4"/>
  <c r="R76" i="4" s="1"/>
  <c r="Q75" i="4"/>
  <c r="O75" i="4"/>
  <c r="R75" i="4" s="1"/>
  <c r="Q74" i="4"/>
  <c r="O74" i="4"/>
  <c r="R74" i="4" s="1"/>
  <c r="Q73" i="4"/>
  <c r="O73" i="4"/>
  <c r="R73" i="4" s="1"/>
  <c r="Q72" i="4"/>
  <c r="O72" i="4"/>
  <c r="R72" i="4" s="1"/>
  <c r="Q71" i="4"/>
  <c r="O71" i="4"/>
  <c r="R71" i="4" s="1"/>
  <c r="Q70" i="4"/>
  <c r="O70" i="4"/>
  <c r="R70" i="4" s="1"/>
  <c r="Q69" i="4"/>
  <c r="O69" i="4"/>
  <c r="R69" i="4" s="1"/>
  <c r="Q68" i="4"/>
  <c r="O68" i="4"/>
  <c r="R68" i="4" s="1"/>
  <c r="Q67" i="4"/>
  <c r="O67" i="4"/>
  <c r="R67" i="4" s="1"/>
  <c r="Q66" i="4"/>
  <c r="O66" i="4"/>
  <c r="R66" i="4" s="1"/>
  <c r="Q65" i="4"/>
  <c r="O65" i="4"/>
  <c r="R65" i="4" s="1"/>
  <c r="Q64" i="4"/>
  <c r="O64" i="4"/>
  <c r="R64" i="4" s="1"/>
  <c r="Q63" i="4"/>
  <c r="O63" i="4"/>
  <c r="R63" i="4" s="1"/>
  <c r="Q62" i="4"/>
  <c r="O62" i="4"/>
  <c r="R62" i="4" s="1"/>
  <c r="Q61" i="4"/>
  <c r="O61" i="4"/>
  <c r="R61" i="4" s="1"/>
  <c r="Q60" i="4"/>
  <c r="O60" i="4"/>
  <c r="R60" i="4" s="1"/>
  <c r="Q59" i="4"/>
  <c r="O59" i="4"/>
  <c r="R59" i="4" s="1"/>
  <c r="Q58" i="4"/>
  <c r="O58" i="4"/>
  <c r="R58" i="4" s="1"/>
  <c r="Q57" i="4"/>
  <c r="O57" i="4"/>
  <c r="R57" i="4" s="1"/>
  <c r="Q56" i="4"/>
  <c r="O56" i="4"/>
  <c r="R56" i="4" s="1"/>
  <c r="Q55" i="4"/>
  <c r="O55" i="4"/>
  <c r="R55" i="4" s="1"/>
  <c r="Q54" i="4"/>
  <c r="O54" i="4"/>
  <c r="R54" i="4" s="1"/>
  <c r="Q53" i="4"/>
  <c r="O53" i="4"/>
  <c r="R53" i="4" s="1"/>
  <c r="Q52" i="4"/>
  <c r="O52" i="4"/>
  <c r="R52" i="4" s="1"/>
  <c r="Q51" i="4"/>
  <c r="O51" i="4"/>
  <c r="R51" i="4" s="1"/>
  <c r="Q50" i="4"/>
  <c r="O50" i="4"/>
  <c r="R50" i="4" s="1"/>
  <c r="Q49" i="4"/>
  <c r="O49" i="4"/>
  <c r="R49" i="4" s="1"/>
  <c r="Q48" i="4"/>
  <c r="O48" i="4"/>
  <c r="R48" i="4" s="1"/>
  <c r="Q47" i="4"/>
  <c r="O47" i="4"/>
  <c r="R47" i="4" s="1"/>
  <c r="Q46" i="4"/>
  <c r="O46" i="4"/>
  <c r="R46" i="4" s="1"/>
  <c r="Q45" i="4"/>
  <c r="O45" i="4"/>
  <c r="R45" i="4" s="1"/>
  <c r="Q44" i="4"/>
  <c r="O44" i="4"/>
  <c r="R44" i="4" s="1"/>
  <c r="Q43" i="4"/>
  <c r="O43" i="4"/>
  <c r="R43" i="4" s="1"/>
  <c r="Q42" i="4"/>
  <c r="O42" i="4"/>
  <c r="R42" i="4" s="1"/>
  <c r="Q41" i="4"/>
  <c r="O41" i="4"/>
  <c r="R41" i="4" s="1"/>
  <c r="Q40" i="4"/>
  <c r="O40" i="4"/>
  <c r="R40" i="4" s="1"/>
  <c r="Q39" i="4"/>
  <c r="O39" i="4"/>
  <c r="R39" i="4" s="1"/>
  <c r="Q38" i="4"/>
  <c r="O38" i="4"/>
  <c r="R38" i="4" s="1"/>
  <c r="Q37" i="4"/>
  <c r="O37" i="4"/>
  <c r="R37" i="4" s="1"/>
  <c r="Q36" i="4"/>
  <c r="O36" i="4"/>
  <c r="R36" i="4" s="1"/>
  <c r="Q35" i="4"/>
  <c r="O35" i="4"/>
  <c r="R35" i="4" s="1"/>
  <c r="Q34" i="4"/>
  <c r="O34" i="4"/>
  <c r="R34" i="4" s="1"/>
  <c r="Q33" i="4"/>
  <c r="O33" i="4"/>
  <c r="R33" i="4" s="1"/>
  <c r="Q32" i="4"/>
  <c r="O32" i="4"/>
  <c r="R32" i="4" s="1"/>
  <c r="Q31" i="4"/>
  <c r="O31" i="4"/>
  <c r="R31" i="4" s="1"/>
  <c r="Q30" i="4"/>
  <c r="O30" i="4"/>
  <c r="R30" i="4" s="1"/>
  <c r="Q29" i="4"/>
  <c r="O29" i="4"/>
  <c r="R29" i="4" s="1"/>
  <c r="Q28" i="4"/>
  <c r="O28" i="4"/>
  <c r="R28" i="4" s="1"/>
  <c r="Q27" i="4"/>
  <c r="O27" i="4"/>
  <c r="R27" i="4" s="1"/>
  <c r="Q26" i="4"/>
  <c r="O26" i="4"/>
  <c r="R26" i="4" s="1"/>
  <c r="Q25" i="4"/>
  <c r="O25" i="4"/>
  <c r="R25" i="4" s="1"/>
  <c r="Q24" i="4"/>
  <c r="O24" i="4"/>
  <c r="R24" i="4" s="1"/>
  <c r="Q23" i="4"/>
  <c r="O23" i="4"/>
  <c r="R23" i="4" s="1"/>
  <c r="Q22" i="4"/>
  <c r="O22" i="4"/>
  <c r="R22" i="4" s="1"/>
  <c r="Q21" i="4"/>
  <c r="O21" i="4"/>
  <c r="R21" i="4" s="1"/>
  <c r="Q20" i="4"/>
  <c r="O20" i="4"/>
  <c r="R20" i="4" s="1"/>
  <c r="Q19" i="4"/>
  <c r="O19" i="4"/>
  <c r="R19" i="4" s="1"/>
  <c r="Q18" i="4"/>
  <c r="O18" i="4"/>
  <c r="R18" i="4" s="1"/>
  <c r="Q17" i="4"/>
  <c r="O17" i="4"/>
  <c r="R17" i="4" s="1"/>
  <c r="Q16" i="4"/>
  <c r="O16" i="4"/>
  <c r="R16" i="4" s="1"/>
  <c r="Q15" i="4"/>
  <c r="O15" i="4"/>
  <c r="R15" i="4" s="1"/>
  <c r="Q14" i="4"/>
  <c r="O14" i="4"/>
  <c r="R14" i="4" s="1"/>
  <c r="Q13" i="4"/>
  <c r="O13" i="4"/>
  <c r="R13" i="4" s="1"/>
  <c r="Q12" i="4"/>
  <c r="O12" i="4"/>
  <c r="R12" i="4" s="1"/>
  <c r="Q11" i="4"/>
  <c r="O11" i="4"/>
  <c r="R11" i="4" s="1"/>
  <c r="Q10" i="4"/>
  <c r="O10" i="4"/>
  <c r="R10" i="4" s="1"/>
  <c r="Q9" i="4"/>
  <c r="O9" i="4"/>
  <c r="R9" i="4" s="1"/>
  <c r="Q8" i="4"/>
  <c r="O8" i="4"/>
  <c r="R8" i="4" s="1"/>
  <c r="Q7" i="4"/>
  <c r="O7" i="4"/>
  <c r="R7" i="4" s="1"/>
  <c r="Q6" i="4"/>
  <c r="O6" i="4"/>
  <c r="R6" i="4" s="1"/>
  <c r="Q5" i="4"/>
  <c r="Q106" i="4" s="1"/>
  <c r="O5" i="4"/>
  <c r="P116" i="3"/>
  <c r="Q114" i="3"/>
  <c r="O114" i="3"/>
  <c r="R114" i="3" s="1"/>
  <c r="Q113" i="3"/>
  <c r="O113" i="3"/>
  <c r="R113" i="3" s="1"/>
  <c r="Q112" i="3"/>
  <c r="O112" i="3"/>
  <c r="R112" i="3" s="1"/>
  <c r="Q111" i="3"/>
  <c r="O111" i="3"/>
  <c r="R111" i="3" s="1"/>
  <c r="Q110" i="3"/>
  <c r="O110" i="3"/>
  <c r="R110" i="3" s="1"/>
  <c r="Q109" i="3"/>
  <c r="O109" i="3"/>
  <c r="R109" i="3" s="1"/>
  <c r="Q108" i="3"/>
  <c r="O108" i="3"/>
  <c r="R108" i="3" s="1"/>
  <c r="Q107" i="3"/>
  <c r="O107" i="3"/>
  <c r="R107" i="3" s="1"/>
  <c r="Q106" i="3"/>
  <c r="O106" i="3"/>
  <c r="R106" i="3" s="1"/>
  <c r="Q105" i="3"/>
  <c r="O105" i="3"/>
  <c r="R105" i="3" s="1"/>
  <c r="Q104" i="3"/>
  <c r="O104" i="3"/>
  <c r="R104" i="3" s="1"/>
  <c r="Q103" i="3"/>
  <c r="O103" i="3"/>
  <c r="R103" i="3" s="1"/>
  <c r="Q102" i="3"/>
  <c r="O102" i="3"/>
  <c r="R102" i="3" s="1"/>
  <c r="Q101" i="3"/>
  <c r="O101" i="3"/>
  <c r="R101" i="3" s="1"/>
  <c r="Q100" i="3"/>
  <c r="O100" i="3"/>
  <c r="R100" i="3" s="1"/>
  <c r="Q99" i="3"/>
  <c r="O99" i="3"/>
  <c r="R99" i="3" s="1"/>
  <c r="Q98" i="3"/>
  <c r="O98" i="3"/>
  <c r="R98" i="3" s="1"/>
  <c r="Q97" i="3"/>
  <c r="O97" i="3"/>
  <c r="R97" i="3" s="1"/>
  <c r="Q96" i="3"/>
  <c r="O96" i="3"/>
  <c r="R96" i="3" s="1"/>
  <c r="Q95" i="3"/>
  <c r="O95" i="3"/>
  <c r="R95" i="3" s="1"/>
  <c r="Q94" i="3"/>
  <c r="O94" i="3"/>
  <c r="R94" i="3" s="1"/>
  <c r="Q93" i="3"/>
  <c r="O93" i="3"/>
  <c r="R93" i="3" s="1"/>
  <c r="Q92" i="3"/>
  <c r="O92" i="3"/>
  <c r="R92" i="3" s="1"/>
  <c r="Q91" i="3"/>
  <c r="O91" i="3"/>
  <c r="R91" i="3" s="1"/>
  <c r="Q90" i="3"/>
  <c r="O90" i="3"/>
  <c r="R90" i="3" s="1"/>
  <c r="Q89" i="3"/>
  <c r="O89" i="3"/>
  <c r="R89" i="3" s="1"/>
  <c r="Q88" i="3"/>
  <c r="O88" i="3"/>
  <c r="R88" i="3" s="1"/>
  <c r="Q87" i="3"/>
  <c r="O87" i="3"/>
  <c r="R87" i="3" s="1"/>
  <c r="Q86" i="3"/>
  <c r="O86" i="3"/>
  <c r="R86" i="3" s="1"/>
  <c r="Q85" i="3"/>
  <c r="O85" i="3"/>
  <c r="R85" i="3" s="1"/>
  <c r="Q84" i="3"/>
  <c r="O84" i="3"/>
  <c r="R84" i="3" s="1"/>
  <c r="Q83" i="3"/>
  <c r="O83" i="3"/>
  <c r="R83" i="3" s="1"/>
  <c r="Q82" i="3"/>
  <c r="O82" i="3"/>
  <c r="R82" i="3" s="1"/>
  <c r="Q81" i="3"/>
  <c r="O81" i="3"/>
  <c r="R81" i="3" s="1"/>
  <c r="Q80" i="3"/>
  <c r="O80" i="3"/>
  <c r="R80" i="3" s="1"/>
  <c r="Q79" i="3"/>
  <c r="O79" i="3"/>
  <c r="R79" i="3" s="1"/>
  <c r="Q78" i="3"/>
  <c r="O78" i="3"/>
  <c r="R78" i="3" s="1"/>
  <c r="Q77" i="3"/>
  <c r="O77" i="3"/>
  <c r="R77" i="3" s="1"/>
  <c r="Q76" i="3"/>
  <c r="O76" i="3"/>
  <c r="R76" i="3" s="1"/>
  <c r="Q75" i="3"/>
  <c r="O75" i="3"/>
  <c r="R75" i="3" s="1"/>
  <c r="Q74" i="3"/>
  <c r="O74" i="3"/>
  <c r="R74" i="3" s="1"/>
  <c r="Q73" i="3"/>
  <c r="O73" i="3"/>
  <c r="R73" i="3" s="1"/>
  <c r="Q72" i="3"/>
  <c r="O72" i="3"/>
  <c r="R72" i="3" s="1"/>
  <c r="Q71" i="3"/>
  <c r="O71" i="3"/>
  <c r="R71" i="3" s="1"/>
  <c r="Q70" i="3"/>
  <c r="O70" i="3"/>
  <c r="R70" i="3" s="1"/>
  <c r="Q69" i="3"/>
  <c r="O69" i="3"/>
  <c r="R69" i="3" s="1"/>
  <c r="Q68" i="3"/>
  <c r="O68" i="3"/>
  <c r="R68" i="3" s="1"/>
  <c r="Q67" i="3"/>
  <c r="O67" i="3"/>
  <c r="R67" i="3" s="1"/>
  <c r="Q66" i="3"/>
  <c r="O66" i="3"/>
  <c r="R66" i="3" s="1"/>
  <c r="Q65" i="3"/>
  <c r="O65" i="3"/>
  <c r="R65" i="3" s="1"/>
  <c r="Q64" i="3"/>
  <c r="O64" i="3"/>
  <c r="R64" i="3" s="1"/>
  <c r="Q63" i="3"/>
  <c r="O63" i="3"/>
  <c r="R63" i="3" s="1"/>
  <c r="Q62" i="3"/>
  <c r="O62" i="3"/>
  <c r="R62" i="3" s="1"/>
  <c r="Q61" i="3"/>
  <c r="O61" i="3"/>
  <c r="R61" i="3" s="1"/>
  <c r="Q60" i="3"/>
  <c r="O60" i="3"/>
  <c r="R60" i="3" s="1"/>
  <c r="Q59" i="3"/>
  <c r="O59" i="3"/>
  <c r="R59" i="3" s="1"/>
  <c r="Q58" i="3"/>
  <c r="O58" i="3"/>
  <c r="R58" i="3" s="1"/>
  <c r="Q57" i="3"/>
  <c r="O57" i="3"/>
  <c r="R57" i="3" s="1"/>
  <c r="Q56" i="3"/>
  <c r="O56" i="3"/>
  <c r="R56" i="3" s="1"/>
  <c r="Q55" i="3"/>
  <c r="O55" i="3"/>
  <c r="R55" i="3" s="1"/>
  <c r="Q54" i="3"/>
  <c r="O54" i="3"/>
  <c r="R54" i="3" s="1"/>
  <c r="Q53" i="3"/>
  <c r="O53" i="3"/>
  <c r="R53" i="3" s="1"/>
  <c r="Q52" i="3"/>
  <c r="O52" i="3"/>
  <c r="R52" i="3" s="1"/>
  <c r="Q51" i="3"/>
  <c r="O51" i="3"/>
  <c r="R51" i="3" s="1"/>
  <c r="Q50" i="3"/>
  <c r="O50" i="3"/>
  <c r="R50" i="3" s="1"/>
  <c r="Q49" i="3"/>
  <c r="O49" i="3"/>
  <c r="R49" i="3" s="1"/>
  <c r="Q48" i="3"/>
  <c r="O48" i="3"/>
  <c r="R48" i="3" s="1"/>
  <c r="Q47" i="3"/>
  <c r="O47" i="3"/>
  <c r="R47" i="3" s="1"/>
  <c r="Q46" i="3"/>
  <c r="O46" i="3"/>
  <c r="R46" i="3" s="1"/>
  <c r="Q45" i="3"/>
  <c r="O45" i="3"/>
  <c r="R45" i="3" s="1"/>
  <c r="Q44" i="3"/>
  <c r="O44" i="3"/>
  <c r="R44" i="3" s="1"/>
  <c r="Q43" i="3"/>
  <c r="O43" i="3"/>
  <c r="R43" i="3" s="1"/>
  <c r="Q42" i="3"/>
  <c r="O42" i="3"/>
  <c r="R42" i="3" s="1"/>
  <c r="Q41" i="3"/>
  <c r="O41" i="3"/>
  <c r="R41" i="3" s="1"/>
  <c r="Q40" i="3"/>
  <c r="O40" i="3"/>
  <c r="R40" i="3" s="1"/>
  <c r="Q39" i="3"/>
  <c r="O39" i="3"/>
  <c r="R39" i="3" s="1"/>
  <c r="Q38" i="3"/>
  <c r="O38" i="3"/>
  <c r="R38" i="3" s="1"/>
  <c r="Q37" i="3"/>
  <c r="O37" i="3"/>
  <c r="R37" i="3" s="1"/>
  <c r="Q36" i="3"/>
  <c r="O36" i="3"/>
  <c r="R36" i="3" s="1"/>
  <c r="Q35" i="3"/>
  <c r="O35" i="3"/>
  <c r="R35" i="3" s="1"/>
  <c r="Q34" i="3"/>
  <c r="O34" i="3"/>
  <c r="R34" i="3" s="1"/>
  <c r="Q33" i="3"/>
  <c r="O33" i="3"/>
  <c r="R33" i="3" s="1"/>
  <c r="Q32" i="3"/>
  <c r="O32" i="3"/>
  <c r="R32" i="3" s="1"/>
  <c r="Q31" i="3"/>
  <c r="O31" i="3"/>
  <c r="R31" i="3" s="1"/>
  <c r="Q30" i="3"/>
  <c r="O30" i="3"/>
  <c r="R30" i="3" s="1"/>
  <c r="Q29" i="3"/>
  <c r="O29" i="3"/>
  <c r="R29" i="3" s="1"/>
  <c r="Q28" i="3"/>
  <c r="O28" i="3"/>
  <c r="R28" i="3" s="1"/>
  <c r="Q27" i="3"/>
  <c r="O27" i="3"/>
  <c r="R27" i="3" s="1"/>
  <c r="Q26" i="3"/>
  <c r="O26" i="3"/>
  <c r="R26" i="3" s="1"/>
  <c r="Q25" i="3"/>
  <c r="O25" i="3"/>
  <c r="R25" i="3" s="1"/>
  <c r="Q24" i="3"/>
  <c r="O24" i="3"/>
  <c r="R24" i="3" s="1"/>
  <c r="Q23" i="3"/>
  <c r="O23" i="3"/>
  <c r="R23" i="3" s="1"/>
  <c r="Q22" i="3"/>
  <c r="O22" i="3"/>
  <c r="R22" i="3" s="1"/>
  <c r="Q21" i="3"/>
  <c r="O21" i="3"/>
  <c r="R21" i="3" s="1"/>
  <c r="Q20" i="3"/>
  <c r="O20" i="3"/>
  <c r="R20" i="3" s="1"/>
  <c r="Q19" i="3"/>
  <c r="O19" i="3"/>
  <c r="R19" i="3" s="1"/>
  <c r="Q18" i="3"/>
  <c r="O18" i="3"/>
  <c r="R18" i="3" s="1"/>
  <c r="Q17" i="3"/>
  <c r="O17" i="3"/>
  <c r="R17" i="3" s="1"/>
  <c r="Q16" i="3"/>
  <c r="O16" i="3"/>
  <c r="R16" i="3" s="1"/>
  <c r="Q15" i="3"/>
  <c r="O15" i="3"/>
  <c r="R15" i="3" s="1"/>
  <c r="Q14" i="3"/>
  <c r="O14" i="3"/>
  <c r="R14" i="3" s="1"/>
  <c r="Q13" i="3"/>
  <c r="O13" i="3"/>
  <c r="R13" i="3" s="1"/>
  <c r="Q12" i="3"/>
  <c r="O12" i="3"/>
  <c r="R12" i="3" s="1"/>
  <c r="Q11" i="3"/>
  <c r="O11" i="3"/>
  <c r="R11" i="3" s="1"/>
  <c r="Q10" i="3"/>
  <c r="O10" i="3"/>
  <c r="R10" i="3" s="1"/>
  <c r="Q9" i="3"/>
  <c r="O9" i="3"/>
  <c r="R9" i="3" s="1"/>
  <c r="Q8" i="3"/>
  <c r="O8" i="3"/>
  <c r="R8" i="3" s="1"/>
  <c r="Q7" i="3"/>
  <c r="O7" i="3"/>
  <c r="R7" i="3" s="1"/>
  <c r="Q6" i="3"/>
  <c r="O6" i="3"/>
  <c r="R6" i="3" s="1"/>
  <c r="Q5" i="3"/>
  <c r="Q116" i="3" s="1"/>
  <c r="O5" i="3"/>
  <c r="H6" i="2"/>
  <c r="G6" i="2"/>
  <c r="E6" i="2"/>
  <c r="D6" i="2"/>
  <c r="B6" i="2"/>
  <c r="H5" i="2"/>
  <c r="H7" i="2" s="1"/>
  <c r="G5" i="2"/>
  <c r="G7" i="2" s="1"/>
  <c r="E5" i="2"/>
  <c r="E7" i="2" s="1"/>
  <c r="D5" i="2"/>
  <c r="D7" i="2" s="1"/>
  <c r="B5" i="2"/>
  <c r="B7" i="2" s="1"/>
  <c r="O116" i="3" l="1"/>
  <c r="C5" i="2" s="1"/>
  <c r="R5" i="3"/>
  <c r="O106" i="4"/>
  <c r="C6" i="2" s="1"/>
  <c r="R5" i="4"/>
  <c r="R16" i="7"/>
  <c r="U5" i="7"/>
  <c r="U16" i="7" s="1"/>
  <c r="O5" i="11"/>
  <c r="N5" i="11"/>
  <c r="M5" i="11"/>
  <c r="J5" i="11"/>
  <c r="O6" i="11"/>
  <c r="N6" i="11"/>
  <c r="M6" i="11"/>
  <c r="J6" i="11"/>
  <c r="O7" i="11"/>
  <c r="N7" i="11"/>
  <c r="M7" i="11"/>
  <c r="J7" i="11"/>
  <c r="O8" i="11"/>
  <c r="N8" i="11"/>
  <c r="M8" i="11"/>
  <c r="J8" i="11"/>
  <c r="O9" i="11"/>
  <c r="N9" i="11"/>
  <c r="M9" i="11"/>
  <c r="J9" i="11"/>
  <c r="R106" i="4" l="1"/>
  <c r="F6" i="2"/>
  <c r="R116" i="3"/>
  <c r="F5" i="2"/>
  <c r="F7" i="2" s="1"/>
  <c r="C7" i="2"/>
</calcChain>
</file>

<file path=xl/sharedStrings.xml><?xml version="1.0" encoding="utf-8"?>
<sst xmlns="http://schemas.openxmlformats.org/spreadsheetml/2006/main" count="6680" uniqueCount="1671">
  <si>
    <t>Original Hospital Revenue Cycle Charge Demo</t>
  </si>
  <si>
    <t>Independent synthetic demonstration workbook. It is not an Epic product, replica, extract, or proprietary build.</t>
  </si>
  <si>
    <t>Purpose</t>
  </si>
  <si>
    <t>Provides an original hospital revenue-cycle dataset with separate inpatient and outpatient charge-detail views, CDM controls, routing, billing edits, contracts, governance, and auditability.</t>
  </si>
  <si>
    <t>Epic alignment</t>
  </si>
  <si>
    <t>Uses common US hospital billing concepts such as hospital accounts, charge routing, workqueues, facility/professional split, institutional claims, and reimbursement. No proprietary EHR design is reproduced.</t>
  </si>
  <si>
    <t>Primary sheets</t>
  </si>
  <si>
    <t>CDM Master; IPD Encounter; Charge Router Rules; Claim Edits; Payer Contracts; Price Transparency; Governance; Audit Trail; Data Source Map; Data Dictionary; Dashboard.</t>
  </si>
  <si>
    <t>Color convention</t>
  </si>
  <si>
    <t>Blue = editable input; black = formula/derived; green = linked/imported; gray = static reference; orange = review; red = error/hold; purple = control logic; teal = KPI/visualization.</t>
  </si>
  <si>
    <t>Data disclaimer</t>
  </si>
  <si>
    <t>All patients, payers, prices, contracts, identifiers, effective dates, and operational scenarios are synthetic. No PHI is included.</t>
  </si>
  <si>
    <t>Sources</t>
  </si>
  <si>
    <t>Epic public financial interface documentation: https://open.epic.com/Financial/Billing
CMS Hospital Price Transparency: https://www.cms.gov/priorities/key-initiatives/hospital-price-transparency
CMS technical implementation guide: https://github.com/CMSgov/hospital-price-transparency</t>
  </si>
  <si>
    <t>IPD and OPD Charge Summary</t>
  </si>
  <si>
    <t>Executive comparison of the 210 synthetic charge lines included in this workbook.</t>
  </si>
  <si>
    <t>Setting</t>
  </si>
  <si>
    <t>Charge Lines</t>
  </si>
  <si>
    <t>Gross Charges ($)</t>
  </si>
  <si>
    <t>Expected Allowed ($)</t>
  </si>
  <si>
    <t>Patient Responsibility ($)</t>
  </si>
  <si>
    <t>Adjustments ($)</t>
  </si>
  <si>
    <t>Held Charges</t>
  </si>
  <si>
    <t>Review Edits</t>
  </si>
  <si>
    <t>IPD</t>
  </si>
  <si>
    <t>OPD</t>
  </si>
  <si>
    <t>TOTAL</t>
  </si>
  <si>
    <t>Inpatient Charge Detail</t>
  </si>
  <si>
    <t>110 original synthetic inpatient charge lines covering accommodation, surgery, implants, drugs, diagnostics, therapies, and ancillary services.</t>
  </si>
  <si>
    <t>Charge Line ID</t>
  </si>
  <si>
    <t>Patient Account</t>
  </si>
  <si>
    <t>Encounter ID</t>
  </si>
  <si>
    <t>Patient Class</t>
  </si>
  <si>
    <t>Facility</t>
  </si>
  <si>
    <t>Department</t>
  </si>
  <si>
    <t>Service Date</t>
  </si>
  <si>
    <t>Charge Code</t>
  </si>
  <si>
    <t>Charge Description</t>
  </si>
  <si>
    <t>Revenue Code</t>
  </si>
  <si>
    <t>CPT/HCPCS</t>
  </si>
  <si>
    <t>Modifier</t>
  </si>
  <si>
    <t>Quantity</t>
  </si>
  <si>
    <t>Unit Charge ($)</t>
  </si>
  <si>
    <t>Extended Gross ($)</t>
  </si>
  <si>
    <t>Contractual Adjustment ($)</t>
  </si>
  <si>
    <t>Payer</t>
  </si>
  <si>
    <t>Plan</t>
  </si>
  <si>
    <t>Authorization ID</t>
  </si>
  <si>
    <t>Ordering Provider</t>
  </si>
  <si>
    <t>Performing Provider</t>
  </si>
  <si>
    <t>Source System</t>
  </si>
  <si>
    <t>Charge Trigger</t>
  </si>
  <si>
    <t>Charge Status</t>
  </si>
  <si>
    <t>Reconciliation Status</t>
  </si>
  <si>
    <t>Claim Edit Status</t>
  </si>
  <si>
    <t>Workqueue</t>
  </si>
  <si>
    <t>Medical Necessity</t>
  </si>
  <si>
    <t>Diagnosis Link</t>
  </si>
  <si>
    <t>Place of Service</t>
  </si>
  <si>
    <t>Posting Date/Time</t>
  </si>
  <si>
    <t>Notes</t>
  </si>
  <si>
    <t>IPD-CHG-0001</t>
  </si>
  <si>
    <t>HAR-202600001</t>
  </si>
  <si>
    <t>CSN-IPD-780001</t>
  </si>
  <si>
    <t>Inpatient</t>
  </si>
  <si>
    <t>Demo Regional Medical Center</t>
  </si>
  <si>
    <t>Accommodation</t>
  </si>
  <si>
    <t>2026-09-02</t>
  </si>
  <si>
    <t>RM-SEMI-DAY</t>
  </si>
  <si>
    <t>Semiprivate Medical/Surgical Room</t>
  </si>
  <si>
    <t>0120</t>
  </si>
  <si>
    <t>Demo PPO</t>
  </si>
  <si>
    <t>Gold PPO</t>
  </si>
  <si>
    <t>Eleanor Brooks, MD</t>
  </si>
  <si>
    <t>Assigned Department Provider</t>
  </si>
  <si>
    <t>ADT</t>
  </si>
  <si>
    <t>Midnight census</t>
  </si>
  <si>
    <t>Posted</t>
  </si>
  <si>
    <t>Matched</t>
  </si>
  <si>
    <t>Passed</t>
  </si>
  <si>
    <t>N/A</t>
  </si>
  <si>
    <t>M17.11</t>
  </si>
  <si>
    <t>21</t>
  </si>
  <si>
    <t>2026-09-02 16:30</t>
  </si>
  <si>
    <t>Synthetic demonstration charge</t>
  </si>
  <si>
    <t>IPD-CHG-0002</t>
  </si>
  <si>
    <t>HAR-202600002</t>
  </si>
  <si>
    <t>CSN-IPD-780002</t>
  </si>
  <si>
    <t>2026-09-03</t>
  </si>
  <si>
    <t>RM-PRIV-DAY</t>
  </si>
  <si>
    <t>Private Medical/Surgical Room</t>
  </si>
  <si>
    <t>0110</t>
  </si>
  <si>
    <t>2026-09-03 16:30</t>
  </si>
  <si>
    <t>IPD-CHG-0003</t>
  </si>
  <si>
    <t>HAR-202600003</t>
  </si>
  <si>
    <t>CSN-IPD-780003</t>
  </si>
  <si>
    <t>Intensive Care</t>
  </si>
  <si>
    <t>2026-09-04</t>
  </si>
  <si>
    <t>ICU-DAY</t>
  </si>
  <si>
    <t>Intensive Care Unit Room</t>
  </si>
  <si>
    <t>0200</t>
  </si>
  <si>
    <t>J96.01</t>
  </si>
  <si>
    <t>2026-09-04 16:30</t>
  </si>
  <si>
    <t>IPD-CHG-0004</t>
  </si>
  <si>
    <t>HAR-202600004</t>
  </si>
  <si>
    <t>CSN-IPD-780004</t>
  </si>
  <si>
    <t>Operating Room</t>
  </si>
  <si>
    <t>2026-09-05</t>
  </si>
  <si>
    <t>OR-MAJOR-1H</t>
  </si>
  <si>
    <t>Major Operating Room, First Hour</t>
  </si>
  <si>
    <t>0360</t>
  </si>
  <si>
    <t>Perioperative</t>
  </si>
  <si>
    <t>Procedure end</t>
  </si>
  <si>
    <t>Procedure-specific</t>
  </si>
  <si>
    <t>2026-09-05 16:30</t>
  </si>
  <si>
    <t>IPD-CHG-0005</t>
  </si>
  <si>
    <t>HAR-202600005</t>
  </si>
  <si>
    <t>CSN-IPD-780005</t>
  </si>
  <si>
    <t>2026-09-06</t>
  </si>
  <si>
    <t>OR-ADD-15</t>
  </si>
  <si>
    <t>Operating Room, Additional 15 Minutes</t>
  </si>
  <si>
    <t>2026-09-06 16:30</t>
  </si>
  <si>
    <t>IPD-CHG-0006</t>
  </si>
  <si>
    <t>HAR-202600006</t>
  </si>
  <si>
    <t>CSN-IPD-780006</t>
  </si>
  <si>
    <t>Recovery Room</t>
  </si>
  <si>
    <t>2026-09-07</t>
  </si>
  <si>
    <t>PACU-1H</t>
  </si>
  <si>
    <t>Post-Anesthesia Care, First Hour</t>
  </si>
  <si>
    <t>0710</t>
  </si>
  <si>
    <t>PACU discharge</t>
  </si>
  <si>
    <t>Z47.1</t>
  </si>
  <si>
    <t>2026-09-07 16:30</t>
  </si>
  <si>
    <t>IPD-CHG-0007</t>
  </si>
  <si>
    <t>HAR-202600007</t>
  </si>
  <si>
    <t>CSN-IPD-780007</t>
  </si>
  <si>
    <t>Surgical Supplies</t>
  </si>
  <si>
    <t>2026-09-08</t>
  </si>
  <si>
    <t>SUP-MAJOR-PACK</t>
  </si>
  <si>
    <t>Major Surgery Disposable Supply Pack</t>
  </si>
  <si>
    <t>0270</t>
  </si>
  <si>
    <t>Inventory</t>
  </si>
  <si>
    <t>Supply issue</t>
  </si>
  <si>
    <t>Contract rule</t>
  </si>
  <si>
    <t>2026-09-08 16:30</t>
  </si>
  <si>
    <t>IPD-CHG-0008</t>
  </si>
  <si>
    <t>HAR-202600008</t>
  </si>
  <si>
    <t>CSN-IPD-780008</t>
  </si>
  <si>
    <t>Implants</t>
  </si>
  <si>
    <t>2026-09-09</t>
  </si>
  <si>
    <t>IMP-KNEE-CEM</t>
  </si>
  <si>
    <t>Cemented Knee Implant System</t>
  </si>
  <si>
    <t>0278</t>
  </si>
  <si>
    <t>Implant scan</t>
  </si>
  <si>
    <t>2026-09-09 16:30</t>
  </si>
  <si>
    <t>IPD-CHG-0009</t>
  </si>
  <si>
    <t>HAR-202600009</t>
  </si>
  <si>
    <t>CSN-IPD-780009</t>
  </si>
  <si>
    <t>2026-09-10</t>
  </si>
  <si>
    <t>IMP-SCREW</t>
  </si>
  <si>
    <t>Orthopedic Fixation Screw</t>
  </si>
  <si>
    <t>C1713</t>
  </si>
  <si>
    <t>2026-09-10 16:30</t>
  </si>
  <si>
    <t>IPD-CHG-0010</t>
  </si>
  <si>
    <t>HAR-202600010</t>
  </si>
  <si>
    <t>CSN-IPD-780010</t>
  </si>
  <si>
    <t>Pharmacy</t>
  </si>
  <si>
    <t>2026-09-11</t>
  </si>
  <si>
    <t>DRUG-CEFA-1G</t>
  </si>
  <si>
    <t>Cefazolin 1 g Injection</t>
  </si>
  <si>
    <t>0250</t>
  </si>
  <si>
    <t>J0690</t>
  </si>
  <si>
    <t>Pharmacy MAR</t>
  </si>
  <si>
    <t>Medication administration</t>
  </si>
  <si>
    <t>Dose/frequency</t>
  </si>
  <si>
    <t>Z79.2</t>
  </si>
  <si>
    <t>2026-09-11 16:30</t>
  </si>
  <si>
    <t>IPD-CHG-0011</t>
  </si>
  <si>
    <t>HAR-202600011</t>
  </si>
  <si>
    <t>CSN-IPD-780011</t>
  </si>
  <si>
    <t>2026-09-12</t>
  </si>
  <si>
    <t>DRUG-VANC-500</t>
  </si>
  <si>
    <t>Vancomycin 500 mg Injection</t>
  </si>
  <si>
    <t>J3370</t>
  </si>
  <si>
    <t>2026-09-12 16:30</t>
  </si>
  <si>
    <t>IPD-CHG-0012</t>
  </si>
  <si>
    <t>HAR-202600012</t>
  </si>
  <si>
    <t>CSN-IPD-780012</t>
  </si>
  <si>
    <t>2026-09-13</t>
  </si>
  <si>
    <t>IV-NS-1L</t>
  </si>
  <si>
    <t>Normal Saline 1,000 mL</t>
  </si>
  <si>
    <t>0258</t>
  </si>
  <si>
    <t>J7030</t>
  </si>
  <si>
    <t>E86.0</t>
  </si>
  <si>
    <t>2026-09-13 16:30</t>
  </si>
  <si>
    <t>IPD-CHG-0013</t>
  </si>
  <si>
    <t>HAR-202600013</t>
  </si>
  <si>
    <t>CSN-IPD-780013</t>
  </si>
  <si>
    <t>Laboratory</t>
  </si>
  <si>
    <t>2026-09-14</t>
  </si>
  <si>
    <t>LAB-CBC</t>
  </si>
  <si>
    <t>Complete Blood Count with Differential</t>
  </si>
  <si>
    <t>0300</t>
  </si>
  <si>
    <t>85025</t>
  </si>
  <si>
    <t>LIS</t>
  </si>
  <si>
    <t>Final result</t>
  </si>
  <si>
    <t>Diagnosis/LCD</t>
  </si>
  <si>
    <t>D64.9</t>
  </si>
  <si>
    <t>2026-09-14 16:30</t>
  </si>
  <si>
    <t>IPD-CHG-0014</t>
  </si>
  <si>
    <t>HAR-202600014</t>
  </si>
  <si>
    <t>CSN-IPD-780014</t>
  </si>
  <si>
    <t>2026-09-15</t>
  </si>
  <si>
    <t>LAB-CMP</t>
  </si>
  <si>
    <t>Comprehensive Metabolic Panel</t>
  </si>
  <si>
    <t>0301</t>
  </si>
  <si>
    <t>80053</t>
  </si>
  <si>
    <t>E11.9</t>
  </si>
  <si>
    <t>2026-09-15 16:30</t>
  </si>
  <si>
    <t>IPD-CHG-0015</t>
  </si>
  <si>
    <t>HAR-202600015</t>
  </si>
  <si>
    <t>CSN-IPD-780015</t>
  </si>
  <si>
    <t>2026-09-16</t>
  </si>
  <si>
    <t>LAB-PTINR</t>
  </si>
  <si>
    <t>Prothrombin Time / INR</t>
  </si>
  <si>
    <t>0305</t>
  </si>
  <si>
    <t>85610</t>
  </si>
  <si>
    <t>Z79.01</t>
  </si>
  <si>
    <t>2026-09-16 16:30</t>
  </si>
  <si>
    <t>IPD-CHG-0016</t>
  </si>
  <si>
    <t>HAR-202600016</t>
  </si>
  <si>
    <t>CSN-IPD-780016</t>
  </si>
  <si>
    <t>Radiology</t>
  </si>
  <si>
    <t>2026-09-17</t>
  </si>
  <si>
    <t>RAD-CHEST-2V</t>
  </si>
  <si>
    <t>Chest X-ray, 2 Views</t>
  </si>
  <si>
    <t>0320</t>
  </si>
  <si>
    <t>71046</t>
  </si>
  <si>
    <t>RIS/PACS</t>
  </si>
  <si>
    <t>Exam completed</t>
  </si>
  <si>
    <t>R06.02</t>
  </si>
  <si>
    <t>2026-09-17 16:30</t>
  </si>
  <si>
    <t>IPD-CHG-0017</t>
  </si>
  <si>
    <t>HAR-202600017</t>
  </si>
  <si>
    <t>CSN-IPD-780017</t>
  </si>
  <si>
    <t>2026-09-18</t>
  </si>
  <si>
    <t>RAD-KNEE-2V</t>
  </si>
  <si>
    <t>Knee X-ray, 1-2 Views</t>
  </si>
  <si>
    <t>73560</t>
  </si>
  <si>
    <t>M25.561</t>
  </si>
  <si>
    <t>2026-09-18 16:30</t>
  </si>
  <si>
    <t>IPD-CHG-0018</t>
  </si>
  <si>
    <t>HAR-202600018</t>
  </si>
  <si>
    <t>CSN-IPD-780018</t>
  </si>
  <si>
    <t>Cardiology</t>
  </si>
  <si>
    <t>2026-09-19</t>
  </si>
  <si>
    <t>CARD-ECG12</t>
  </si>
  <si>
    <t>12-Lead ECG</t>
  </si>
  <si>
    <t>0730</t>
  </si>
  <si>
    <t>93005</t>
  </si>
  <si>
    <t>Test completed</t>
  </si>
  <si>
    <t>R07.9</t>
  </si>
  <si>
    <t>2026-09-19 16:30</t>
  </si>
  <si>
    <t>IPD-CHG-0019</t>
  </si>
  <si>
    <t>HAR-202600019</t>
  </si>
  <si>
    <t>CSN-IPD-780019</t>
  </si>
  <si>
    <t>Respiratory</t>
  </si>
  <si>
    <t>2026-09-20</t>
  </si>
  <si>
    <t>RESP-NEB</t>
  </si>
  <si>
    <t>Nebulizer Treatment</t>
  </si>
  <si>
    <t>0410</t>
  </si>
  <si>
    <t>94640</t>
  </si>
  <si>
    <t>Treatment completed</t>
  </si>
  <si>
    <t>J45.901</t>
  </si>
  <si>
    <t>2026-09-20 16:30</t>
  </si>
  <si>
    <t>IPD-CHG-0020</t>
  </si>
  <si>
    <t>HAR-202600020</t>
  </si>
  <si>
    <t>CSN-IPD-780020</t>
  </si>
  <si>
    <t>Physical Therapy</t>
  </si>
  <si>
    <t>2026-09-21</t>
  </si>
  <si>
    <t>PT-EVAL-LOW</t>
  </si>
  <si>
    <t>Physical Therapy Evaluation, Low Complexity</t>
  </si>
  <si>
    <t>0420</t>
  </si>
  <si>
    <t>97161</t>
  </si>
  <si>
    <t>AUTH-700020</t>
  </si>
  <si>
    <t>Therapy</t>
  </si>
  <si>
    <t>Note signed</t>
  </si>
  <si>
    <t>Plan benefits</t>
  </si>
  <si>
    <t>R26.2</t>
  </si>
  <si>
    <t>2026-09-21 16:30</t>
  </si>
  <si>
    <t>IPD-CHG-0021</t>
  </si>
  <si>
    <t>HAR-202600021</t>
  </si>
  <si>
    <t>CSN-IPD-780021</t>
  </si>
  <si>
    <t>2026-09-22</t>
  </si>
  <si>
    <t>PT-THEREX-15</t>
  </si>
  <si>
    <t>Therapeutic Exercise, 15 Minutes</t>
  </si>
  <si>
    <t>97110</t>
  </si>
  <si>
    <t>Timed units</t>
  </si>
  <si>
    <t>M62.81</t>
  </si>
  <si>
    <t>2026-09-22 16:30</t>
  </si>
  <si>
    <t>IPD-CHG-0022</t>
  </si>
  <si>
    <t>HAR-202600022</t>
  </si>
  <si>
    <t>CSN-IPD-780022</t>
  </si>
  <si>
    <t>Occupational Therapy</t>
  </si>
  <si>
    <t>2026-09-23</t>
  </si>
  <si>
    <t>OT-EVAL-LOW</t>
  </si>
  <si>
    <t>Occupational Therapy Evaluation, Low Complexity</t>
  </si>
  <si>
    <t>0430</t>
  </si>
  <si>
    <t>97165</t>
  </si>
  <si>
    <t>AUTH-700022</t>
  </si>
  <si>
    <t>Z74.09</t>
  </si>
  <si>
    <t>2026-09-23 16:30</t>
  </si>
  <si>
    <t>IPD-CHG-0023</t>
  </si>
  <si>
    <t>HAR-202600023</t>
  </si>
  <si>
    <t>CSN-IPD-780023</t>
  </si>
  <si>
    <t>Nutrition</t>
  </si>
  <si>
    <t>2026-09-24</t>
  </si>
  <si>
    <t>NUTR-ASSESS</t>
  </si>
  <si>
    <t>Inpatient Nutrition Assessment</t>
  </si>
  <si>
    <t>0942</t>
  </si>
  <si>
    <t>97802</t>
  </si>
  <si>
    <t>Dietary</t>
  </si>
  <si>
    <t>Review</t>
  </si>
  <si>
    <t>WQ-NUT-04</t>
  </si>
  <si>
    <t>E44.1</t>
  </si>
  <si>
    <t>2026-09-24 16:30</t>
  </si>
  <si>
    <t>IPD-CHG-0024</t>
  </si>
  <si>
    <t>HAR-202600024</t>
  </si>
  <si>
    <t>CSN-IPD-780024</t>
  </si>
  <si>
    <t>Dialysis</t>
  </si>
  <si>
    <t>2026-09-25</t>
  </si>
  <si>
    <t>DIALYSIS-IP</t>
  </si>
  <si>
    <t>Inpatient Hemodialysis Treatment</t>
  </si>
  <si>
    <t>0801</t>
  </si>
  <si>
    <t>90935</t>
  </si>
  <si>
    <t>N18.6</t>
  </si>
  <si>
    <t>2026-09-25 16:30</t>
  </si>
  <si>
    <t>IPD-CHG-0025</t>
  </si>
  <si>
    <t>HAR-202600025</t>
  </si>
  <si>
    <t>CSN-IPD-780025</t>
  </si>
  <si>
    <t>2026-09-01</t>
  </si>
  <si>
    <t>2026-09-01 16:30</t>
  </si>
  <si>
    <t>IPD-CHG-0026</t>
  </si>
  <si>
    <t>HAR-202600026</t>
  </si>
  <si>
    <t>CSN-IPD-780026</t>
  </si>
  <si>
    <t>IPD-CHG-0027</t>
  </si>
  <si>
    <t>HAR-202600027</t>
  </si>
  <si>
    <t>CSN-IPD-780027</t>
  </si>
  <si>
    <t>IPD-CHG-0028</t>
  </si>
  <si>
    <t>HAR-202600028</t>
  </si>
  <si>
    <t>CSN-IPD-780028</t>
  </si>
  <si>
    <t>IPD-CHG-0029</t>
  </si>
  <si>
    <t>HAR-202600029</t>
  </si>
  <si>
    <t>CSN-IPD-780029</t>
  </si>
  <si>
    <t>Hold</t>
  </si>
  <si>
    <t>Exception</t>
  </si>
  <si>
    <t>WQ-OPE-02</t>
  </si>
  <si>
    <t>IPD-CHG-0030</t>
  </si>
  <si>
    <t>HAR-202600030</t>
  </si>
  <si>
    <t>CSN-IPD-780030</t>
  </si>
  <si>
    <t>IPD-CHG-0031</t>
  </si>
  <si>
    <t>HAR-202600031</t>
  </si>
  <si>
    <t>CSN-IPD-780031</t>
  </si>
  <si>
    <t>IPD-CHG-0032</t>
  </si>
  <si>
    <t>HAR-202600032</t>
  </si>
  <si>
    <t>CSN-IPD-780032</t>
  </si>
  <si>
    <t>IPD-CHG-0033</t>
  </si>
  <si>
    <t>HAR-202600033</t>
  </si>
  <si>
    <t>CSN-IPD-780033</t>
  </si>
  <si>
    <t>IPD-CHG-0034</t>
  </si>
  <si>
    <t>HAR-202600034</t>
  </si>
  <si>
    <t>CSN-IPD-780034</t>
  </si>
  <si>
    <t>IPD-CHG-0035</t>
  </si>
  <si>
    <t>HAR-202600035</t>
  </si>
  <si>
    <t>CSN-IPD-780035</t>
  </si>
  <si>
    <t>IPD-CHG-0036</t>
  </si>
  <si>
    <t>HAR-202600036</t>
  </si>
  <si>
    <t>CSN-IPD-780036</t>
  </si>
  <si>
    <t>IPD-CHG-0037</t>
  </si>
  <si>
    <t>HAR-202600037</t>
  </si>
  <si>
    <t>CSN-IPD-780037</t>
  </si>
  <si>
    <t>IPD-CHG-0038</t>
  </si>
  <si>
    <t>HAR-202600038</t>
  </si>
  <si>
    <t>CSN-IPD-780038</t>
  </si>
  <si>
    <t>IPD-CHG-0039</t>
  </si>
  <si>
    <t>HAR-202600039</t>
  </si>
  <si>
    <t>CSN-IPD-780039</t>
  </si>
  <si>
    <t>IPD-CHG-0040</t>
  </si>
  <si>
    <t>HAR-202600040</t>
  </si>
  <si>
    <t>CSN-IPD-780040</t>
  </si>
  <si>
    <t>IPD-CHG-0041</t>
  </si>
  <si>
    <t>HAR-202600041</t>
  </si>
  <si>
    <t>CSN-IPD-780041</t>
  </si>
  <si>
    <t>IPD-CHG-0042</t>
  </si>
  <si>
    <t>HAR-202600042</t>
  </si>
  <si>
    <t>CSN-IPD-780042</t>
  </si>
  <si>
    <t>IPD-CHG-0043</t>
  </si>
  <si>
    <t>HAR-202600043</t>
  </si>
  <si>
    <t>CSN-IPD-780043</t>
  </si>
  <si>
    <t>IPD-CHG-0044</t>
  </si>
  <si>
    <t>HAR-202600044</t>
  </si>
  <si>
    <t>CSN-IPD-780044</t>
  </si>
  <si>
    <t>AUTH-700044</t>
  </si>
  <si>
    <t>IPD-CHG-0045</t>
  </si>
  <si>
    <t>HAR-202600045</t>
  </si>
  <si>
    <t>CSN-IPD-780045</t>
  </si>
  <si>
    <t>IPD-CHG-0046</t>
  </si>
  <si>
    <t>HAR-202600046</t>
  </si>
  <si>
    <t>CSN-IPD-780046</t>
  </si>
  <si>
    <t>AUTH-700046</t>
  </si>
  <si>
    <t>WQ-OCC-03</t>
  </si>
  <si>
    <t>IPD-CHG-0047</t>
  </si>
  <si>
    <t>HAR-202600047</t>
  </si>
  <si>
    <t>CSN-IPD-780047</t>
  </si>
  <si>
    <t>IPD-CHG-0048</t>
  </si>
  <si>
    <t>HAR-202600048</t>
  </si>
  <si>
    <t>CSN-IPD-780048</t>
  </si>
  <si>
    <t>IPD-CHG-0049</t>
  </si>
  <si>
    <t>HAR-202600049</t>
  </si>
  <si>
    <t>CSN-IPD-780049</t>
  </si>
  <si>
    <t>IPD-CHG-0050</t>
  </si>
  <si>
    <t>HAR-202600050</t>
  </si>
  <si>
    <t>CSN-IPD-780050</t>
  </si>
  <si>
    <t>IPD-CHG-0051</t>
  </si>
  <si>
    <t>HAR-202600051</t>
  </si>
  <si>
    <t>CSN-IPD-780051</t>
  </si>
  <si>
    <t>IPD-CHG-0052</t>
  </si>
  <si>
    <t>HAR-202600052</t>
  </si>
  <si>
    <t>CSN-IPD-780052</t>
  </si>
  <si>
    <t>IPD-CHG-0053</t>
  </si>
  <si>
    <t>HAR-202600053</t>
  </si>
  <si>
    <t>CSN-IPD-780053</t>
  </si>
  <si>
    <t>IPD-CHG-0054</t>
  </si>
  <si>
    <t>HAR-202600054</t>
  </si>
  <si>
    <t>CSN-IPD-780054</t>
  </si>
  <si>
    <t>IPD-CHG-0055</t>
  </si>
  <si>
    <t>HAR-202600055</t>
  </si>
  <si>
    <t>CSN-IPD-780055</t>
  </si>
  <si>
    <t>IPD-CHG-0056</t>
  </si>
  <si>
    <t>HAR-202600056</t>
  </si>
  <si>
    <t>CSN-IPD-780056</t>
  </si>
  <si>
    <t>IPD-CHG-0057</t>
  </si>
  <si>
    <t>HAR-202600057</t>
  </si>
  <si>
    <t>CSN-IPD-780057</t>
  </si>
  <si>
    <t>IPD-CHG-0058</t>
  </si>
  <si>
    <t>HAR-202600058</t>
  </si>
  <si>
    <t>CSN-IPD-780058</t>
  </si>
  <si>
    <t>WQ-PHA-03</t>
  </si>
  <si>
    <t>IPD-CHG-0059</t>
  </si>
  <si>
    <t>HAR-202600059</t>
  </si>
  <si>
    <t>CSN-IPD-780059</t>
  </si>
  <si>
    <t>IPD-CHG-0060</t>
  </si>
  <si>
    <t>HAR-202600060</t>
  </si>
  <si>
    <t>CSN-IPD-780060</t>
  </si>
  <si>
    <t>IPD-CHG-0061</t>
  </si>
  <si>
    <t>HAR-202600061</t>
  </si>
  <si>
    <t>CSN-IPD-780061</t>
  </si>
  <si>
    <t>IPD-CHG-0062</t>
  </si>
  <si>
    <t>HAR-202600062</t>
  </si>
  <si>
    <t>CSN-IPD-780062</t>
  </si>
  <si>
    <t>IPD-CHG-0063</t>
  </si>
  <si>
    <t>HAR-202600063</t>
  </si>
  <si>
    <t>CSN-IPD-780063</t>
  </si>
  <si>
    <t>IPD-CHG-0064</t>
  </si>
  <si>
    <t>HAR-202600064</t>
  </si>
  <si>
    <t>CSN-IPD-780064</t>
  </si>
  <si>
    <t>IPD-CHG-0065</t>
  </si>
  <si>
    <t>HAR-202600065</t>
  </si>
  <si>
    <t>CSN-IPD-780065</t>
  </si>
  <si>
    <t>IPD-CHG-0066</t>
  </si>
  <si>
    <t>HAR-202600066</t>
  </si>
  <si>
    <t>CSN-IPD-780066</t>
  </si>
  <si>
    <t>IPD-CHG-0067</t>
  </si>
  <si>
    <t>HAR-202600067</t>
  </si>
  <si>
    <t>CSN-IPD-780067</t>
  </si>
  <si>
    <t>IPD-CHG-0068</t>
  </si>
  <si>
    <t>HAR-202600068</t>
  </si>
  <si>
    <t>CSN-IPD-780068</t>
  </si>
  <si>
    <t>AUTH-700068</t>
  </si>
  <si>
    <t>IPD-CHG-0069</t>
  </si>
  <si>
    <t>HAR-202600069</t>
  </si>
  <si>
    <t>CSN-IPD-780069</t>
  </si>
  <si>
    <t>WQ-PHY-02</t>
  </si>
  <si>
    <t>IPD-CHG-0070</t>
  </si>
  <si>
    <t>HAR-202600070</t>
  </si>
  <si>
    <t>CSN-IPD-780070</t>
  </si>
  <si>
    <t>AUTH-700070</t>
  </si>
  <si>
    <t>IPD-CHG-0071</t>
  </si>
  <si>
    <t>HAR-202600071</t>
  </si>
  <si>
    <t>CSN-IPD-780071</t>
  </si>
  <si>
    <t>IPD-CHG-0072</t>
  </si>
  <si>
    <t>HAR-202600072</t>
  </si>
  <si>
    <t>CSN-IPD-780072</t>
  </si>
  <si>
    <t>IPD-CHG-0073</t>
  </si>
  <si>
    <t>HAR-202600073</t>
  </si>
  <si>
    <t>CSN-IPD-780073</t>
  </si>
  <si>
    <t>IPD-CHG-0074</t>
  </si>
  <si>
    <t>HAR-202600074</t>
  </si>
  <si>
    <t>CSN-IPD-780074</t>
  </si>
  <si>
    <t>IPD-CHG-0075</t>
  </si>
  <si>
    <t>HAR-202600075</t>
  </si>
  <si>
    <t>CSN-IPD-780075</t>
  </si>
  <si>
    <t>IPD-CHG-0076</t>
  </si>
  <si>
    <t>HAR-202600076</t>
  </si>
  <si>
    <t>CSN-IPD-780076</t>
  </si>
  <si>
    <t>IPD-CHG-0077</t>
  </si>
  <si>
    <t>HAR-202600077</t>
  </si>
  <si>
    <t>CSN-IPD-780077</t>
  </si>
  <si>
    <t>IPD-CHG-0078</t>
  </si>
  <si>
    <t>HAR-202600078</t>
  </si>
  <si>
    <t>CSN-IPD-780078</t>
  </si>
  <si>
    <t>IPD-CHG-0079</t>
  </si>
  <si>
    <t>HAR-202600079</t>
  </si>
  <si>
    <t>CSN-IPD-780079</t>
  </si>
  <si>
    <t>IPD-CHG-0080</t>
  </si>
  <si>
    <t>HAR-202600080</t>
  </si>
  <si>
    <t>CSN-IPD-780080</t>
  </si>
  <si>
    <t>IPD-CHG-0081</t>
  </si>
  <si>
    <t>HAR-202600081</t>
  </si>
  <si>
    <t>CSN-IPD-780081</t>
  </si>
  <si>
    <t>IPD-CHG-0082</t>
  </si>
  <si>
    <t>HAR-202600082</t>
  </si>
  <si>
    <t>CSN-IPD-780082</t>
  </si>
  <si>
    <t>IPD-CHG-0083</t>
  </si>
  <si>
    <t>HAR-202600083</t>
  </si>
  <si>
    <t>CSN-IPD-780083</t>
  </si>
  <si>
    <t>IPD-CHG-0084</t>
  </si>
  <si>
    <t>HAR-202600084</t>
  </si>
  <si>
    <t>CSN-IPD-780084</t>
  </si>
  <si>
    <t>IPD-CHG-0085</t>
  </si>
  <si>
    <t>HAR-202600085</t>
  </si>
  <si>
    <t>CSN-IPD-780085</t>
  </si>
  <si>
    <t>IPD-CHG-0086</t>
  </si>
  <si>
    <t>HAR-202600086</t>
  </si>
  <si>
    <t>CSN-IPD-780086</t>
  </si>
  <si>
    <t>IPD-CHG-0087</t>
  </si>
  <si>
    <t>HAR-202600087</t>
  </si>
  <si>
    <t>CSN-IPD-780087</t>
  </si>
  <si>
    <t>WQ-LAB-04</t>
  </si>
  <si>
    <t>IPD-CHG-0088</t>
  </si>
  <si>
    <t>HAR-202600088</t>
  </si>
  <si>
    <t>CSN-IPD-780088</t>
  </si>
  <si>
    <t>IPD-CHG-0089</t>
  </si>
  <si>
    <t>HAR-202600089</t>
  </si>
  <si>
    <t>CSN-IPD-780089</t>
  </si>
  <si>
    <t>IPD-CHG-0090</t>
  </si>
  <si>
    <t>HAR-202600090</t>
  </si>
  <si>
    <t>CSN-IPD-780090</t>
  </si>
  <si>
    <t>IPD-CHG-0091</t>
  </si>
  <si>
    <t>HAR-202600091</t>
  </si>
  <si>
    <t>CSN-IPD-780091</t>
  </si>
  <si>
    <t>IPD-CHG-0092</t>
  </si>
  <si>
    <t>HAR-202600092</t>
  </si>
  <si>
    <t>CSN-IPD-780092</t>
  </si>
  <si>
    <t>AUTH-700092</t>
  </si>
  <si>
    <t>WQ-PHY-01</t>
  </si>
  <si>
    <t>IPD-CHG-0093</t>
  </si>
  <si>
    <t>HAR-202600093</t>
  </si>
  <si>
    <t>CSN-IPD-780093</t>
  </si>
  <si>
    <t>IPD-CHG-0094</t>
  </si>
  <si>
    <t>HAR-202600094</t>
  </si>
  <si>
    <t>CSN-IPD-780094</t>
  </si>
  <si>
    <t>AUTH-700094</t>
  </si>
  <si>
    <t>IPD-CHG-0095</t>
  </si>
  <si>
    <t>HAR-202600095</t>
  </si>
  <si>
    <t>CSN-IPD-780095</t>
  </si>
  <si>
    <t>IPD-CHG-0096</t>
  </si>
  <si>
    <t>HAR-202600096</t>
  </si>
  <si>
    <t>CSN-IPD-780096</t>
  </si>
  <si>
    <t>IPD-CHG-0097</t>
  </si>
  <si>
    <t>HAR-202600097</t>
  </si>
  <si>
    <t>CSN-IPD-780097</t>
  </si>
  <si>
    <t>IPD-CHG-0098</t>
  </si>
  <si>
    <t>HAR-202600098</t>
  </si>
  <si>
    <t>CSN-IPD-780098</t>
  </si>
  <si>
    <t>IPD-CHG-0099</t>
  </si>
  <si>
    <t>HAR-202600099</t>
  </si>
  <si>
    <t>CSN-IPD-780099</t>
  </si>
  <si>
    <t>IPD-CHG-0100</t>
  </si>
  <si>
    <t>HAR-202600100</t>
  </si>
  <si>
    <t>CSN-IPD-780100</t>
  </si>
  <si>
    <t>IPD-CHG-0101</t>
  </si>
  <si>
    <t>HAR-202600101</t>
  </si>
  <si>
    <t>CSN-IPD-780101</t>
  </si>
  <si>
    <t>IPD-CHG-0102</t>
  </si>
  <si>
    <t>HAR-202600102</t>
  </si>
  <si>
    <t>CSN-IPD-780102</t>
  </si>
  <si>
    <t>IPD-CHG-0103</t>
  </si>
  <si>
    <t>HAR-202600103</t>
  </si>
  <si>
    <t>CSN-IPD-780103</t>
  </si>
  <si>
    <t>IPD-CHG-0104</t>
  </si>
  <si>
    <t>HAR-202600104</t>
  </si>
  <si>
    <t>CSN-IPD-780104</t>
  </si>
  <si>
    <t>IPD-CHG-0105</t>
  </si>
  <si>
    <t>HAR-202600105</t>
  </si>
  <si>
    <t>CSN-IPD-780105</t>
  </si>
  <si>
    <t>IPD-CHG-0106</t>
  </si>
  <si>
    <t>HAR-202600106</t>
  </si>
  <si>
    <t>CSN-IPD-780106</t>
  </si>
  <si>
    <t>IPD-CHG-0107</t>
  </si>
  <si>
    <t>HAR-202600107</t>
  </si>
  <si>
    <t>CSN-IPD-780107</t>
  </si>
  <si>
    <t>IPD-CHG-0108</t>
  </si>
  <si>
    <t>HAR-202600108</t>
  </si>
  <si>
    <t>CSN-IPD-780108</t>
  </si>
  <si>
    <t>IPD-CHG-0109</t>
  </si>
  <si>
    <t>HAR-202600109</t>
  </si>
  <si>
    <t>CSN-IPD-780109</t>
  </si>
  <si>
    <t>IPD-CHG-0110</t>
  </si>
  <si>
    <t>HAR-202600110</t>
  </si>
  <si>
    <t>CSN-IPD-780110</t>
  </si>
  <si>
    <t>Outpatient Charge Detail</t>
  </si>
  <si>
    <t>100 original synthetic outpatient charge lines covering emergency, clinic, diagnostics, procedures, therapies, infusion, and ancillary services.</t>
  </si>
  <si>
    <t>OPD-CHG-0001</t>
  </si>
  <si>
    <t>OP-202600001</t>
  </si>
  <si>
    <t>CSN-OPD-780001</t>
  </si>
  <si>
    <t>Outpatient</t>
  </si>
  <si>
    <t>Emergency Department</t>
  </si>
  <si>
    <t>ED-LEVEL-1</t>
  </si>
  <si>
    <t>Emergency Department Visit Level 1</t>
  </si>
  <si>
    <t>0450</t>
  </si>
  <si>
    <t>99281</t>
  </si>
  <si>
    <t>ED</t>
  </si>
  <si>
    <t>Encounter close</t>
  </si>
  <si>
    <t>Documentation</t>
  </si>
  <si>
    <t>R50.9</t>
  </si>
  <si>
    <t>22</t>
  </si>
  <si>
    <t>OPD-CHG-0002</t>
  </si>
  <si>
    <t>OP-202600002</t>
  </si>
  <si>
    <t>CSN-OPD-780002</t>
  </si>
  <si>
    <t>ED-LEVEL-2</t>
  </si>
  <si>
    <t>Emergency Department Visit Level 2</t>
  </si>
  <si>
    <t>99282</t>
  </si>
  <si>
    <t>R51.9</t>
  </si>
  <si>
    <t>OPD-CHG-0003</t>
  </si>
  <si>
    <t>OP-202600003</t>
  </si>
  <si>
    <t>CSN-OPD-780003</t>
  </si>
  <si>
    <t>ED-LEVEL-3</t>
  </si>
  <si>
    <t>Emergency Department Visit Level 3</t>
  </si>
  <si>
    <t>99283</t>
  </si>
  <si>
    <t>R10.9</t>
  </si>
  <si>
    <t>OPD-CHG-0004</t>
  </si>
  <si>
    <t>OP-202600004</t>
  </si>
  <si>
    <t>CSN-OPD-780004</t>
  </si>
  <si>
    <t>ED-LEVEL-4</t>
  </si>
  <si>
    <t>Emergency Department Visit Level 4</t>
  </si>
  <si>
    <t>99284</t>
  </si>
  <si>
    <t>OPD-CHG-0005</t>
  </si>
  <si>
    <t>OP-202600005</t>
  </si>
  <si>
    <t>CSN-OPD-780005</t>
  </si>
  <si>
    <t>ED-LEVEL-5</t>
  </si>
  <si>
    <t>Emergency Department Visit Level 5</t>
  </si>
  <si>
    <t>99285</t>
  </si>
  <si>
    <t>OPD-CHG-0006</t>
  </si>
  <si>
    <t>OP-202600006</t>
  </si>
  <si>
    <t>CSN-OPD-780006</t>
  </si>
  <si>
    <t>Hospital Clinic</t>
  </si>
  <si>
    <t>CLINIC-L2</t>
  </si>
  <si>
    <t>Hospital Outpatient Clinic Visit Level 2</t>
  </si>
  <si>
    <t>0510</t>
  </si>
  <si>
    <t>99212</t>
  </si>
  <si>
    <t>Ambulatory</t>
  </si>
  <si>
    <t>Visit close</t>
  </si>
  <si>
    <t>E/M documentation</t>
  </si>
  <si>
    <t>I10</t>
  </si>
  <si>
    <t>OPD-CHG-0007</t>
  </si>
  <si>
    <t>OP-202600007</t>
  </si>
  <si>
    <t>CSN-OPD-780007</t>
  </si>
  <si>
    <t>CLINIC-L3</t>
  </si>
  <si>
    <t>Hospital Outpatient Clinic Visit Level 3</t>
  </si>
  <si>
    <t>99213</t>
  </si>
  <si>
    <t>OPD-CHG-0008</t>
  </si>
  <si>
    <t>OP-202600008</t>
  </si>
  <si>
    <t>CSN-OPD-780008</t>
  </si>
  <si>
    <t>CLINIC-L4</t>
  </si>
  <si>
    <t>Hospital Outpatient Clinic Visit Level 4</t>
  </si>
  <si>
    <t>99214</t>
  </si>
  <si>
    <t>J45.40</t>
  </si>
  <si>
    <t>OPD-CHG-0009</t>
  </si>
  <si>
    <t>OP-202600009</t>
  </si>
  <si>
    <t>CSN-OPD-780009</t>
  </si>
  <si>
    <t>CLINIC-L5</t>
  </si>
  <si>
    <t>Hospital Outpatient Clinic Visit Level 5</t>
  </si>
  <si>
    <t>99215</t>
  </si>
  <si>
    <t>I50.9</t>
  </si>
  <si>
    <t>OPD-CHG-0010</t>
  </si>
  <si>
    <t>OP-202600010</t>
  </si>
  <si>
    <t>CSN-OPD-780010</t>
  </si>
  <si>
    <t>XR-CHEST-2V</t>
  </si>
  <si>
    <t>R05.9</t>
  </si>
  <si>
    <t>OPD-CHG-0011</t>
  </si>
  <si>
    <t>OP-202600011</t>
  </si>
  <si>
    <t>CSN-OPD-780011</t>
  </si>
  <si>
    <t>CT-HEAD-WO</t>
  </si>
  <si>
    <t>CT Head Without Contrast</t>
  </si>
  <si>
    <t>0350</t>
  </si>
  <si>
    <t>70450</t>
  </si>
  <si>
    <t>AUTH-700011</t>
  </si>
  <si>
    <t>Prior authorization</t>
  </si>
  <si>
    <t>OPD-CHG-0012</t>
  </si>
  <si>
    <t>OP-202600012</t>
  </si>
  <si>
    <t>CSN-OPD-780012</t>
  </si>
  <si>
    <t>CT-CHEST-W</t>
  </si>
  <si>
    <t>CT Chest With Contrast</t>
  </si>
  <si>
    <t>71260</t>
  </si>
  <si>
    <t>AUTH-700012</t>
  </si>
  <si>
    <t>R91.1</t>
  </si>
  <si>
    <t>OPD-CHG-0013</t>
  </si>
  <si>
    <t>OP-202600013</t>
  </si>
  <si>
    <t>CSN-OPD-780013</t>
  </si>
  <si>
    <t>MRI-BRAIN-WO</t>
  </si>
  <si>
    <t>MRI Brain Without Contrast</t>
  </si>
  <si>
    <t>0610</t>
  </si>
  <si>
    <t>70551</t>
  </si>
  <si>
    <t>AUTH-700013</t>
  </si>
  <si>
    <t>G43.909</t>
  </si>
  <si>
    <t>OPD-CHG-0014</t>
  </si>
  <si>
    <t>OP-202600014</t>
  </si>
  <si>
    <t>CSN-OPD-780014</t>
  </si>
  <si>
    <t>US-ABD-COMP</t>
  </si>
  <si>
    <t>Ultrasound Abdomen Complete</t>
  </si>
  <si>
    <t>0402</t>
  </si>
  <si>
    <t>76700</t>
  </si>
  <si>
    <t>R10.84</t>
  </si>
  <si>
    <t>OPD-CHG-0015</t>
  </si>
  <si>
    <t>OP-202600015</t>
  </si>
  <si>
    <t>CSN-OPD-780015</t>
  </si>
  <si>
    <t>Mammography</t>
  </si>
  <si>
    <t>MAMMO-SCREEN</t>
  </si>
  <si>
    <t>Screening Mammography, Bilateral</t>
  </si>
  <si>
    <t>0403</t>
  </si>
  <si>
    <t>77067</t>
  </si>
  <si>
    <t>Preventive rule</t>
  </si>
  <si>
    <t>Z12.31</t>
  </si>
  <si>
    <t>OPD-CHG-0016</t>
  </si>
  <si>
    <t>OP-202600016</t>
  </si>
  <si>
    <t>CSN-OPD-780016</t>
  </si>
  <si>
    <t>CBC-OP</t>
  </si>
  <si>
    <t>R53.83</t>
  </si>
  <si>
    <t>OPD-CHG-0017</t>
  </si>
  <si>
    <t>OP-202600017</t>
  </si>
  <si>
    <t>CSN-OPD-780017</t>
  </si>
  <si>
    <t>BMP-OP</t>
  </si>
  <si>
    <t>Basic Metabolic Panel</t>
  </si>
  <si>
    <t>80048</t>
  </si>
  <si>
    <t>OPD-CHG-0018</t>
  </si>
  <si>
    <t>OP-202600018</t>
  </si>
  <si>
    <t>CSN-OPD-780018</t>
  </si>
  <si>
    <t>A1C-OP</t>
  </si>
  <si>
    <t>Hemoglobin A1c</t>
  </si>
  <si>
    <t>83036</t>
  </si>
  <si>
    <t>OPD-CHG-0019</t>
  </si>
  <si>
    <t>OP-202600019</t>
  </si>
  <si>
    <t>CSN-OPD-780019</t>
  </si>
  <si>
    <t>LIPID-OP</t>
  </si>
  <si>
    <t>Lipid Panel</t>
  </si>
  <si>
    <t>80061</t>
  </si>
  <si>
    <t>E78.5</t>
  </si>
  <si>
    <t>OPD-CHG-0020</t>
  </si>
  <si>
    <t>OP-202600020</t>
  </si>
  <si>
    <t>CSN-OPD-780020</t>
  </si>
  <si>
    <t>ECHO-COMP</t>
  </si>
  <si>
    <t>Complete Transthoracic Echocardiogram</t>
  </si>
  <si>
    <t>0483</t>
  </si>
  <si>
    <t>93306</t>
  </si>
  <si>
    <t>R01.1</t>
  </si>
  <si>
    <t>OPD-CHG-0021</t>
  </si>
  <si>
    <t>OP-202600021</t>
  </si>
  <si>
    <t>CSN-OPD-780021</t>
  </si>
  <si>
    <t>STRESS-TEST</t>
  </si>
  <si>
    <t>Cardiovascular Stress Test</t>
  </si>
  <si>
    <t>0482</t>
  </si>
  <si>
    <t>93017</t>
  </si>
  <si>
    <t>AUTH-700021</t>
  </si>
  <si>
    <t>OPD-CHG-0022</t>
  </si>
  <si>
    <t>OP-202600022</t>
  </si>
  <si>
    <t>CSN-OPD-780022</t>
  </si>
  <si>
    <t>Endoscopy</t>
  </si>
  <si>
    <t>COLON-DX</t>
  </si>
  <si>
    <t>Diagnostic Colonoscopy</t>
  </si>
  <si>
    <t>0750</t>
  </si>
  <si>
    <t>45378</t>
  </si>
  <si>
    <t>Procedure completed</t>
  </si>
  <si>
    <t>Z12.11</t>
  </si>
  <si>
    <t>OPD-CHG-0023</t>
  </si>
  <si>
    <t>OP-202600023</t>
  </si>
  <si>
    <t>CSN-OPD-780023</t>
  </si>
  <si>
    <t>EGD-DX</t>
  </si>
  <si>
    <t>Diagnostic Upper GI Endoscopy</t>
  </si>
  <si>
    <t>43235</t>
  </si>
  <si>
    <t>AUTH-700023</t>
  </si>
  <si>
    <t>WQ-END-04</t>
  </si>
  <si>
    <t>K21.9</t>
  </si>
  <si>
    <t>OPD-CHG-0024</t>
  </si>
  <si>
    <t>OP-202600024</t>
  </si>
  <si>
    <t>CSN-OPD-780024</t>
  </si>
  <si>
    <t>PT-EVAL-OP</t>
  </si>
  <si>
    <t>Outpatient Physical Therapy Evaluation</t>
  </si>
  <si>
    <t>97162</t>
  </si>
  <si>
    <t>AUTH-700024</t>
  </si>
  <si>
    <t>M54.50</t>
  </si>
  <si>
    <t>OPD-CHG-0025</t>
  </si>
  <si>
    <t>OP-202600025</t>
  </si>
  <si>
    <t>CSN-OPD-780025</t>
  </si>
  <si>
    <t>PT-THEREX-OP</t>
  </si>
  <si>
    <t>OPD-CHG-0026</t>
  </si>
  <si>
    <t>OP-202600026</t>
  </si>
  <si>
    <t>CSN-OPD-780026</t>
  </si>
  <si>
    <t>Infusion</t>
  </si>
  <si>
    <t>INFUSION-1H</t>
  </si>
  <si>
    <t>Therapeutic Infusion, Initial Hour</t>
  </si>
  <si>
    <t>0260</t>
  </si>
  <si>
    <t>96365</t>
  </si>
  <si>
    <t>AUTH-700026</t>
  </si>
  <si>
    <t>Administration completed</t>
  </si>
  <si>
    <t>Drug policy</t>
  </si>
  <si>
    <t>Z51.11</t>
  </si>
  <si>
    <t>OPD-CHG-0027</t>
  </si>
  <si>
    <t>OP-202600027</t>
  </si>
  <si>
    <t>CSN-OPD-780027</t>
  </si>
  <si>
    <t>Chemotherapy</t>
  </si>
  <si>
    <t>CHEMO-1H</t>
  </si>
  <si>
    <t>Chemotherapy Infusion, Initial Hour</t>
  </si>
  <si>
    <t>0335</t>
  </si>
  <si>
    <t>96413</t>
  </si>
  <si>
    <t>AUTH-700027</t>
  </si>
  <si>
    <t>C50.919</t>
  </si>
  <si>
    <t>OPD-CHG-0028</t>
  </si>
  <si>
    <t>OP-202600028</t>
  </si>
  <si>
    <t>CSN-OPD-780028</t>
  </si>
  <si>
    <t>Behavioral Health</t>
  </si>
  <si>
    <t>BH-INDIVIDUAL</t>
  </si>
  <si>
    <t>Outpatient Psychotherapy, 45 Minutes</t>
  </si>
  <si>
    <t>0914</t>
  </si>
  <si>
    <t>90834</t>
  </si>
  <si>
    <t>Benefits</t>
  </si>
  <si>
    <t>F41.1</t>
  </si>
  <si>
    <t>OPD-CHG-0029</t>
  </si>
  <si>
    <t>OP-202600029</t>
  </si>
  <si>
    <t>CSN-OPD-780029</t>
  </si>
  <si>
    <t>WQ-EME-02</t>
  </si>
  <si>
    <t>OPD-CHG-0030</t>
  </si>
  <si>
    <t>OP-202600030</t>
  </si>
  <si>
    <t>CSN-OPD-780030</t>
  </si>
  <si>
    <t>OPD-CHG-0031</t>
  </si>
  <si>
    <t>OP-202600031</t>
  </si>
  <si>
    <t>CSN-OPD-780031</t>
  </si>
  <si>
    <t>OPD-CHG-0032</t>
  </si>
  <si>
    <t>OP-202600032</t>
  </si>
  <si>
    <t>CSN-OPD-780032</t>
  </si>
  <si>
    <t>OPD-CHG-0033</t>
  </si>
  <si>
    <t>OP-202600033</t>
  </si>
  <si>
    <t>CSN-OPD-780033</t>
  </si>
  <si>
    <t>OPD-CHG-0034</t>
  </si>
  <si>
    <t>OP-202600034</t>
  </si>
  <si>
    <t>CSN-OPD-780034</t>
  </si>
  <si>
    <t>OPD-CHG-0035</t>
  </si>
  <si>
    <t>OP-202600035</t>
  </si>
  <si>
    <t>CSN-OPD-780035</t>
  </si>
  <si>
    <t>OPD-CHG-0036</t>
  </si>
  <si>
    <t>OP-202600036</t>
  </si>
  <si>
    <t>CSN-OPD-780036</t>
  </si>
  <si>
    <t>OPD-CHG-0037</t>
  </si>
  <si>
    <t>OP-202600037</t>
  </si>
  <si>
    <t>CSN-OPD-780037</t>
  </si>
  <si>
    <t>OPD-CHG-0038</t>
  </si>
  <si>
    <t>OP-202600038</t>
  </si>
  <si>
    <t>CSN-OPD-780038</t>
  </si>
  <si>
    <t>OPD-CHG-0039</t>
  </si>
  <si>
    <t>OP-202600039</t>
  </si>
  <si>
    <t>CSN-OPD-780039</t>
  </si>
  <si>
    <t>AUTH-700039</t>
  </si>
  <si>
    <t>OPD-CHG-0040</t>
  </si>
  <si>
    <t>OP-202600040</t>
  </si>
  <si>
    <t>CSN-OPD-780040</t>
  </si>
  <si>
    <t>AUTH-700040</t>
  </si>
  <si>
    <t>OPD-CHG-0041</t>
  </si>
  <si>
    <t>OP-202600041</t>
  </si>
  <si>
    <t>CSN-OPD-780041</t>
  </si>
  <si>
    <t>AUTH-700041</t>
  </si>
  <si>
    <t>OPD-CHG-0042</t>
  </si>
  <si>
    <t>OP-202600042</t>
  </si>
  <si>
    <t>CSN-OPD-780042</t>
  </si>
  <si>
    <t>OPD-CHG-0043</t>
  </si>
  <si>
    <t>OP-202600043</t>
  </si>
  <si>
    <t>CSN-OPD-780043</t>
  </si>
  <si>
    <t>OPD-CHG-0044</t>
  </si>
  <si>
    <t>OP-202600044</t>
  </si>
  <si>
    <t>CSN-OPD-780044</t>
  </si>
  <si>
    <t>OPD-CHG-0045</t>
  </si>
  <si>
    <t>OP-202600045</t>
  </si>
  <si>
    <t>CSN-OPD-780045</t>
  </si>
  <si>
    <t>OPD-CHG-0046</t>
  </si>
  <si>
    <t>OP-202600046</t>
  </si>
  <si>
    <t>CSN-OPD-780046</t>
  </si>
  <si>
    <t>WQ-LAB-03</t>
  </si>
  <si>
    <t>OPD-CHG-0047</t>
  </si>
  <si>
    <t>OP-202600047</t>
  </si>
  <si>
    <t>CSN-OPD-780047</t>
  </si>
  <si>
    <t>OPD-CHG-0048</t>
  </si>
  <si>
    <t>OP-202600048</t>
  </si>
  <si>
    <t>CSN-OPD-780048</t>
  </si>
  <si>
    <t>AUTH-700048</t>
  </si>
  <si>
    <t>OPD-CHG-0049</t>
  </si>
  <si>
    <t>OP-202600049</t>
  </si>
  <si>
    <t>CSN-OPD-780049</t>
  </si>
  <si>
    <t>AUTH-700049</t>
  </si>
  <si>
    <t>OPD-CHG-0050</t>
  </si>
  <si>
    <t>OP-202600050</t>
  </si>
  <si>
    <t>CSN-OPD-780050</t>
  </si>
  <si>
    <t>AUTH-700050</t>
  </si>
  <si>
    <t>OPD-CHG-0051</t>
  </si>
  <si>
    <t>OP-202600051</t>
  </si>
  <si>
    <t>CSN-OPD-780051</t>
  </si>
  <si>
    <t>AUTH-700051</t>
  </si>
  <si>
    <t>OPD-CHG-0052</t>
  </si>
  <si>
    <t>OP-202600052</t>
  </si>
  <si>
    <t>CSN-OPD-780052</t>
  </si>
  <si>
    <t>AUTH-700052</t>
  </si>
  <si>
    <t>OPD-CHG-0053</t>
  </si>
  <si>
    <t>OP-202600053</t>
  </si>
  <si>
    <t>CSN-OPD-780053</t>
  </si>
  <si>
    <t>OPD-CHG-0054</t>
  </si>
  <si>
    <t>OP-202600054</t>
  </si>
  <si>
    <t>CSN-OPD-780054</t>
  </si>
  <si>
    <t>AUTH-700054</t>
  </si>
  <si>
    <t>OPD-CHG-0055</t>
  </si>
  <si>
    <t>OP-202600055</t>
  </si>
  <si>
    <t>CSN-OPD-780055</t>
  </si>
  <si>
    <t>AUTH-700055</t>
  </si>
  <si>
    <t>OPD-CHG-0056</t>
  </si>
  <si>
    <t>OP-202600056</t>
  </si>
  <si>
    <t>CSN-OPD-780056</t>
  </si>
  <si>
    <t>OPD-CHG-0057</t>
  </si>
  <si>
    <t>OP-202600057</t>
  </si>
  <si>
    <t>CSN-OPD-780057</t>
  </si>
  <si>
    <t>OPD-CHG-0058</t>
  </si>
  <si>
    <t>OP-202600058</t>
  </si>
  <si>
    <t>CSN-OPD-780058</t>
  </si>
  <si>
    <t>WQ-EME-03</t>
  </si>
  <si>
    <t>OPD-CHG-0059</t>
  </si>
  <si>
    <t>OP-202600059</t>
  </si>
  <si>
    <t>CSN-OPD-780059</t>
  </si>
  <si>
    <t>OPD-CHG-0060</t>
  </si>
  <si>
    <t>OP-202600060</t>
  </si>
  <si>
    <t>CSN-OPD-780060</t>
  </si>
  <si>
    <t>OPD-CHG-0061</t>
  </si>
  <si>
    <t>OP-202600061</t>
  </si>
  <si>
    <t>CSN-OPD-780061</t>
  </si>
  <si>
    <t>OPD-CHG-0062</t>
  </si>
  <si>
    <t>OP-202600062</t>
  </si>
  <si>
    <t>CSN-OPD-780062</t>
  </si>
  <si>
    <t>OPD-CHG-0063</t>
  </si>
  <si>
    <t>OP-202600063</t>
  </si>
  <si>
    <t>CSN-OPD-780063</t>
  </si>
  <si>
    <t>OPD-CHG-0064</t>
  </si>
  <si>
    <t>OP-202600064</t>
  </si>
  <si>
    <t>CSN-OPD-780064</t>
  </si>
  <si>
    <t>OPD-CHG-0065</t>
  </si>
  <si>
    <t>OP-202600065</t>
  </si>
  <si>
    <t>CSN-OPD-780065</t>
  </si>
  <si>
    <t>OPD-CHG-0066</t>
  </si>
  <si>
    <t>OP-202600066</t>
  </si>
  <si>
    <t>CSN-OPD-780066</t>
  </si>
  <si>
    <t>OPD-CHG-0067</t>
  </si>
  <si>
    <t>OP-202600067</t>
  </si>
  <si>
    <t>CSN-OPD-780067</t>
  </si>
  <si>
    <t>AUTH-700067</t>
  </si>
  <si>
    <t>OPD-CHG-0068</t>
  </si>
  <si>
    <t>OP-202600068</t>
  </si>
  <si>
    <t>CSN-OPD-780068</t>
  </si>
  <si>
    <t>OPD-CHG-0069</t>
  </si>
  <si>
    <t>OP-202600069</t>
  </si>
  <si>
    <t>CSN-OPD-780069</t>
  </si>
  <si>
    <t>AUTH-700069</t>
  </si>
  <si>
    <t>WQ-RAD-02</t>
  </si>
  <si>
    <t>OPD-CHG-0070</t>
  </si>
  <si>
    <t>OP-202600070</t>
  </si>
  <si>
    <t>CSN-OPD-780070</t>
  </si>
  <si>
    <t>OPD-CHG-0071</t>
  </si>
  <si>
    <t>OP-202600071</t>
  </si>
  <si>
    <t>CSN-OPD-780071</t>
  </si>
  <si>
    <t>OPD-CHG-0072</t>
  </si>
  <si>
    <t>OP-202600072</t>
  </si>
  <si>
    <t>CSN-OPD-780072</t>
  </si>
  <si>
    <t>OPD-CHG-0073</t>
  </si>
  <si>
    <t>OP-202600073</t>
  </si>
  <si>
    <t>CSN-OPD-780073</t>
  </si>
  <si>
    <t>OPD-CHG-0074</t>
  </si>
  <si>
    <t>OP-202600074</t>
  </si>
  <si>
    <t>CSN-OPD-780074</t>
  </si>
  <si>
    <t>OPD-CHG-0075</t>
  </si>
  <si>
    <t>OP-202600075</t>
  </si>
  <si>
    <t>CSN-OPD-780075</t>
  </si>
  <si>
    <t>OPD-CHG-0076</t>
  </si>
  <si>
    <t>OP-202600076</t>
  </si>
  <si>
    <t>CSN-OPD-780076</t>
  </si>
  <si>
    <t>AUTH-700076</t>
  </si>
  <si>
    <t>OPD-CHG-0077</t>
  </si>
  <si>
    <t>OP-202600077</t>
  </si>
  <si>
    <t>CSN-OPD-780077</t>
  </si>
  <si>
    <t>AUTH-700077</t>
  </si>
  <si>
    <t>OPD-CHG-0078</t>
  </si>
  <si>
    <t>OP-202600078</t>
  </si>
  <si>
    <t>CSN-OPD-780078</t>
  </si>
  <si>
    <t>AUTH-700078</t>
  </si>
  <si>
    <t>OPD-CHG-0079</t>
  </si>
  <si>
    <t>OP-202600079</t>
  </si>
  <si>
    <t>CSN-OPD-780079</t>
  </si>
  <si>
    <t>AUTH-700079</t>
  </si>
  <si>
    <t>OPD-CHG-0080</t>
  </si>
  <si>
    <t>OP-202600080</t>
  </si>
  <si>
    <t>CSN-OPD-780080</t>
  </si>
  <si>
    <t>AUTH-700080</t>
  </si>
  <si>
    <t>OPD-CHG-0081</t>
  </si>
  <si>
    <t>OP-202600081</t>
  </si>
  <si>
    <t>CSN-OPD-780081</t>
  </si>
  <si>
    <t>OPD-CHG-0082</t>
  </si>
  <si>
    <t>OP-202600082</t>
  </si>
  <si>
    <t>CSN-OPD-780082</t>
  </si>
  <si>
    <t>AUTH-700082</t>
  </si>
  <si>
    <t>OPD-CHG-0083</t>
  </si>
  <si>
    <t>OP-202600083</t>
  </si>
  <si>
    <t>CSN-OPD-780083</t>
  </si>
  <si>
    <t>AUTH-700083</t>
  </si>
  <si>
    <t>OPD-CHG-0084</t>
  </si>
  <si>
    <t>OP-202600084</t>
  </si>
  <si>
    <t>CSN-OPD-780084</t>
  </si>
  <si>
    <t>OPD-CHG-0085</t>
  </si>
  <si>
    <t>OP-202600085</t>
  </si>
  <si>
    <t>CSN-OPD-780085</t>
  </si>
  <si>
    <t>OPD-CHG-0086</t>
  </si>
  <si>
    <t>OP-202600086</t>
  </si>
  <si>
    <t>CSN-OPD-780086</t>
  </si>
  <si>
    <t>OPD-CHG-0087</t>
  </si>
  <si>
    <t>OP-202600087</t>
  </si>
  <si>
    <t>CSN-OPD-780087</t>
  </si>
  <si>
    <t>WQ-EME-04</t>
  </si>
  <si>
    <t>OPD-CHG-0088</t>
  </si>
  <si>
    <t>OP-202600088</t>
  </si>
  <si>
    <t>CSN-OPD-780088</t>
  </si>
  <si>
    <t>OPD-CHG-0089</t>
  </si>
  <si>
    <t>OP-202600089</t>
  </si>
  <si>
    <t>CSN-OPD-780089</t>
  </si>
  <si>
    <t>OPD-CHG-0090</t>
  </si>
  <si>
    <t>OP-202600090</t>
  </si>
  <si>
    <t>CSN-OPD-780090</t>
  </si>
  <si>
    <t>OPD-CHG-0091</t>
  </si>
  <si>
    <t>OP-202600091</t>
  </si>
  <si>
    <t>CSN-OPD-780091</t>
  </si>
  <si>
    <t>OPD-CHG-0092</t>
  </si>
  <si>
    <t>OP-202600092</t>
  </si>
  <si>
    <t>CSN-OPD-780092</t>
  </si>
  <si>
    <t>WQ-HOS-01</t>
  </si>
  <si>
    <t>OPD-CHG-0093</t>
  </si>
  <si>
    <t>OP-202600093</t>
  </si>
  <si>
    <t>CSN-OPD-780093</t>
  </si>
  <si>
    <t>OPD-CHG-0094</t>
  </si>
  <si>
    <t>OP-202600094</t>
  </si>
  <si>
    <t>CSN-OPD-780094</t>
  </si>
  <si>
    <t>OPD-CHG-0095</t>
  </si>
  <si>
    <t>OP-202600095</t>
  </si>
  <si>
    <t>CSN-OPD-780095</t>
  </si>
  <si>
    <t>AUTH-700095</t>
  </si>
  <si>
    <t>OPD-CHG-0096</t>
  </si>
  <si>
    <t>OP-202600096</t>
  </si>
  <si>
    <t>CSN-OPD-780096</t>
  </si>
  <si>
    <t>AUTH-700096</t>
  </si>
  <si>
    <t>OPD-CHG-0097</t>
  </si>
  <si>
    <t>OP-202600097</t>
  </si>
  <si>
    <t>CSN-OPD-780097</t>
  </si>
  <si>
    <t>AUTH-700097</t>
  </si>
  <si>
    <t>OPD-CHG-0098</t>
  </si>
  <si>
    <t>OP-202600098</t>
  </si>
  <si>
    <t>CSN-OPD-780098</t>
  </si>
  <si>
    <t>OPD-CHG-0099</t>
  </si>
  <si>
    <t>OP-202600099</t>
  </si>
  <si>
    <t>CSN-OPD-780099</t>
  </si>
  <si>
    <t>OPD-CHG-0100</t>
  </si>
  <si>
    <t>OP-202600100</t>
  </si>
  <si>
    <t>CSN-OPD-780100</t>
  </si>
  <si>
    <t xml:space="preserve">bsolutely original add multiple charges </t>
  </si>
  <si>
    <t>Executive view of CDM completeness, financial exposure, review status, and charge reconciliation.</t>
  </si>
  <si>
    <t>Active CDM Records</t>
  </si>
  <si>
    <t>Gross Charge Value</t>
  </si>
  <si>
    <t>Expected Allowed</t>
  </si>
  <si>
    <t>Patient Responsibility</t>
  </si>
  <si>
    <t>Open Governance</t>
  </si>
  <si>
    <t>Active Claim Edits</t>
  </si>
  <si>
    <t>Gross Price Total</t>
  </si>
  <si>
    <t>Charge Description Master (CDM)</t>
  </si>
  <si>
    <t>Enterprise master of billable facility items/services, coding, pricing, ownership, and lifecycle controls.</t>
  </si>
  <si>
    <t>Facility ID</t>
  </si>
  <si>
    <t>Location</t>
  </si>
  <si>
    <t>Service Area</t>
  </si>
  <si>
    <t>Department ID</t>
  </si>
  <si>
    <t>EAP/CDM Charge Code</t>
  </si>
  <si>
    <t>Patient-Friendly Description</t>
  </si>
  <si>
    <t>Charge Type</t>
  </si>
  <si>
    <t>NDC / Device ID</t>
  </si>
  <si>
    <t>Unit Basis</t>
  </si>
  <si>
    <t>Gross Unit Charge ($)</t>
  </si>
  <si>
    <t>Cost ($)</t>
  </si>
  <si>
    <t>Markup %</t>
  </si>
  <si>
    <t>HCPCS Units</t>
  </si>
  <si>
    <t>Bill Area</t>
  </si>
  <si>
    <t>HB/PB</t>
  </si>
  <si>
    <t>Orderable/Procedure ID</t>
  </si>
  <si>
    <t>Price Tier</t>
  </si>
  <si>
    <t>Taxable</t>
  </si>
  <si>
    <t>Prior Auth Flag</t>
  </si>
  <si>
    <t>Medical Necessity Rule</t>
  </si>
  <si>
    <t>Effective Date</t>
  </si>
  <si>
    <t>Termination Date</t>
  </si>
  <si>
    <t>Status</t>
  </si>
  <si>
    <t>Owner</t>
  </si>
  <si>
    <t>Last Review Date</t>
  </si>
  <si>
    <t>Next Review Date</t>
  </si>
  <si>
    <t>Review Flag</t>
  </si>
  <si>
    <t>Compliance Notes</t>
  </si>
  <si>
    <t>MAIN</t>
  </si>
  <si>
    <t>Main Campus</t>
  </si>
  <si>
    <t>HB</t>
  </si>
  <si>
    <t>D100</t>
  </si>
  <si>
    <t>Inpatient Nursing</t>
  </si>
  <si>
    <t>RM-SP-001</t>
  </si>
  <si>
    <t>Semiprivate hospital room</t>
  </si>
  <si>
    <t>Per day</t>
  </si>
  <si>
    <t>HB-NURS</t>
  </si>
  <si>
    <t>ADT discharge</t>
  </si>
  <si>
    <t>BED-SP</t>
  </si>
  <si>
    <t>Standard</t>
  </si>
  <si>
    <t>No</t>
  </si>
  <si>
    <t>2026-01-01</t>
  </si>
  <si>
    <t>Active</t>
  </si>
  <si>
    <t>Director Revenue Integrity</t>
  </si>
  <si>
    <t>2026-07-15</t>
  </si>
  <si>
    <t>D105</t>
  </si>
  <si>
    <t>ICU-DAY-001</t>
  </si>
  <si>
    <t>ICU room and monitoring</t>
  </si>
  <si>
    <t>HB-ICU</t>
  </si>
  <si>
    <t>ADT bed event</t>
  </si>
  <si>
    <t>BED-ICU</t>
  </si>
  <si>
    <t>D200</t>
  </si>
  <si>
    <t>OR-MAJOR-01</t>
  </si>
  <si>
    <t>Operating room first hour</t>
  </si>
  <si>
    <t>Timed Service</t>
  </si>
  <si>
    <t>Per hour</t>
  </si>
  <si>
    <t>HB-OR</t>
  </si>
  <si>
    <t>OpTime</t>
  </si>
  <si>
    <t>PROC-OR-MAJ</t>
  </si>
  <si>
    <t>Yes</t>
  </si>
  <si>
    <t>OR Finance Manager</t>
  </si>
  <si>
    <t>2026-08-01</t>
  </si>
  <si>
    <t>Additional operating room time</t>
  </si>
  <si>
    <t>Per 15 minutes</t>
  </si>
  <si>
    <t>PROC-OR-15</t>
  </si>
  <si>
    <t>D210</t>
  </si>
  <si>
    <t>RR-HR-001</t>
  </si>
  <si>
    <t>Recovery Room, First Hour</t>
  </si>
  <si>
    <t>Recovery room first hour</t>
  </si>
  <si>
    <t>HB-PACU</t>
  </si>
  <si>
    <t>PROC-PACU</t>
  </si>
  <si>
    <t>D220</t>
  </si>
  <si>
    <t>IMP-KNEE-01</t>
  </si>
  <si>
    <t>Cemented Knee Implant Package</t>
  </si>
  <si>
    <t>Knee implant package</t>
  </si>
  <si>
    <t>Implant</t>
  </si>
  <si>
    <t>DI-088590000001</t>
  </si>
  <si>
    <t>Per implant</t>
  </si>
  <si>
    <t>HB-SUP</t>
  </si>
  <si>
    <t>ITEM-KNEE-CEM</t>
  </si>
  <si>
    <t>Carve-Out</t>
  </si>
  <si>
    <t>Supply Chain Finance</t>
  </si>
  <si>
    <t>2026-06-30</t>
  </si>
  <si>
    <t>SUP-KNEE-01</t>
  </si>
  <si>
    <t>Knee Surgery Supply Pack</t>
  </si>
  <si>
    <t>Disposable knee surgery supplies</t>
  </si>
  <si>
    <t>Supply</t>
  </si>
  <si>
    <t>Per pack</t>
  </si>
  <si>
    <t>ITEM-KNEE-PACK</t>
  </si>
  <si>
    <t>D300</t>
  </si>
  <si>
    <t>PH-IV-ABX-01</t>
  </si>
  <si>
    <t>Cefazolin antibiotic injection</t>
  </si>
  <si>
    <t>Drug</t>
  </si>
  <si>
    <t>00071-3069-23</t>
  </si>
  <si>
    <t>Per 1 g</t>
  </si>
  <si>
    <t>HB-PHAR</t>
  </si>
  <si>
    <t>Willow/MAR</t>
  </si>
  <si>
    <t>MED-CEFAZ-1G</t>
  </si>
  <si>
    <t>Pharmacy Revenue Integrity</t>
  </si>
  <si>
    <t>D400</t>
  </si>
  <si>
    <t>LAB-CBC-001</t>
  </si>
  <si>
    <t>Complete Blood Count with Automated Differential</t>
  </si>
  <si>
    <t>Complete blood count test</t>
  </si>
  <si>
    <t>Lab</t>
  </si>
  <si>
    <t>Per test</t>
  </si>
  <si>
    <t>HB-LAB</t>
  </si>
  <si>
    <t>Lab Finance Manager</t>
  </si>
  <si>
    <t>2026-08-15</t>
  </si>
  <si>
    <t>D500</t>
  </si>
  <si>
    <t>RAD-KNEE-01</t>
  </si>
  <si>
    <t>Knee X-ray</t>
  </si>
  <si>
    <t>Imaging</t>
  </si>
  <si>
    <t>Per study</t>
  </si>
  <si>
    <t>HB-RAD</t>
  </si>
  <si>
    <t>IMG-KNEE-2V</t>
  </si>
  <si>
    <t>Imaging Finance Manager</t>
  </si>
  <si>
    <t>OUT</t>
  </si>
  <si>
    <t>Outpatient Center</t>
  </si>
  <si>
    <t>D505</t>
  </si>
  <si>
    <t>RAD-CHEST-02</t>
  </si>
  <si>
    <t>Two-view chest X-ray</t>
  </si>
  <si>
    <t>IMG-CXR-2V</t>
  </si>
  <si>
    <t>D600</t>
  </si>
  <si>
    <t>PT-EVAL-01</t>
  </si>
  <si>
    <t>Physical Therapy Initial Evaluation, Low Complexity</t>
  </si>
  <si>
    <t>Initial physical therapy evaluation</t>
  </si>
  <si>
    <t>Per session</t>
  </si>
  <si>
    <t>HB-THER</t>
  </si>
  <si>
    <t>Rehab Finance Manager</t>
  </si>
  <si>
    <t>2026-07-31</t>
  </si>
  <si>
    <t>PT-EX-15</t>
  </si>
  <si>
    <t>Therapeutic Exercise</t>
  </si>
  <si>
    <t>Therapeutic exercise</t>
  </si>
  <si>
    <t>PT-THEREX</t>
  </si>
  <si>
    <t>D700</t>
  </si>
  <si>
    <t>OPD-CLINIC-01</t>
  </si>
  <si>
    <t>Hospital Outpatient Clinic Visit, Level 4</t>
  </si>
  <si>
    <t>Hospital clinic facility visit</t>
  </si>
  <si>
    <t>Clinic</t>
  </si>
  <si>
    <t>Per visit</t>
  </si>
  <si>
    <t>HB-CLIN</t>
  </si>
  <si>
    <t>Cadence/ClinDoc</t>
  </si>
  <si>
    <t>VISIT-L4</t>
  </si>
  <si>
    <t>Ambulatory Finance Manager</t>
  </si>
  <si>
    <t>PB</t>
  </si>
  <si>
    <t>D800</t>
  </si>
  <si>
    <t>Orthopedics Professional</t>
  </si>
  <si>
    <t>PB-ORTH-27447</t>
  </si>
  <si>
    <t>Total Knee Arthroplasty, Professional</t>
  </si>
  <si>
    <t>Surgeon professional service</t>
  </si>
  <si>
    <t>Professional</t>
  </si>
  <si>
    <t>27447</t>
  </si>
  <si>
    <t>Per procedure</t>
  </si>
  <si>
    <t>PB-ORTH</t>
  </si>
  <si>
    <t>Charge capture sign</t>
  </si>
  <si>
    <t>ClinDoc</t>
  </si>
  <si>
    <t>SURG-TKA</t>
  </si>
  <si>
    <t>PB Coding Manager</t>
  </si>
  <si>
    <t>2026-08-20</t>
  </si>
  <si>
    <t>Sample IPD Encounter &amp; Charge Reconciliation</t>
  </si>
  <si>
    <t>Synthetic total knee replacement hospital account with charge-level status, pricing, and reconciliation controls.</t>
  </si>
  <si>
    <t>Hospital Account (HAR)</t>
  </si>
  <si>
    <t>Patient MRN</t>
  </si>
  <si>
    <t>Encounter CSN</t>
  </si>
  <si>
    <t>Admit Date/Time</t>
  </si>
  <si>
    <t>Discharge Date/Time</t>
  </si>
  <si>
    <t>DRG</t>
  </si>
  <si>
    <t>Allowed ($)</t>
  </si>
  <si>
    <t>Source</t>
  </si>
  <si>
    <t>Edit Status</t>
  </si>
  <si>
    <t>HAR-10004567</t>
  </si>
  <si>
    <t>MRN-DEMO-0001</t>
  </si>
  <si>
    <t>CSN-2026-784512</t>
  </si>
  <si>
    <t>2026-09-14 08:15</t>
  </si>
  <si>
    <t>2026-09-16 14:10</t>
  </si>
  <si>
    <t>MS-DRG 470</t>
  </si>
  <si>
    <t>Synthetic demo charge</t>
  </si>
  <si>
    <t>Charge Router &amp; Routing Rules</t>
  </si>
  <si>
    <t>Illustrative routing logic for automated release, review, suppression, and HB/PB destination control.</t>
  </si>
  <si>
    <t>Rule ID</t>
  </si>
  <si>
    <t>Priority</t>
  </si>
  <si>
    <t>Rule Name</t>
  </si>
  <si>
    <t>Source Application</t>
  </si>
  <si>
    <t>Trigger</t>
  </si>
  <si>
    <t>Condition</t>
  </si>
  <si>
    <t>Action</t>
  </si>
  <si>
    <t>Destination Bill Area</t>
  </si>
  <si>
    <t>Hold/Release</t>
  </si>
  <si>
    <t>Severity</t>
  </si>
  <si>
    <t>Test Scenario</t>
  </si>
  <si>
    <t>Expected Result</t>
  </si>
  <si>
    <t>CR-001</t>
  </si>
  <si>
    <t>Missing revenue code</t>
  </si>
  <si>
    <t>Any</t>
  </si>
  <si>
    <t>Charge received</t>
  </si>
  <si>
    <t>All</t>
  </si>
  <si>
    <t>Revenue code is blank</t>
  </si>
  <si>
    <t>Hold charge</t>
  </si>
  <si>
    <t>HB Review</t>
  </si>
  <si>
    <t>WQ-REV-001</t>
  </si>
  <si>
    <t>Error</t>
  </si>
  <si>
    <t>Revenue Integrity</t>
  </si>
  <si>
    <t>HB charge without revenue code</t>
  </si>
  <si>
    <t>Held for correction</t>
  </si>
  <si>
    <t>CR-002</t>
  </si>
  <si>
    <t>Missing CPT on coded outpatient service</t>
  </si>
  <si>
    <t>Radiology/Lab/Therapy</t>
  </si>
  <si>
    <t>Completion</t>
  </si>
  <si>
    <t>CPT/HCPCS blank for coded service</t>
  </si>
  <si>
    <t>HB Coding</t>
  </si>
  <si>
    <t>WQ-CODE-002</t>
  </si>
  <si>
    <t>Outpatient imaging without CPT</t>
  </si>
  <si>
    <t>Held for coding</t>
  </si>
  <si>
    <t>CR-003</t>
  </si>
  <si>
    <t>Duplicate charge check</t>
  </si>
  <si>
    <t>Same HAR, charge code, service date, quantity within 24h</t>
  </si>
  <si>
    <t>Route to review</t>
  </si>
  <si>
    <t>Charge Review</t>
  </si>
  <si>
    <t>WQ-DUP-003</t>
  </si>
  <si>
    <t>Warning</t>
  </si>
  <si>
    <t>Repeat same-day CBC</t>
  </si>
  <si>
    <t>Review duplicate intent</t>
  </si>
  <si>
    <t>CR-004</t>
  </si>
  <si>
    <t>Implant carve-out review</t>
  </si>
  <si>
    <t>Revenue code 0278 and price tier Carve-Out</t>
  </si>
  <si>
    <t>Route to contract review</t>
  </si>
  <si>
    <t>HB Contracting</t>
  </si>
  <si>
    <t>WQ-IMP-004</t>
  </si>
  <si>
    <t>Managed Care</t>
  </si>
  <si>
    <t>Knee implant on contracted case</t>
  </si>
  <si>
    <t>Validate invoice/carve-out</t>
  </si>
  <si>
    <t>CR-005</t>
  </si>
  <si>
    <t>Professional charge split</t>
  </si>
  <si>
    <t>Procedure sign</t>
  </si>
  <si>
    <t>HB/PB = PB</t>
  </si>
  <si>
    <t>Route</t>
  </si>
  <si>
    <t>PB Charge Entry</t>
  </si>
  <si>
    <t>Release</t>
  </si>
  <si>
    <t>WQ-PB-005</t>
  </si>
  <si>
    <t>Info</t>
  </si>
  <si>
    <t>PB Coding</t>
  </si>
  <si>
    <t>Surgeon procedure charge</t>
  </si>
  <si>
    <t>Routes to PB</t>
  </si>
  <si>
    <t>CR-006</t>
  </si>
  <si>
    <t>Passed automation</t>
  </si>
  <si>
    <t>All required elements present</t>
  </si>
  <si>
    <t>Release charge</t>
  </si>
  <si>
    <t>Target bill area</t>
  </si>
  <si>
    <t>Complete valid charge</t>
  </si>
  <si>
    <t>Released to billing</t>
  </si>
  <si>
    <t>Institutional Claim Edits</t>
  </si>
  <si>
    <t>Pre-bill data-quality, coding, medical-necessity, and contract controls for a clean 837I workflow.</t>
  </si>
  <si>
    <t>Edit ID</t>
  </si>
  <si>
    <t>Claim Type</t>
  </si>
  <si>
    <t>Stage</t>
  </si>
  <si>
    <t>Edit Description</t>
  </si>
  <si>
    <t>Logic / Validation</t>
  </si>
  <si>
    <t>Disposition</t>
  </si>
  <si>
    <t>Related Field</t>
  </si>
  <si>
    <t>Regulatory/Contract Basis</t>
  </si>
  <si>
    <t>Last Tested</t>
  </si>
  <si>
    <t>Test Outcome</t>
  </si>
  <si>
    <t>CE-001</t>
  </si>
  <si>
    <t>837I</t>
  </si>
  <si>
    <t>Pre-bill</t>
  </si>
  <si>
    <t>Missing/invalid revenue code</t>
  </si>
  <si>
    <t>Revenue code required and valid for bill type</t>
  </si>
  <si>
    <t>WQ-CLAIM-001</t>
  </si>
  <si>
    <t>HB Billing</t>
  </si>
  <si>
    <t>UB-04/837I data quality</t>
  </si>
  <si>
    <t>Pass</t>
  </si>
  <si>
    <t>CE-002</t>
  </si>
  <si>
    <t>CPT required for outpatient ancillary</t>
  </si>
  <si>
    <t>CPT/HCPCS required for configured revenue codes</t>
  </si>
  <si>
    <t>Payer billing rule</t>
  </si>
  <si>
    <t>CE-003</t>
  </si>
  <si>
    <t>Units inconsistent with timed service</t>
  </si>
  <si>
    <t>Units must match documented time methodology</t>
  </si>
  <si>
    <t>WQ-THER-003</t>
  </si>
  <si>
    <t>Therapy Coding</t>
  </si>
  <si>
    <t>CPT timed-unit guidance</t>
  </si>
  <si>
    <t>CE-004</t>
  </si>
  <si>
    <t>Authorization missing</t>
  </si>
  <si>
    <t>Authorization required for flagged service/plan</t>
  </si>
  <si>
    <t>Authorization</t>
  </si>
  <si>
    <t>WQ-AUTH-004</t>
  </si>
  <si>
    <t>Prior Authorization</t>
  </si>
  <si>
    <t>Payer contract</t>
  </si>
  <si>
    <t>CE-005</t>
  </si>
  <si>
    <t>NDC missing for drug</t>
  </si>
  <si>
    <t>NDC and unit-of-measure required when payer mandates</t>
  </si>
  <si>
    <t>NDC</t>
  </si>
  <si>
    <t>WQ-PHAR-005</t>
  </si>
  <si>
    <t>Pharmacy Billing</t>
  </si>
  <si>
    <t>Payer/state rule</t>
  </si>
  <si>
    <t>CE-006</t>
  </si>
  <si>
    <t>Implant invoice missing</t>
  </si>
  <si>
    <t>Invoice/documentation required for carve-out claim line</t>
  </si>
  <si>
    <t>Attachment</t>
  </si>
  <si>
    <t>WQ-IMP-006</t>
  </si>
  <si>
    <t>Contract carve-out</t>
  </si>
  <si>
    <t>Payer Contract Configuration</t>
  </si>
  <si>
    <t>Synthetic contract assumptions used to separate gross charges from expected allowed and patient responsibility.</t>
  </si>
  <si>
    <t>Contract ID</t>
  </si>
  <si>
    <t>Methodology</t>
  </si>
  <si>
    <t>DRG/APC/Fee Schedule</t>
  </si>
  <si>
    <t>Base Rate ($)</t>
  </si>
  <si>
    <t>Per Diem ($)</t>
  </si>
  <si>
    <t>Carve-Out Type</t>
  </si>
  <si>
    <t>Carve-Out Rule</t>
  </si>
  <si>
    <t>Coinsurance %</t>
  </si>
  <si>
    <t>Deductible Applies</t>
  </si>
  <si>
    <t>CNT-001</t>
  </si>
  <si>
    <t>Lesser of invoice + 10% or gross charge</t>
  </si>
  <si>
    <t>2026-12-31</t>
  </si>
  <si>
    <t>Managed Care Director</t>
  </si>
  <si>
    <t>Demo only</t>
  </si>
  <si>
    <t>CNT-002</t>
  </si>
  <si>
    <t>Fee Schedule</t>
  </si>
  <si>
    <t>120% of Medicare APC</t>
  </si>
  <si>
    <t>Selected drugs separately payable</t>
  </si>
  <si>
    <t>CNT-003</t>
  </si>
  <si>
    <t>Self Pay</t>
  </si>
  <si>
    <t>Cash Discount</t>
  </si>
  <si>
    <t>Discounted Cash</t>
  </si>
  <si>
    <t>Gross less discount</t>
  </si>
  <si>
    <t>None</t>
  </si>
  <si>
    <t>35% discount from gross</t>
  </si>
  <si>
    <t>Patient Financial Services</t>
  </si>
  <si>
    <t>Hospital Price Transparency Dataset</t>
  </si>
  <si>
    <t>Illustrative standard-charge view supporting gross, cash, payer-negotiated, minimum, and maximum charge categories.</t>
  </si>
  <si>
    <t>Facility Name</t>
  </si>
  <si>
    <t>Facility Address</t>
  </si>
  <si>
    <t>License Number</t>
  </si>
  <si>
    <t>Item/Service Code</t>
  </si>
  <si>
    <t>Description</t>
  </si>
  <si>
    <t>Code Type</t>
  </si>
  <si>
    <t>Code</t>
  </si>
  <si>
    <t>Gross Charge ($)</t>
  </si>
  <si>
    <t>Discounted Cash ($)</t>
  </si>
  <si>
    <t>Negotiated Charge ($)</t>
  </si>
  <si>
    <t>De-identified Min ($)</t>
  </si>
  <si>
    <t>De-identified Max ($)</t>
  </si>
  <si>
    <t>Last Updated</t>
  </si>
  <si>
    <t>MRF Inclusion</t>
  </si>
  <si>
    <t>Consumer Shoppable</t>
  </si>
  <si>
    <t>Source CDM Code</t>
  </si>
  <si>
    <t>100 Innovation Drive, Columbus, OH 43215</t>
  </si>
  <si>
    <t>OH-DEMO-1001</t>
  </si>
  <si>
    <t>Negotiated dollar amount</t>
  </si>
  <si>
    <t>Synthetic demonstration</t>
  </si>
  <si>
    <t>CDM Governance &amp; Change Control</t>
  </si>
  <si>
    <t>Formal intake, approval, build, testing, effective dating, and SLA monitoring for CDM changes.</t>
  </si>
  <si>
    <t>Request ID</t>
  </si>
  <si>
    <t>Request Type</t>
  </si>
  <si>
    <t>Requested Change</t>
  </si>
  <si>
    <t>Affected Charge Code</t>
  </si>
  <si>
    <t>Business Justification</t>
  </si>
  <si>
    <t>Requester</t>
  </si>
  <si>
    <t>Department Approval</t>
  </si>
  <si>
    <t>Coding Review</t>
  </si>
  <si>
    <t>Compliance Review</t>
  </si>
  <si>
    <t>Finance Approval</t>
  </si>
  <si>
    <t>IT Build</t>
  </si>
  <si>
    <t>Test Evidence</t>
  </si>
  <si>
    <t>Risk Level</t>
  </si>
  <si>
    <t>SLA Due Date</t>
  </si>
  <si>
    <t>Days Open</t>
  </si>
  <si>
    <t>SLA Flag</t>
  </si>
  <si>
    <t>CHG-2026-001</t>
  </si>
  <si>
    <t>Price Change</t>
  </si>
  <si>
    <t>Increase chest X-ray gross price</t>
  </si>
  <si>
    <t>Annual pricing review</t>
  </si>
  <si>
    <t>Imaging Finance</t>
  </si>
  <si>
    <t>Approved</t>
  </si>
  <si>
    <t>Complete</t>
  </si>
  <si>
    <t>Attached</t>
  </si>
  <si>
    <t>2026-10-01</t>
  </si>
  <si>
    <t>Medium</t>
  </si>
  <si>
    <t>Ready for Release</t>
  </si>
  <si>
    <t>CHG-2026-002</t>
  </si>
  <si>
    <t>New Charge</t>
  </si>
  <si>
    <t>Add robotic surgery disposable kit</t>
  </si>
  <si>
    <t>NEW-PENDING</t>
  </si>
  <si>
    <t>New clinical program</t>
  </si>
  <si>
    <t>OR Finance</t>
  </si>
  <si>
    <t>In Review</t>
  </si>
  <si>
    <t>Pending</t>
  </si>
  <si>
    <t>Not Started</t>
  </si>
  <si>
    <t>2026-11-01</t>
  </si>
  <si>
    <t>High</t>
  </si>
  <si>
    <t>2026-10-10</t>
  </si>
  <si>
    <t>CHG-2026-003</t>
  </si>
  <si>
    <t>Retire Charge</t>
  </si>
  <si>
    <t>Retire obsolete supply pack</t>
  </si>
  <si>
    <t>SUP-OLD-01</t>
  </si>
  <si>
    <t>Item discontinued</t>
  </si>
  <si>
    <t>Supply Chain</t>
  </si>
  <si>
    <t>Low</t>
  </si>
  <si>
    <t>Closed</t>
  </si>
  <si>
    <t>Audit Trail</t>
  </si>
  <si>
    <t>Synthetic immutable-style event history for CDM, routing, pricing, and release activities.</t>
  </si>
  <si>
    <t>Audit ID</t>
  </si>
  <si>
    <t>Timestamp</t>
  </si>
  <si>
    <t>User/Role</t>
  </si>
  <si>
    <t>Object Type</t>
  </si>
  <si>
    <t>Object ID</t>
  </si>
  <si>
    <t>Field Changed</t>
  </si>
  <si>
    <t>Old Value</t>
  </si>
  <si>
    <t>New Value</t>
  </si>
  <si>
    <t>Reason</t>
  </si>
  <si>
    <t>Approval/Ticket</t>
  </si>
  <si>
    <t>Environment</t>
  </si>
  <si>
    <t>Result</t>
  </si>
  <si>
    <t>AUD-0001</t>
  </si>
  <si>
    <t>2026-09-01 09:15</t>
  </si>
  <si>
    <t>Revenue Integrity Analyst</t>
  </si>
  <si>
    <t>Update</t>
  </si>
  <si>
    <t>CDM</t>
  </si>
  <si>
    <t>Gross Unit Charge</t>
  </si>
  <si>
    <t>170</t>
  </si>
  <si>
    <t>180</t>
  </si>
  <si>
    <t>Production</t>
  </si>
  <si>
    <t>Success</t>
  </si>
  <si>
    <t>AUD-0002</t>
  </si>
  <si>
    <t>2026-09-01 10:05</t>
  </si>
  <si>
    <t>HB Coding Analyst</t>
  </si>
  <si>
    <t>HCPCS</t>
  </si>
  <si>
    <t>Blank</t>
  </si>
  <si>
    <t>Coding validation</t>
  </si>
  <si>
    <t>INC-2026-118</t>
  </si>
  <si>
    <t>AUD-0003</t>
  </si>
  <si>
    <t>2026-09-02 14:20</t>
  </si>
  <si>
    <t>Managed Care Analyst</t>
  </si>
  <si>
    <t>Create</t>
  </si>
  <si>
    <t>Contract</t>
  </si>
  <si>
    <t>Implant carve-out</t>
  </si>
  <si>
    <t>Invoice + 10% cap</t>
  </si>
  <si>
    <t>New payer term</t>
  </si>
  <si>
    <t>CON-2026-44</t>
  </si>
  <si>
    <t>Test</t>
  </si>
  <si>
    <t>AUD-0004</t>
  </si>
  <si>
    <t>2026-09-03 16:45</t>
  </si>
  <si>
    <t>Release Manager</t>
  </si>
  <si>
    <t>Promote</t>
  </si>
  <si>
    <t>Router Rule</t>
  </si>
  <si>
    <t>Approved release</t>
  </si>
  <si>
    <t>REL-2026-91</t>
  </si>
  <si>
    <t>Revenue Cycle Data Source Map</t>
  </si>
  <si>
    <t>Traceability from operational systems through charge generation, billing output, pricing, reconciliation, and ownership.</t>
  </si>
  <si>
    <t>Data Element</t>
  </si>
  <si>
    <t>Operational Source</t>
  </si>
  <si>
    <t>Epic-Aligned Workflow Area</t>
  </si>
  <si>
    <t>CDM Role</t>
  </si>
  <si>
    <t>Claim Output</t>
  </si>
  <si>
    <t>Pricing Source</t>
  </si>
  <si>
    <t>Reconciliation Control</t>
  </si>
  <si>
    <t>Refresh Frequency</t>
  </si>
  <si>
    <t>Key Risk</t>
  </si>
  <si>
    <t>Room type and days</t>
  </si>
  <si>
    <t>ADT / Bed Management</t>
  </si>
  <si>
    <t>Hospital Billing</t>
  </si>
  <si>
    <t>Maps accommodation code, revenue code, and daily price</t>
  </si>
  <si>
    <t>837I 011X/012X/020X</t>
  </si>
  <si>
    <t>DRG/per diem/contract</t>
  </si>
  <si>
    <t>Compare midnight census and billed days</t>
  </si>
  <si>
    <t>Patient Access + Revenue Integrity</t>
  </si>
  <si>
    <t>Daily</t>
  </si>
  <si>
    <t>Incorrect patient class or bed dates</t>
  </si>
  <si>
    <t>OR time</t>
  </si>
  <si>
    <t>Perioperative system</t>
  </si>
  <si>
    <t>Charge Router / HB</t>
  </si>
  <si>
    <t>Maps room tier and timed units</t>
  </si>
  <si>
    <t>837I 036X</t>
  </si>
  <si>
    <t>Usually packaged</t>
  </si>
  <si>
    <t>Compare procedure timestamps and units</t>
  </si>
  <si>
    <t>Missing/incorrect time units</t>
  </si>
  <si>
    <t>Inventory / Supply Chain</t>
  </si>
  <si>
    <t>Maps item, device identifier, revenue code, gross price</t>
  </si>
  <si>
    <t>837I 0278</t>
  </si>
  <si>
    <t>DRG or carve-out</t>
  </si>
  <si>
    <t>Three-way match: scan, invoice, charge</t>
  </si>
  <si>
    <t>Missed charge or unsupported carve-out</t>
  </si>
  <si>
    <t>Drug administration</t>
  </si>
  <si>
    <t>Pharmacy / MAR</t>
  </si>
  <si>
    <t>Maps medication, HCPCS, NDC, units, and price</t>
  </si>
  <si>
    <t>837I 025X + HCPCS/NDC</t>
  </si>
  <si>
    <t>Packaged or drug carve-out</t>
  </si>
  <si>
    <t>MAR-to-charge reconciliation</t>
  </si>
  <si>
    <t>NDC/unit mismatch</t>
  </si>
  <si>
    <t>Maps completed test to revenue/CPT/price</t>
  </si>
  <si>
    <t>837I 030X + CPT</t>
  </si>
  <si>
    <t>Packaged or fee schedule</t>
  </si>
  <si>
    <t>Completed tests vs posted charges</t>
  </si>
  <si>
    <t>Lab Finance</t>
  </si>
  <si>
    <t>Cancelled test billed</t>
  </si>
  <si>
    <t>Maps completed study to revenue/CPT/price</t>
  </si>
  <si>
    <t>837I 032X + CPT</t>
  </si>
  <si>
    <t>Packaged or APC/fee schedule</t>
  </si>
  <si>
    <t>Exam completion vs charge</t>
  </si>
  <si>
    <t>Wrong study or duplicate charge</t>
  </si>
  <si>
    <t>Therapy documentation</t>
  </si>
  <si>
    <t>Maps timed and untimed services</t>
  </si>
  <si>
    <t>837I 042X + CPT</t>
  </si>
  <si>
    <t>APC/fee schedule</t>
  </si>
  <si>
    <t>Documented minutes vs units</t>
  </si>
  <si>
    <t>Rehab Finance</t>
  </si>
  <si>
    <t>Timed-unit over/under billing</t>
  </si>
  <si>
    <t>Professional services</t>
  </si>
  <si>
    <t>Clinical documentation</t>
  </si>
  <si>
    <t>Professional Billing</t>
  </si>
  <si>
    <t>Separate PB charge and coding workflow</t>
  </si>
  <si>
    <t>837P</t>
  </si>
  <si>
    <t>Professional fee schedule</t>
  </si>
  <si>
    <t>Provider note vs charge</t>
  </si>
  <si>
    <t>HB/PB split error</t>
  </si>
  <si>
    <t>Data Dictionary</t>
  </si>
  <si>
    <t>Key business definitions and validation expectations for the demo revenue-cycle data model.</t>
  </si>
  <si>
    <t>Sheet</t>
  </si>
  <si>
    <t>Field</t>
  </si>
  <si>
    <t>Definition</t>
  </si>
  <si>
    <t>Data Type</t>
  </si>
  <si>
    <t>Required</t>
  </si>
  <si>
    <t>Allowed Values / Format</t>
  </si>
  <si>
    <t>Validation Rule</t>
  </si>
  <si>
    <t>Source of Truth</t>
  </si>
  <si>
    <t>Sensitivity</t>
  </si>
  <si>
    <t>CDM Master</t>
  </si>
  <si>
    <t>Unique internal billable item or service identifier</t>
  </si>
  <si>
    <t>Text</t>
  </si>
  <si>
    <t>Unique, active/effective</t>
  </si>
  <si>
    <t>No duplicates; cannot be blank</t>
  </si>
  <si>
    <t>Revenue integrity master</t>
  </si>
  <si>
    <t>Internal</t>
  </si>
  <si>
    <t>Institutional claim category for facility charges</t>
  </si>
  <si>
    <t>HB only</t>
  </si>
  <si>
    <t>4-digit code</t>
  </si>
  <si>
    <t>Required for HB active charges</t>
  </si>
  <si>
    <t>Billing configuration</t>
  </si>
  <si>
    <t>Public standard</t>
  </si>
  <si>
    <t>Procedure, service, supply, or drug code when applicable</t>
  </si>
  <si>
    <t>Conditional</t>
  </si>
  <si>
    <t>Current valid code</t>
  </si>
  <si>
    <t>Required by service/revenue/payer rule</t>
  </si>
  <si>
    <t>Coding master</t>
  </si>
  <si>
    <t>Coding</t>
  </si>
  <si>
    <t>Licensed/regulated</t>
  </si>
  <si>
    <t>Drug NDC or device identifier supporting item-level billing</t>
  </si>
  <si>
    <t>Configured format</t>
  </si>
  <si>
    <t>Required by payer or regulatory rule</t>
  </si>
  <si>
    <t>Pharmacy/Inventory</t>
  </si>
  <si>
    <t>Department owner</t>
  </si>
  <si>
    <t>Restricted operational</t>
  </si>
  <si>
    <t>IPD Encounter</t>
  </si>
  <si>
    <t>HAR</t>
  </si>
  <si>
    <t>Hospital account identifier for facility billing</t>
  </si>
  <si>
    <t>Unique account ID</t>
  </si>
  <si>
    <t>Must link to encounter and payer</t>
  </si>
  <si>
    <t>Patient accounting</t>
  </si>
  <si>
    <t>Synthetic in demo</t>
  </si>
  <si>
    <t>Extended Gross</t>
  </si>
  <si>
    <t>Quantity multiplied by CDM gross unit charge</t>
  </si>
  <si>
    <t>Currency</t>
  </si>
  <si>
    <t>Formula</t>
  </si>
  <si>
    <t>Quantity x unit charge</t>
  </si>
  <si>
    <t>Derived</t>
  </si>
  <si>
    <t>Financial</t>
  </si>
  <si>
    <t>Price Transparency</t>
  </si>
  <si>
    <t>Negotiated Charge</t>
  </si>
  <si>
    <t>Payer- and plan-specific negotiated amount</t>
  </si>
  <si>
    <t>Dollar / methodology</t>
  </si>
  <si>
    <t>Must be current and attributable</t>
  </si>
  <si>
    <t>Contract management</t>
  </si>
  <si>
    <t>Public when reported</t>
  </si>
  <si>
    <t>Governance</t>
  </si>
  <si>
    <t>Current lifecycle stage of a change request</t>
  </si>
  <si>
    <t>Submitted/In Review/Approved/Ready/Closed</t>
  </si>
  <si>
    <t>Controlled transition</t>
  </si>
  <si>
    <t>Change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</si>
</sst>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mmm\ d\,\ yyyy"/>
    <numFmt numFmtId="167" formatCode="\$#,##0.00;[Red]\(\$#,##0.00\);\-"/>
  </numFmts>
  <fonts count="10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F6475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22"/>
      <color rgb="FF17365D"/>
      <name val="Calibri"/>
    </font>
    <font>
      <i/>
      <sz val="11"/>
      <color rgb="FF4F647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A6A6"/>
      </patternFill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008C9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C9D6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0" fillId="0" borderId="0" xfId="0" applyNumberForma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65" fontId="0" fillId="0" borderId="0" xfId="0" applyNumberFormat="1" applyAlignment="1">
      <alignment vertical="top" wrapText="1"/>
    </xf>
    <xf numFmtId="167" fontId="0" fillId="0" borderId="0" xfId="0" applyNumberFormat="1"/>
    <xf numFmtId="167" fontId="0" fillId="0" borderId="0" xfId="0" applyNumberFormat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/>
    <xf numFmtId="0" fontId="7" fillId="4" borderId="0" xfId="0" applyFont="1" applyFill="1"/>
    <xf numFmtId="167" fontId="7" fillId="4" borderId="0" xfId="0" applyNumberFormat="1" applyFont="1" applyFill="1"/>
    <xf numFmtId="0" fontId="4" fillId="5" borderId="0" xfId="0" applyFont="1" applyFill="1" applyAlignment="1">
      <alignment vertical="center" wrapText="1"/>
    </xf>
    <xf numFmtId="0" fontId="3" fillId="0" borderId="0" xfId="0" applyFont="1"/>
    <xf numFmtId="0" fontId="7" fillId="4" borderId="0" xfId="0" applyFont="1" applyFill="1" applyAlignment="1">
      <alignment vertical="top" wrapText="1"/>
    </xf>
    <xf numFmtId="164" fontId="7" fillId="4" borderId="0" xfId="0" applyNumberFormat="1" applyFont="1" applyFill="1" applyAlignment="1">
      <alignment vertical="top" wrapText="1"/>
    </xf>
    <xf numFmtId="0" fontId="9" fillId="4" borderId="0" xfId="0" applyFont="1" applyFill="1" applyAlignment="1">
      <alignment wrapText="1"/>
    </xf>
    <xf numFmtId="0" fontId="1" fillId="3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8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164" fontId="8" fillId="4" borderId="0" xfId="0" applyNumberFormat="1" applyFont="1" applyFill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6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vs Expected Allowed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'Charge Summary'!C4</c:f>
              <c:strCache>
                <c:ptCount val="1"/>
                <c:pt idx="0">
                  <c:v>Gross Charges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Summary'!$C$5:$C$6</c:f>
              <c:numCache>
                <c:formatCode>\$#,##0.00;[Red]\(\$#,##0.00\);\-</c:formatCode>
                <c:ptCount val="2"/>
                <c:pt idx="0">
                  <c:v>1002840</c:v>
                </c:pt>
                <c:pt idx="1">
                  <c:v>250780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7-4EDF-853F-1016F466A08E}"/>
            </c:ext>
          </c:extLst>
        </c:ser>
        <c:ser>
          <c:idx val="1"/>
          <c:order val="1"/>
          <c:tx>
            <c:strRef>
              <c:f>'Charge Summary'!D4</c:f>
              <c:strCache>
                <c:ptCount val="1"/>
                <c:pt idx="0">
                  <c:v>Expected Allowed ($)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'Charge Summary'!$A$5:$A$6</c:f>
              <c:strCache>
                <c:ptCount val="2"/>
                <c:pt idx="0">
                  <c:v>IPD</c:v>
                </c:pt>
                <c:pt idx="1">
                  <c:v>OPD</c:v>
                </c:pt>
              </c:strCache>
            </c:strRef>
          </c:cat>
          <c:val>
            <c:numRef>
              <c:f>'Charge Summary'!$D$5:$D$6</c:f>
              <c:numCache>
                <c:formatCode>\$#,##0.00;[Red]\(\$#,##0.00\);\-</c:formatCode>
                <c:ptCount val="2"/>
                <c:pt idx="0">
                  <c:v>555691.10000000009</c:v>
                </c:pt>
                <c:pt idx="1">
                  <c:v>140185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67-4EDF-853F-1016F466A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overlay val="1"/>
        </c:title>
        <c:numFmt formatCode="\$#,##0.00;[Red]\(\$#,##0.0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Gross Charge Value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Dashboard!B13</c:f>
              <c:strCache>
                <c:ptCount val="1"/>
                <c:pt idx="0">
                  <c:v>Gross Price Total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Dashboard!$A$14:$A$19</c:f>
              <c:strCache>
                <c:ptCount val="6"/>
                <c:pt idx="0">
                  <c:v>Operating Room</c:v>
                </c:pt>
                <c:pt idx="1">
                  <c:v>Pharmacy</c:v>
                </c:pt>
                <c:pt idx="2">
                  <c:v>Radiology</c:v>
                </c:pt>
                <c:pt idx="3">
                  <c:v>Laboratory</c:v>
                </c:pt>
                <c:pt idx="4">
                  <c:v>Physical Therapy</c:v>
                </c:pt>
                <c:pt idx="5">
                  <c:v>Surgical Supplies</c:v>
                </c:pt>
              </c:strCache>
            </c:strRef>
          </c:cat>
          <c:val>
            <c:numRef>
              <c:f>Dashboard!$B$14:$B$19</c:f>
              <c:numCache>
                <c:formatCode>\$#,##0</c:formatCode>
                <c:ptCount val="6"/>
                <c:pt idx="0">
                  <c:v>11250</c:v>
                </c:pt>
                <c:pt idx="1">
                  <c:v>500</c:v>
                </c:pt>
                <c:pt idx="2">
                  <c:v>580</c:v>
                </c:pt>
                <c:pt idx="3">
                  <c:v>150</c:v>
                </c:pt>
                <c:pt idx="4">
                  <c:v>1000</c:v>
                </c:pt>
                <c:pt idx="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D1-4C38-9C18-B4F82975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Charge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PDChargesTable" displayName="IPDChargesTable" ref="A4:AH114">
  <autoFilter ref="A4:AH114" xr:uid="{00000000-0009-0000-0100-000001000000}"/>
  <tableColumns count="34">
    <tableColumn id="1" xr3:uid="{00000000-0010-0000-0000-000001000000}" name="Charge Line ID"/>
    <tableColumn id="2" xr3:uid="{00000000-0010-0000-0000-000002000000}" name="Patient Account"/>
    <tableColumn id="3" xr3:uid="{00000000-0010-0000-0000-000003000000}" name="Encounter ID"/>
    <tableColumn id="4" xr3:uid="{00000000-0010-0000-0000-000004000000}" name="Patient Class"/>
    <tableColumn id="5" xr3:uid="{00000000-0010-0000-0000-000005000000}" name="Facility"/>
    <tableColumn id="6" xr3:uid="{00000000-0010-0000-0000-000006000000}" name="Department"/>
    <tableColumn id="7" xr3:uid="{00000000-0010-0000-0000-000007000000}" name="Service Date"/>
    <tableColumn id="8" xr3:uid="{00000000-0010-0000-0000-000008000000}" name="Charge Code"/>
    <tableColumn id="9" xr3:uid="{00000000-0010-0000-0000-000009000000}" name="Charge Description"/>
    <tableColumn id="10" xr3:uid="{00000000-0010-0000-0000-00000A000000}" name="Revenue Code"/>
    <tableColumn id="11" xr3:uid="{00000000-0010-0000-0000-00000B000000}" name="CPT/HCPCS"/>
    <tableColumn id="12" xr3:uid="{00000000-0010-0000-0000-00000C000000}" name="Modifier"/>
    <tableColumn id="13" xr3:uid="{00000000-0010-0000-0000-00000D000000}" name="Quantity"/>
    <tableColumn id="14" xr3:uid="{00000000-0010-0000-0000-00000E000000}" name="Unit Charge ($)"/>
    <tableColumn id="15" xr3:uid="{00000000-0010-0000-0000-00000F000000}" name="Extended Gross ($)"/>
    <tableColumn id="16" xr3:uid="{00000000-0010-0000-0000-000010000000}" name="Expected Allowed ($)"/>
    <tableColumn id="17" xr3:uid="{00000000-0010-0000-0000-000011000000}" name="Patient Responsibility ($)"/>
    <tableColumn id="18" xr3:uid="{00000000-0010-0000-0000-000012000000}" name="Contractual Adjustment ($)"/>
    <tableColumn id="19" xr3:uid="{00000000-0010-0000-0000-000013000000}" name="Payer"/>
    <tableColumn id="20" xr3:uid="{00000000-0010-0000-0000-000014000000}" name="Plan"/>
    <tableColumn id="21" xr3:uid="{00000000-0010-0000-0000-000015000000}" name="Authorization ID"/>
    <tableColumn id="22" xr3:uid="{00000000-0010-0000-0000-000016000000}" name="Ordering Provider"/>
    <tableColumn id="23" xr3:uid="{00000000-0010-0000-0000-000017000000}" name="Performing Provider"/>
    <tableColumn id="24" xr3:uid="{00000000-0010-0000-0000-000018000000}" name="Source System"/>
    <tableColumn id="25" xr3:uid="{00000000-0010-0000-0000-000019000000}" name="Charge Trigger"/>
    <tableColumn id="26" xr3:uid="{00000000-0010-0000-0000-00001A000000}" name="Charge Status"/>
    <tableColumn id="27" xr3:uid="{00000000-0010-0000-0000-00001B000000}" name="Reconciliation Status"/>
    <tableColumn id="28" xr3:uid="{00000000-0010-0000-0000-00001C000000}" name="Claim Edit Status"/>
    <tableColumn id="29" xr3:uid="{00000000-0010-0000-0000-00001D000000}" name="Workqueue"/>
    <tableColumn id="30" xr3:uid="{00000000-0010-0000-0000-00001E000000}" name="Medical Necessity"/>
    <tableColumn id="31" xr3:uid="{00000000-0010-0000-0000-00001F000000}" name="Diagnosis Link"/>
    <tableColumn id="32" xr3:uid="{00000000-0010-0000-0000-000020000000}" name="Place of Service"/>
    <tableColumn id="33" xr3:uid="{00000000-0010-0000-0000-000021000000}" name="Posting Date/Time"/>
    <tableColumn id="34" xr3:uid="{00000000-0010-0000-0000-00002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PDChargesTable" displayName="OPDChargesTable" ref="A4:AH104">
  <autoFilter ref="A4:AH104" xr:uid="{00000000-0009-0000-0100-000002000000}"/>
  <tableColumns count="34">
    <tableColumn id="1" xr3:uid="{00000000-0010-0000-0100-000001000000}" name="Charge Line ID"/>
    <tableColumn id="2" xr3:uid="{00000000-0010-0000-0100-000002000000}" name="Patient Account"/>
    <tableColumn id="3" xr3:uid="{00000000-0010-0000-0100-000003000000}" name="Encounter ID"/>
    <tableColumn id="4" xr3:uid="{00000000-0010-0000-0100-000004000000}" name="Patient Class"/>
    <tableColumn id="5" xr3:uid="{00000000-0010-0000-0100-000005000000}" name="Facility"/>
    <tableColumn id="6" xr3:uid="{00000000-0010-0000-0100-000006000000}" name="Department"/>
    <tableColumn id="7" xr3:uid="{00000000-0010-0000-0100-000007000000}" name="Service Date"/>
    <tableColumn id="8" xr3:uid="{00000000-0010-0000-0100-000008000000}" name="Charge Code"/>
    <tableColumn id="9" xr3:uid="{00000000-0010-0000-0100-000009000000}" name="Charge Description"/>
    <tableColumn id="10" xr3:uid="{00000000-0010-0000-0100-00000A000000}" name="Revenue Code"/>
    <tableColumn id="11" xr3:uid="{00000000-0010-0000-0100-00000B000000}" name="CPT/HCPCS"/>
    <tableColumn id="12" xr3:uid="{00000000-0010-0000-0100-00000C000000}" name="Modifier"/>
    <tableColumn id="13" xr3:uid="{00000000-0010-0000-0100-00000D000000}" name="Quantity"/>
    <tableColumn id="14" xr3:uid="{00000000-0010-0000-0100-00000E000000}" name="Unit Charge ($)"/>
    <tableColumn id="15" xr3:uid="{00000000-0010-0000-0100-00000F000000}" name="Extended Gross ($)"/>
    <tableColumn id="16" xr3:uid="{00000000-0010-0000-0100-000010000000}" name="Expected Allowed ($)"/>
    <tableColumn id="17" xr3:uid="{00000000-0010-0000-0100-000011000000}" name="Patient Responsibility ($)"/>
    <tableColumn id="18" xr3:uid="{00000000-0010-0000-0100-000012000000}" name="Contractual Adjustment ($)"/>
    <tableColumn id="19" xr3:uid="{00000000-0010-0000-0100-000013000000}" name="Payer"/>
    <tableColumn id="20" xr3:uid="{00000000-0010-0000-0100-000014000000}" name="Plan"/>
    <tableColumn id="21" xr3:uid="{00000000-0010-0000-0100-000015000000}" name="Authorization ID"/>
    <tableColumn id="22" xr3:uid="{00000000-0010-0000-0100-000016000000}" name="Ordering Provider"/>
    <tableColumn id="23" xr3:uid="{00000000-0010-0000-0100-000017000000}" name="Performing Provider"/>
    <tableColumn id="24" xr3:uid="{00000000-0010-0000-0100-000018000000}" name="Source System"/>
    <tableColumn id="25" xr3:uid="{00000000-0010-0000-0100-000019000000}" name="Charge Trigger"/>
    <tableColumn id="26" xr3:uid="{00000000-0010-0000-0100-00001A000000}" name="Charge Status"/>
    <tableColumn id="27" xr3:uid="{00000000-0010-0000-0100-00001B000000}" name="Reconciliation Status"/>
    <tableColumn id="28" xr3:uid="{00000000-0010-0000-0100-00001C000000}" name="Claim Edit Status"/>
    <tableColumn id="29" xr3:uid="{00000000-0010-0000-0100-00001D000000}" name="Workqueue"/>
    <tableColumn id="30" xr3:uid="{00000000-0010-0000-0100-00001E000000}" name="Medical Necessity"/>
    <tableColumn id="31" xr3:uid="{00000000-0010-0000-0100-00001F000000}" name="Diagnosis Link"/>
    <tableColumn id="32" xr3:uid="{00000000-0010-0000-0100-000020000000}" name="Place of Service"/>
    <tableColumn id="33" xr3:uid="{00000000-0010-0000-0100-000021000000}" name="Posting Date/Time"/>
    <tableColumn id="34" xr3:uid="{00000000-0010-0000-0100-000022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DMMasterTable" displayName="CDMMasterTable" ref="A4:AI19">
  <autoFilter ref="A4:AI19" xr:uid="{00000000-0009-0000-0100-000003000000}"/>
  <tableColumns count="35">
    <tableColumn id="1" xr3:uid="{00000000-0010-0000-0200-000001000000}" name="Facility ID"/>
    <tableColumn id="2" xr3:uid="{00000000-0010-0000-0200-000002000000}" name="Location"/>
    <tableColumn id="3" xr3:uid="{00000000-0010-0000-0200-000003000000}" name="Service Area"/>
    <tableColumn id="4" xr3:uid="{00000000-0010-0000-0200-000004000000}" name="Department ID"/>
    <tableColumn id="5" xr3:uid="{00000000-0010-0000-0200-000005000000}" name="Department"/>
    <tableColumn id="6" xr3:uid="{00000000-0010-0000-0200-000006000000}" name="EAP/CDM Charge Code"/>
    <tableColumn id="7" xr3:uid="{00000000-0010-0000-0200-000007000000}" name="Charge Description"/>
    <tableColumn id="8" xr3:uid="{00000000-0010-0000-0200-000008000000}" name="Patient-Friendly Description"/>
    <tableColumn id="9" xr3:uid="{00000000-0010-0000-0200-000009000000}" name="Charge Type"/>
    <tableColumn id="10" xr3:uid="{00000000-0010-0000-0200-00000A000000}" name="Revenue Code"/>
    <tableColumn id="11" xr3:uid="{00000000-0010-0000-0200-00000B000000}" name="CPT/HCPCS"/>
    <tableColumn id="12" xr3:uid="{00000000-0010-0000-0200-00000C000000}" name="Modifier"/>
    <tableColumn id="13" xr3:uid="{00000000-0010-0000-0200-00000D000000}" name="NDC / Device ID"/>
    <tableColumn id="14" xr3:uid="{00000000-0010-0000-0200-00000E000000}" name="Unit Basis"/>
    <tableColumn id="15" xr3:uid="{00000000-0010-0000-0200-00000F000000}" name="Gross Unit Charge ($)"/>
    <tableColumn id="16" xr3:uid="{00000000-0010-0000-0200-000010000000}" name="Cost ($)"/>
    <tableColumn id="17" xr3:uid="{00000000-0010-0000-0200-000011000000}" name="Markup %"/>
    <tableColumn id="18" xr3:uid="{00000000-0010-0000-0200-000012000000}" name="HCPCS Units"/>
    <tableColumn id="19" xr3:uid="{00000000-0010-0000-0200-000013000000}" name="Bill Area"/>
    <tableColumn id="20" xr3:uid="{00000000-0010-0000-0200-000014000000}" name="HB/PB"/>
    <tableColumn id="21" xr3:uid="{00000000-0010-0000-0200-000015000000}" name="Charge Trigger"/>
    <tableColumn id="22" xr3:uid="{00000000-0010-0000-0200-000016000000}" name="Source System"/>
    <tableColumn id="23" xr3:uid="{00000000-0010-0000-0200-000017000000}" name="Orderable/Procedure ID"/>
    <tableColumn id="24" xr3:uid="{00000000-0010-0000-0200-000018000000}" name="Price Tier"/>
    <tableColumn id="25" xr3:uid="{00000000-0010-0000-0200-000019000000}" name="Taxable"/>
    <tableColumn id="26" xr3:uid="{00000000-0010-0000-0200-00001A000000}" name="Prior Auth Flag"/>
    <tableColumn id="27" xr3:uid="{00000000-0010-0000-0200-00001B000000}" name="Medical Necessity Rule"/>
    <tableColumn id="28" xr3:uid="{00000000-0010-0000-0200-00001C000000}" name="Effective Date"/>
    <tableColumn id="29" xr3:uid="{00000000-0010-0000-0200-00001D000000}" name="Termination Date"/>
    <tableColumn id="30" xr3:uid="{00000000-0010-0000-0200-00001E000000}" name="Status"/>
    <tableColumn id="31" xr3:uid="{00000000-0010-0000-0200-00001F000000}" name="Owner"/>
    <tableColumn id="32" xr3:uid="{00000000-0010-0000-0200-000020000000}" name="Last Review Date"/>
    <tableColumn id="33" xr3:uid="{00000000-0010-0000-0200-000021000000}" name="Next Review Date"/>
    <tableColumn id="34" xr3:uid="{00000000-0010-0000-0200-000022000000}" name="Review Flag"/>
    <tableColumn id="35" xr3:uid="{00000000-0010-0000-0200-000023000000}" name="Compliance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counterCharges" displayName="EncounterCharges" ref="A4:Z15">
  <autoFilter ref="A4:Z15" xr:uid="{00000000-0009-0000-0100-000004000000}"/>
  <tableColumns count="26">
    <tableColumn id="1" xr3:uid="{00000000-0010-0000-0300-000001000000}" name="Hospital Account (HAR)"/>
    <tableColumn id="2" xr3:uid="{00000000-0010-0000-0300-000002000000}" name="Patient MRN"/>
    <tableColumn id="3" xr3:uid="{00000000-0010-0000-0300-000003000000}" name="Encounter CSN"/>
    <tableColumn id="4" xr3:uid="{00000000-0010-0000-0300-000004000000}" name="Patient Class"/>
    <tableColumn id="5" xr3:uid="{00000000-0010-0000-0300-000005000000}" name="Admit Date/Time"/>
    <tableColumn id="6" xr3:uid="{00000000-0010-0000-0300-000006000000}" name="Discharge Date/Time"/>
    <tableColumn id="7" xr3:uid="{00000000-0010-0000-0300-000007000000}" name="Payer"/>
    <tableColumn id="8" xr3:uid="{00000000-0010-0000-0300-000008000000}" name="Plan"/>
    <tableColumn id="9" xr3:uid="{00000000-0010-0000-0300-000009000000}" name="DRG"/>
    <tableColumn id="10" xr3:uid="{00000000-0010-0000-0300-00000A000000}" name="Charge Code"/>
    <tableColumn id="11" xr3:uid="{00000000-0010-0000-0300-00000B000000}" name="Service Date"/>
    <tableColumn id="12" xr3:uid="{00000000-0010-0000-0300-00000C000000}" name="Department"/>
    <tableColumn id="13" xr3:uid="{00000000-0010-0000-0300-00000D000000}" name="Revenue Code"/>
    <tableColumn id="14" xr3:uid="{00000000-0010-0000-0300-00000E000000}" name="CPT/HCPCS"/>
    <tableColumn id="15" xr3:uid="{00000000-0010-0000-0300-00000F000000}" name="Modifier"/>
    <tableColumn id="16" xr3:uid="{00000000-0010-0000-0300-000010000000}" name="Quantity"/>
    <tableColumn id="17" xr3:uid="{00000000-0010-0000-0300-000011000000}" name="Unit Charge ($)"/>
    <tableColumn id="18" xr3:uid="{00000000-0010-0000-0300-000012000000}" name="Extended Gross ($)"/>
    <tableColumn id="19" xr3:uid="{00000000-0010-0000-0300-000013000000}" name="Allowed ($)"/>
    <tableColumn id="20" xr3:uid="{00000000-0010-0000-0300-000014000000}" name="Patient Responsibility ($)"/>
    <tableColumn id="21" xr3:uid="{00000000-0010-0000-0300-000015000000}" name="Contractual Adjustment ($)"/>
    <tableColumn id="22" xr3:uid="{00000000-0010-0000-0300-000016000000}" name="Charge Status"/>
    <tableColumn id="23" xr3:uid="{00000000-0010-0000-0300-000017000000}" name="Source"/>
    <tableColumn id="24" xr3:uid="{00000000-0010-0000-0300-000018000000}" name="Reconciliation Status"/>
    <tableColumn id="25" xr3:uid="{00000000-0010-0000-0300-000019000000}" name="Edit Status"/>
    <tableColumn id="26" xr3:uid="{00000000-0010-0000-0300-00001A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uterRules" displayName="RouterRules" ref="A4:R10">
  <autoFilter ref="A4:R10" xr:uid="{00000000-0009-0000-0100-000005000000}"/>
  <tableColumns count="18">
    <tableColumn id="1" xr3:uid="{00000000-0010-0000-0400-000001000000}" name="Rule ID"/>
    <tableColumn id="2" xr3:uid="{00000000-0010-0000-0400-000002000000}" name="Priority"/>
    <tableColumn id="3" xr3:uid="{00000000-0010-0000-0400-000003000000}" name="Rule Name"/>
    <tableColumn id="4" xr3:uid="{00000000-0010-0000-0400-000004000000}" name="Source Application"/>
    <tableColumn id="5" xr3:uid="{00000000-0010-0000-0400-000005000000}" name="Trigger"/>
    <tableColumn id="6" xr3:uid="{00000000-0010-0000-0400-000006000000}" name="Patient Class"/>
    <tableColumn id="7" xr3:uid="{00000000-0010-0000-0400-000007000000}" name="Service Area"/>
    <tableColumn id="8" xr3:uid="{00000000-0010-0000-0400-000008000000}" name="Condition"/>
    <tableColumn id="9" xr3:uid="{00000000-0010-0000-0400-000009000000}" name="Action"/>
    <tableColumn id="10" xr3:uid="{00000000-0010-0000-0400-00000A000000}" name="Destination Bill Area"/>
    <tableColumn id="11" xr3:uid="{00000000-0010-0000-0400-00000B000000}" name="Hold/Release"/>
    <tableColumn id="12" xr3:uid="{00000000-0010-0000-0400-00000C000000}" name="Workqueue"/>
    <tableColumn id="13" xr3:uid="{00000000-0010-0000-0400-00000D000000}" name="Severity"/>
    <tableColumn id="14" xr3:uid="{00000000-0010-0000-0400-00000E000000}" name="Owner"/>
    <tableColumn id="15" xr3:uid="{00000000-0010-0000-0400-00000F000000}" name="Effective Date"/>
    <tableColumn id="16" xr3:uid="{00000000-0010-0000-0400-000010000000}" name="Status"/>
    <tableColumn id="17" xr3:uid="{00000000-0010-0000-0400-000011000000}" name="Test Scenario"/>
    <tableColumn id="18" xr3:uid="{00000000-0010-0000-0400-000012000000}" name="Expected Resul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aimEdits" displayName="ClaimEdits" ref="A4:N10">
  <autoFilter ref="A4:N10" xr:uid="{00000000-0009-0000-0100-000006000000}"/>
  <tableColumns count="14">
    <tableColumn id="1" xr3:uid="{00000000-0010-0000-0500-000001000000}" name="Edit ID"/>
    <tableColumn id="2" xr3:uid="{00000000-0010-0000-0500-000002000000}" name="Claim Type"/>
    <tableColumn id="3" xr3:uid="{00000000-0010-0000-0500-000003000000}" name="Stage"/>
    <tableColumn id="4" xr3:uid="{00000000-0010-0000-0500-000004000000}" name="Edit Description"/>
    <tableColumn id="5" xr3:uid="{00000000-0010-0000-0500-000005000000}" name="Logic / Validation"/>
    <tableColumn id="6" xr3:uid="{00000000-0010-0000-0500-000006000000}" name="Disposition"/>
    <tableColumn id="7" xr3:uid="{00000000-0010-0000-0500-000007000000}" name="Severity"/>
    <tableColumn id="8" xr3:uid="{00000000-0010-0000-0500-000008000000}" name="Related Field"/>
    <tableColumn id="9" xr3:uid="{00000000-0010-0000-0500-000009000000}" name="Workqueue"/>
    <tableColumn id="10" xr3:uid="{00000000-0010-0000-0500-00000A000000}" name="Owner"/>
    <tableColumn id="11" xr3:uid="{00000000-0010-0000-0500-00000B000000}" name="Regulatory/Contract Basis"/>
    <tableColumn id="12" xr3:uid="{00000000-0010-0000-0500-00000C000000}" name="Status"/>
    <tableColumn id="13" xr3:uid="{00000000-0010-0000-0500-00000D000000}" name="Last Tested"/>
    <tableColumn id="14" xr3:uid="{00000000-0010-0000-0500-00000E000000}" name="Test Outco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yerContracts" displayName="PayerContracts" ref="A4:R7">
  <autoFilter ref="A4:R7" xr:uid="{00000000-0009-0000-0100-000007000000}"/>
  <tableColumns count="18">
    <tableColumn id="1" xr3:uid="{00000000-0010-0000-0600-000001000000}" name="Contract ID"/>
    <tableColumn id="2" xr3:uid="{00000000-0010-0000-0600-000002000000}" name="Payer"/>
    <tableColumn id="3" xr3:uid="{00000000-0010-0000-0600-000003000000}" name="Plan"/>
    <tableColumn id="4" xr3:uid="{00000000-0010-0000-0600-000004000000}" name="Facility"/>
    <tableColumn id="5" xr3:uid="{00000000-0010-0000-0600-000005000000}" name="Patient Class"/>
    <tableColumn id="6" xr3:uid="{00000000-0010-0000-0600-000006000000}" name="Methodology"/>
    <tableColumn id="7" xr3:uid="{00000000-0010-0000-0600-000007000000}" name="DRG/APC/Fee Schedule"/>
    <tableColumn id="8" xr3:uid="{00000000-0010-0000-0600-000008000000}" name="Base Rate ($)"/>
    <tableColumn id="9" xr3:uid="{00000000-0010-0000-0600-000009000000}" name="Per Diem ($)"/>
    <tableColumn id="10" xr3:uid="{00000000-0010-0000-0600-00000A000000}" name="Carve-Out Type"/>
    <tableColumn id="11" xr3:uid="{00000000-0010-0000-0600-00000B000000}" name="Carve-Out Rule"/>
    <tableColumn id="12" xr3:uid="{00000000-0010-0000-0600-00000C000000}" name="Coinsurance %"/>
    <tableColumn id="13" xr3:uid="{00000000-0010-0000-0600-00000D000000}" name="Deductible Applies"/>
    <tableColumn id="14" xr3:uid="{00000000-0010-0000-0600-00000E000000}" name="Effective Date"/>
    <tableColumn id="15" xr3:uid="{00000000-0010-0000-0600-00000F000000}" name="Termination Date"/>
    <tableColumn id="16" xr3:uid="{00000000-0010-0000-0600-000010000000}" name="Status"/>
    <tableColumn id="17" xr3:uid="{00000000-0010-0000-0600-000011000000}" name="Owner"/>
    <tableColumn id="18" xr3:uid="{00000000-0010-0000-0600-000012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ceTransparency" displayName="PriceTransparency" ref="A4:U9">
  <autoFilter ref="A4:U9" xr:uid="{00000000-0009-0000-0100-000008000000}"/>
  <tableColumns count="21">
    <tableColumn id="1" xr3:uid="{00000000-0010-0000-0700-000001000000}" name="Facility Name"/>
    <tableColumn id="2" xr3:uid="{00000000-0010-0000-0700-000002000000}" name="Facility Address"/>
    <tableColumn id="3" xr3:uid="{00000000-0010-0000-0700-000003000000}" name="License Number"/>
    <tableColumn id="4" xr3:uid="{00000000-0010-0000-0700-000004000000}" name="Item/Service Code"/>
    <tableColumn id="5" xr3:uid="{00000000-0010-0000-0700-000005000000}" name="Description"/>
    <tableColumn id="6" xr3:uid="{00000000-0010-0000-0700-000006000000}" name="Setting"/>
    <tableColumn id="7" xr3:uid="{00000000-0010-0000-0700-000007000000}" name="Code Type"/>
    <tableColumn id="8" xr3:uid="{00000000-0010-0000-0700-000008000000}" name="Code"/>
    <tableColumn id="9" xr3:uid="{00000000-0010-0000-0700-000009000000}" name="Gross Charge ($)"/>
    <tableColumn id="10" xr3:uid="{00000000-0010-0000-0700-00000A000000}" name="Discounted Cash ($)"/>
    <tableColumn id="11" xr3:uid="{00000000-0010-0000-0700-00000B000000}" name="Payer"/>
    <tableColumn id="12" xr3:uid="{00000000-0010-0000-0700-00000C000000}" name="Plan"/>
    <tableColumn id="13" xr3:uid="{00000000-0010-0000-0700-00000D000000}" name="Negotiated Charge ($)"/>
    <tableColumn id="14" xr3:uid="{00000000-0010-0000-0700-00000E000000}" name="De-identified Min ($)"/>
    <tableColumn id="15" xr3:uid="{00000000-0010-0000-0700-00000F000000}" name="De-identified Max ($)"/>
    <tableColumn id="16" xr3:uid="{00000000-0010-0000-0700-000010000000}" name="Methodology"/>
    <tableColumn id="17" xr3:uid="{00000000-0010-0000-0700-000011000000}" name="Last Updated"/>
    <tableColumn id="18" xr3:uid="{00000000-0010-0000-0700-000012000000}" name="MRF Inclusion"/>
    <tableColumn id="19" xr3:uid="{00000000-0010-0000-0700-000013000000}" name="Consumer Shoppable"/>
    <tableColumn id="20" xr3:uid="{00000000-0010-0000-0700-000014000000}" name="Source CDM Code"/>
    <tableColumn id="21" xr3:uid="{00000000-0010-0000-0700-000015000000}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overnanceTable" displayName="GovernanceTable" ref="A4:R7">
  <autoFilter ref="A4:R7" xr:uid="{00000000-0009-0000-0100-000009000000}"/>
  <tableColumns count="18">
    <tableColumn id="1" xr3:uid="{00000000-0010-0000-0800-000001000000}" name="Request ID"/>
    <tableColumn id="2" xr3:uid="{00000000-0010-0000-0800-000002000000}" name="Request Type"/>
    <tableColumn id="3" xr3:uid="{00000000-0010-0000-0800-000003000000}" name="Requested Change"/>
    <tableColumn id="4" xr3:uid="{00000000-0010-0000-0800-000004000000}" name="Affected Charge Code"/>
    <tableColumn id="5" xr3:uid="{00000000-0010-0000-0800-000005000000}" name="Business Justification"/>
    <tableColumn id="6" xr3:uid="{00000000-0010-0000-0800-000006000000}" name="Requester"/>
    <tableColumn id="7" xr3:uid="{00000000-0010-0000-0800-000007000000}" name="Department Approval"/>
    <tableColumn id="8" xr3:uid="{00000000-0010-0000-0800-000008000000}" name="Coding Review"/>
    <tableColumn id="9" xr3:uid="{00000000-0010-0000-0800-000009000000}" name="Compliance Review"/>
    <tableColumn id="10" xr3:uid="{00000000-0010-0000-0800-00000A000000}" name="Finance Approval"/>
    <tableColumn id="11" xr3:uid="{00000000-0010-0000-0800-00000B000000}" name="IT Build"/>
    <tableColumn id="12" xr3:uid="{00000000-0010-0000-0800-00000C000000}" name="Test Evidence"/>
    <tableColumn id="13" xr3:uid="{00000000-0010-0000-0800-00000D000000}" name="Effective Date"/>
    <tableColumn id="14" xr3:uid="{00000000-0010-0000-0800-00000E000000}" name="Risk Level"/>
    <tableColumn id="15" xr3:uid="{00000000-0010-0000-0800-00000F000000}" name="Status"/>
    <tableColumn id="16" xr3:uid="{00000000-0010-0000-0800-000010000000}" name="SLA Due Date"/>
    <tableColumn id="17" xr3:uid="{00000000-0010-0000-0800-000011000000}" name="Days Open"/>
    <tableColumn id="18" xr3:uid="{00000000-0010-0000-0800-000012000000}" name="SLA 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uditTrail" displayName="AuditTrail" ref="A4:M8">
  <autoFilter ref="A4:M8" xr:uid="{00000000-0009-0000-0100-00000A000000}"/>
  <tableColumns count="13">
    <tableColumn id="1" xr3:uid="{00000000-0010-0000-0900-000001000000}" name="Audit ID"/>
    <tableColumn id="2" xr3:uid="{00000000-0010-0000-0900-000002000000}" name="Timestamp"/>
    <tableColumn id="3" xr3:uid="{00000000-0010-0000-0900-000003000000}" name="User/Role"/>
    <tableColumn id="4" xr3:uid="{00000000-0010-0000-0900-000004000000}" name="Action"/>
    <tableColumn id="5" xr3:uid="{00000000-0010-0000-0900-000005000000}" name="Object Type"/>
    <tableColumn id="6" xr3:uid="{00000000-0010-0000-0900-000006000000}" name="Object ID"/>
    <tableColumn id="7" xr3:uid="{00000000-0010-0000-0900-000007000000}" name="Field Changed"/>
    <tableColumn id="8" xr3:uid="{00000000-0010-0000-0900-000008000000}" name="Old Value"/>
    <tableColumn id="9" xr3:uid="{00000000-0010-0000-0900-000009000000}" name="New Value"/>
    <tableColumn id="10" xr3:uid="{00000000-0010-0000-0900-00000A000000}" name="Reason"/>
    <tableColumn id="11" xr3:uid="{00000000-0010-0000-0900-00000B000000}" name="Approval/Ticket"/>
    <tableColumn id="12" xr3:uid="{00000000-0010-0000-0900-00000C000000}" name="Environment"/>
    <tableColumn id="13" xr3:uid="{00000000-0010-0000-0900-00000D000000}" name="Resul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ourceMap" displayName="SourceMap" ref="A4:J12">
  <autoFilter ref="A4:J12" xr:uid="{00000000-0009-0000-0100-00000B000000}"/>
  <tableColumns count="10">
    <tableColumn id="1" xr3:uid="{00000000-0010-0000-0A00-000001000000}" name="Data Element"/>
    <tableColumn id="2" xr3:uid="{00000000-0010-0000-0A00-000002000000}" name="Operational Source"/>
    <tableColumn id="3" xr3:uid="{00000000-0010-0000-0A00-000003000000}" name="Epic-Aligned Workflow Area"/>
    <tableColumn id="4" xr3:uid="{00000000-0010-0000-0A00-000004000000}" name="CDM Role"/>
    <tableColumn id="5" xr3:uid="{00000000-0010-0000-0A00-000005000000}" name="Claim Output"/>
    <tableColumn id="6" xr3:uid="{00000000-0010-0000-0A00-000006000000}" name="Pricing Source"/>
    <tableColumn id="7" xr3:uid="{00000000-0010-0000-0A00-000007000000}" name="Reconciliation Control"/>
    <tableColumn id="8" xr3:uid="{00000000-0010-0000-0A00-000008000000}" name="Owner"/>
    <tableColumn id="9" xr3:uid="{00000000-0010-0000-0A00-000009000000}" name="Refresh Frequency"/>
    <tableColumn id="10" xr3:uid="{00000000-0010-0000-0A00-00000A000000}" name="Key Ris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taDictionary" displayName="DataDictionary" ref="A4:J12">
  <autoFilter ref="A4:J12" xr:uid="{00000000-0009-0000-0100-00000C000000}"/>
  <tableColumns count="10">
    <tableColumn id="1" xr3:uid="{00000000-0010-0000-0B00-000001000000}" name="Sheet"/>
    <tableColumn id="2" xr3:uid="{00000000-0010-0000-0B00-000002000000}" name="Field"/>
    <tableColumn id="3" xr3:uid="{00000000-0010-0000-0B00-000003000000}" name="Definition"/>
    <tableColumn id="4" xr3:uid="{00000000-0010-0000-0B00-000004000000}" name="Data Type"/>
    <tableColumn id="5" xr3:uid="{00000000-0010-0000-0B00-000005000000}" name="Required"/>
    <tableColumn id="6" xr3:uid="{00000000-0010-0000-0B00-000006000000}" name="Allowed Values / Format"/>
    <tableColumn id="7" xr3:uid="{00000000-0010-0000-0B00-000007000000}" name="Validation Rule"/>
    <tableColumn id="8" xr3:uid="{00000000-0010-0000-0B00-000008000000}" name="Source of Truth"/>
    <tableColumn id="9" xr3:uid="{00000000-0010-0000-0B00-000009000000}" name="Owner"/>
    <tableColumn id="10" xr3:uid="{00000000-0010-0000-0B00-00000A000000}" name="Sensitiv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8" width="18" customWidth="1"/>
  </cols>
  <sheetData>
    <row r="1" spans="1:8" ht="27.95" customHeight="1">
      <c r="A1" s="23" t="s">
        <v>0</v>
      </c>
      <c r="B1" s="29"/>
      <c r="C1" s="29"/>
      <c r="D1" s="29"/>
      <c r="E1" s="29"/>
      <c r="F1" s="29"/>
      <c r="G1" s="29"/>
      <c r="H1" s="29"/>
    </row>
    <row r="2" spans="1:8" ht="30" customHeight="1">
      <c r="A2" s="25" t="s">
        <v>1</v>
      </c>
      <c r="B2" s="29"/>
      <c r="C2" s="29"/>
      <c r="D2" s="29"/>
      <c r="E2" s="29"/>
      <c r="F2" s="29"/>
      <c r="G2" s="29"/>
      <c r="H2" s="29"/>
    </row>
    <row r="4" spans="1:8" ht="38.1" customHeight="1">
      <c r="A4" s="14" t="s">
        <v>2</v>
      </c>
      <c r="B4" s="24" t="s">
        <v>3</v>
      </c>
      <c r="C4" s="29"/>
      <c r="D4" s="29"/>
      <c r="E4" s="29"/>
      <c r="F4" s="29"/>
      <c r="G4" s="29"/>
      <c r="H4" s="29"/>
    </row>
    <row r="5" spans="1:8" ht="38.1" customHeight="1">
      <c r="A5" s="14" t="s">
        <v>4</v>
      </c>
      <c r="B5" s="24" t="s">
        <v>5</v>
      </c>
      <c r="C5" s="29"/>
      <c r="D5" s="29"/>
      <c r="E5" s="29"/>
      <c r="F5" s="29"/>
      <c r="G5" s="29"/>
      <c r="H5" s="29"/>
    </row>
    <row r="6" spans="1:8" ht="38.1" customHeight="1">
      <c r="A6" s="14" t="s">
        <v>6</v>
      </c>
      <c r="B6" s="24" t="s">
        <v>7</v>
      </c>
      <c r="C6" s="29"/>
      <c r="D6" s="29"/>
      <c r="E6" s="29"/>
      <c r="F6" s="29"/>
      <c r="G6" s="29"/>
      <c r="H6" s="29"/>
    </row>
    <row r="7" spans="1:8" ht="38.1" customHeight="1">
      <c r="A7" s="14" t="s">
        <v>8</v>
      </c>
      <c r="B7" s="24" t="s">
        <v>9</v>
      </c>
      <c r="C7" s="29"/>
      <c r="D7" s="29"/>
      <c r="E7" s="29"/>
      <c r="F7" s="29"/>
      <c r="G7" s="29"/>
      <c r="H7" s="29"/>
    </row>
    <row r="8" spans="1:8" ht="48" customHeight="1">
      <c r="A8" s="14" t="s">
        <v>10</v>
      </c>
      <c r="B8" s="24" t="s">
        <v>11</v>
      </c>
      <c r="C8" s="29"/>
      <c r="D8" s="29"/>
      <c r="E8" s="29"/>
      <c r="F8" s="29"/>
      <c r="G8" s="29"/>
      <c r="H8" s="29"/>
    </row>
    <row r="9" spans="1:8" ht="48" customHeight="1">
      <c r="A9" s="14" t="s">
        <v>12</v>
      </c>
      <c r="B9" s="24" t="s">
        <v>13</v>
      </c>
      <c r="C9" s="29"/>
      <c r="D9" s="29"/>
      <c r="E9" s="29"/>
      <c r="F9" s="29"/>
      <c r="G9" s="29"/>
      <c r="H9" s="29"/>
    </row>
  </sheetData>
  <mergeCells count="8">
    <mergeCell ref="A1:H1"/>
    <mergeCell ref="B5:H5"/>
    <mergeCell ref="B8:H8"/>
    <mergeCell ref="B9:H9"/>
    <mergeCell ref="B4:H4"/>
    <mergeCell ref="A2:H2"/>
    <mergeCell ref="B6:H6"/>
    <mergeCell ref="B7:H7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0" customWidth="1"/>
    <col min="4" max="4" width="22" customWidth="1"/>
    <col min="5" max="5" width="24" customWidth="1"/>
    <col min="6" max="6" width="18" customWidth="1"/>
    <col min="7" max="8" width="14" customWidth="1"/>
  </cols>
  <sheetData>
    <row r="1" spans="1:8" ht="27.95" customHeight="1">
      <c r="A1" s="23" t="s">
        <v>14</v>
      </c>
      <c r="B1" s="29"/>
      <c r="C1" s="29"/>
      <c r="D1" s="29"/>
      <c r="E1" s="29"/>
      <c r="F1" s="29"/>
      <c r="G1" s="29"/>
      <c r="H1" s="29"/>
    </row>
    <row r="2" spans="1:8" ht="30" customHeight="1">
      <c r="A2" s="22" t="s">
        <v>15</v>
      </c>
      <c r="B2" s="29"/>
      <c r="C2" s="29"/>
      <c r="D2" s="29"/>
      <c r="E2" s="29"/>
      <c r="F2" s="29"/>
      <c r="G2" s="29"/>
      <c r="H2" s="29"/>
    </row>
    <row r="4" spans="1:8">
      <c r="A4" s="15" t="s">
        <v>16</v>
      </c>
      <c r="B4" s="15" t="s">
        <v>17</v>
      </c>
      <c r="C4" s="15" t="s">
        <v>18</v>
      </c>
      <c r="D4" s="15" t="s">
        <v>19</v>
      </c>
      <c r="E4" s="15" t="s">
        <v>20</v>
      </c>
      <c r="F4" s="15" t="s">
        <v>21</v>
      </c>
      <c r="G4" s="15" t="s">
        <v>22</v>
      </c>
      <c r="H4" s="15" t="s">
        <v>23</v>
      </c>
    </row>
    <row r="5" spans="1:8">
      <c r="A5" t="s">
        <v>24</v>
      </c>
      <c r="B5">
        <f>COUNTA('IPD Charges'!A5:A500)</f>
        <v>110</v>
      </c>
      <c r="C5" s="12">
        <f>SUM('IPD Charges'!O:O)</f>
        <v>1002840</v>
      </c>
      <c r="D5" s="12">
        <f>SUM('IPD Charges'!P:P)</f>
        <v>555691.10000000009</v>
      </c>
      <c r="E5" s="12">
        <f>SUM('IPD Charges'!Q:Q)</f>
        <v>111138.22000000003</v>
      </c>
      <c r="F5" s="12">
        <f>SUM('IPD Charges'!R:R)</f>
        <v>447148.89999999997</v>
      </c>
      <c r="G5">
        <f>COUNTIF('IPD Charges'!Z:Z,"Hold")</f>
        <v>3</v>
      </c>
      <c r="H5">
        <f>COUNTIF('IPD Charges'!AB:AB,"Review")</f>
        <v>7</v>
      </c>
    </row>
    <row r="6" spans="1:8">
      <c r="A6" t="s">
        <v>25</v>
      </c>
      <c r="B6">
        <f>COUNTA('OPD Charges'!A5:A500)</f>
        <v>100</v>
      </c>
      <c r="C6" s="12">
        <f>SUM('OPD Charges'!O:O)</f>
        <v>250780</v>
      </c>
      <c r="D6" s="12">
        <f>SUM('OPD Charges'!P:P)</f>
        <v>140185</v>
      </c>
      <c r="E6" s="12">
        <f>SUM('OPD Charges'!Q:Q)</f>
        <v>28037.000000000004</v>
      </c>
      <c r="F6" s="12">
        <f>SUM('OPD Charges'!R:R)</f>
        <v>110595</v>
      </c>
      <c r="G6">
        <f>COUNTIF('OPD Charges'!Z:Z,"Hold")</f>
        <v>3</v>
      </c>
      <c r="H6">
        <f>COUNTIF('OPD Charges'!AB:AB,"Review")</f>
        <v>7</v>
      </c>
    </row>
    <row r="7" spans="1:8">
      <c r="A7" s="16" t="s">
        <v>26</v>
      </c>
      <c r="B7" s="16">
        <f>SUM(B5:B6)</f>
        <v>210</v>
      </c>
      <c r="C7" s="17">
        <f>SUM(C5:C6)</f>
        <v>1253620</v>
      </c>
      <c r="D7" s="17">
        <f>SUM(D5:D6)</f>
        <v>695876.10000000009</v>
      </c>
      <c r="E7" s="17">
        <f>SUM(E5:E6)</f>
        <v>139175.22000000003</v>
      </c>
      <c r="F7" s="17">
        <f>SUM(F5:F6)</f>
        <v>557743.89999999991</v>
      </c>
      <c r="G7" s="16">
        <f>SUM(G5:G6)</f>
        <v>6</v>
      </c>
      <c r="H7" s="16">
        <f>SUM(H5:H6)</f>
        <v>14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1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23" t="s">
        <v>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ht="30" customHeight="1">
      <c r="A2" s="22" t="s">
        <v>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4" spans="1:34" ht="42" customHeight="1">
      <c r="A4" s="18" t="s">
        <v>29</v>
      </c>
      <c r="B4" s="18" t="s">
        <v>30</v>
      </c>
      <c r="C4" s="18" t="s">
        <v>31</v>
      </c>
      <c r="D4" s="18" t="s">
        <v>32</v>
      </c>
      <c r="E4" s="18" t="s">
        <v>33</v>
      </c>
      <c r="F4" s="18" t="s">
        <v>34</v>
      </c>
      <c r="G4" s="18" t="s">
        <v>35</v>
      </c>
      <c r="H4" s="18" t="s">
        <v>36</v>
      </c>
      <c r="I4" s="18" t="s">
        <v>37</v>
      </c>
      <c r="J4" s="18" t="s">
        <v>38</v>
      </c>
      <c r="K4" s="18" t="s">
        <v>39</v>
      </c>
      <c r="L4" s="18" t="s">
        <v>40</v>
      </c>
      <c r="M4" s="18" t="s">
        <v>41</v>
      </c>
      <c r="N4" s="18" t="s">
        <v>42</v>
      </c>
      <c r="O4" s="18" t="s">
        <v>43</v>
      </c>
      <c r="P4" s="18" t="s">
        <v>19</v>
      </c>
      <c r="Q4" s="18" t="s">
        <v>20</v>
      </c>
      <c r="R4" s="18" t="s">
        <v>44</v>
      </c>
      <c r="S4" s="18" t="s">
        <v>45</v>
      </c>
      <c r="T4" s="18" t="s">
        <v>46</v>
      </c>
      <c r="U4" s="18" t="s">
        <v>47</v>
      </c>
      <c r="V4" s="18" t="s">
        <v>48</v>
      </c>
      <c r="W4" s="18" t="s">
        <v>49</v>
      </c>
      <c r="X4" s="18" t="s">
        <v>50</v>
      </c>
      <c r="Y4" s="18" t="s">
        <v>51</v>
      </c>
      <c r="Z4" s="18" t="s">
        <v>52</v>
      </c>
      <c r="AA4" s="18" t="s">
        <v>53</v>
      </c>
      <c r="AB4" s="18" t="s">
        <v>54</v>
      </c>
      <c r="AC4" s="18" t="s">
        <v>55</v>
      </c>
      <c r="AD4" s="18" t="s">
        <v>56</v>
      </c>
      <c r="AE4" s="18" t="s">
        <v>57</v>
      </c>
      <c r="AF4" s="18" t="s">
        <v>58</v>
      </c>
      <c r="AG4" s="18" t="s">
        <v>59</v>
      </c>
      <c r="AH4" s="18" t="s">
        <v>60</v>
      </c>
    </row>
    <row r="5" spans="1:34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/>
      <c r="L5" s="1"/>
      <c r="M5" s="1">
        <v>1</v>
      </c>
      <c r="N5" s="13">
        <v>3500</v>
      </c>
      <c r="O5" s="13">
        <f>M5*N5</f>
        <v>3500</v>
      </c>
      <c r="P5" s="13">
        <v>1496.26</v>
      </c>
      <c r="Q5" s="13">
        <f>P5*20%</f>
        <v>299.25200000000001</v>
      </c>
      <c r="R5" s="13">
        <f>O5-P5</f>
        <v>2003.74</v>
      </c>
      <c r="S5" s="1" t="s">
        <v>71</v>
      </c>
      <c r="T5" s="1" t="s">
        <v>72</v>
      </c>
      <c r="U5" s="1"/>
      <c r="V5" s="1" t="s">
        <v>73</v>
      </c>
      <c r="W5" s="1" t="s">
        <v>74</v>
      </c>
      <c r="X5" s="1" t="s">
        <v>75</v>
      </c>
      <c r="Y5" s="1" t="s">
        <v>76</v>
      </c>
      <c r="Z5" s="1" t="s">
        <v>77</v>
      </c>
      <c r="AA5" s="1" t="s">
        <v>78</v>
      </c>
      <c r="AB5" s="1" t="s">
        <v>79</v>
      </c>
      <c r="AC5" s="1"/>
      <c r="AD5" s="1" t="s">
        <v>80</v>
      </c>
      <c r="AE5" s="1" t="s">
        <v>81</v>
      </c>
      <c r="AF5" s="1" t="s">
        <v>82</v>
      </c>
      <c r="AG5" s="1" t="s">
        <v>83</v>
      </c>
      <c r="AH5" s="1" t="s">
        <v>84</v>
      </c>
    </row>
    <row r="6" spans="1:34">
      <c r="A6" s="1" t="s">
        <v>85</v>
      </c>
      <c r="B6" s="1" t="s">
        <v>86</v>
      </c>
      <c r="C6" s="1" t="s">
        <v>87</v>
      </c>
      <c r="D6" s="1" t="s">
        <v>64</v>
      </c>
      <c r="E6" s="1" t="s">
        <v>65</v>
      </c>
      <c r="F6" s="1" t="s">
        <v>66</v>
      </c>
      <c r="G6" s="1" t="s">
        <v>88</v>
      </c>
      <c r="H6" s="1" t="s">
        <v>89</v>
      </c>
      <c r="I6" s="1" t="s">
        <v>90</v>
      </c>
      <c r="J6" s="1" t="s">
        <v>91</v>
      </c>
      <c r="K6" s="1"/>
      <c r="L6" s="1"/>
      <c r="M6" s="1">
        <v>3</v>
      </c>
      <c r="N6" s="13">
        <v>4600</v>
      </c>
      <c r="O6" s="13">
        <f>M6*N6</f>
        <v>13800</v>
      </c>
      <c r="P6" s="13">
        <v>6809.85</v>
      </c>
      <c r="Q6" s="13">
        <f>P6*20%</f>
        <v>1361.9700000000003</v>
      </c>
      <c r="R6" s="13">
        <f>O6-P6</f>
        <v>6990.15</v>
      </c>
      <c r="S6" s="1" t="s">
        <v>71</v>
      </c>
      <c r="T6" s="1" t="s">
        <v>72</v>
      </c>
      <c r="U6" s="1"/>
      <c r="V6" s="1" t="s">
        <v>73</v>
      </c>
      <c r="W6" s="1" t="s">
        <v>74</v>
      </c>
      <c r="X6" s="1" t="s">
        <v>75</v>
      </c>
      <c r="Y6" s="1" t="s">
        <v>76</v>
      </c>
      <c r="Z6" s="1" t="s">
        <v>77</v>
      </c>
      <c r="AA6" s="1" t="s">
        <v>78</v>
      </c>
      <c r="AB6" s="1" t="s">
        <v>79</v>
      </c>
      <c r="AC6" s="1"/>
      <c r="AD6" s="1" t="s">
        <v>80</v>
      </c>
      <c r="AE6" s="1" t="s">
        <v>81</v>
      </c>
      <c r="AF6" s="1" t="s">
        <v>82</v>
      </c>
      <c r="AG6" s="1" t="s">
        <v>92</v>
      </c>
      <c r="AH6" s="1" t="s">
        <v>84</v>
      </c>
    </row>
    <row r="7" spans="1:34">
      <c r="A7" s="1" t="s">
        <v>93</v>
      </c>
      <c r="B7" s="1" t="s">
        <v>94</v>
      </c>
      <c r="C7" s="1" t="s">
        <v>95</v>
      </c>
      <c r="D7" s="1" t="s">
        <v>64</v>
      </c>
      <c r="E7" s="1" t="s">
        <v>65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/>
      <c r="L7" s="1"/>
      <c r="M7" s="1">
        <v>2</v>
      </c>
      <c r="N7" s="13">
        <v>8200</v>
      </c>
      <c r="O7" s="13">
        <f>M7*N7</f>
        <v>16400</v>
      </c>
      <c r="P7" s="13">
        <v>10511.44</v>
      </c>
      <c r="Q7" s="13">
        <f>P7*20%</f>
        <v>2102.288</v>
      </c>
      <c r="R7" s="13">
        <f>O7-P7</f>
        <v>5888.5599999999995</v>
      </c>
      <c r="S7" s="1" t="s">
        <v>71</v>
      </c>
      <c r="T7" s="1" t="s">
        <v>72</v>
      </c>
      <c r="U7" s="1"/>
      <c r="V7" s="1" t="s">
        <v>73</v>
      </c>
      <c r="W7" s="1" t="s">
        <v>74</v>
      </c>
      <c r="X7" s="1" t="s">
        <v>75</v>
      </c>
      <c r="Y7" s="1" t="s">
        <v>76</v>
      </c>
      <c r="Z7" s="1" t="s">
        <v>77</v>
      </c>
      <c r="AA7" s="1" t="s">
        <v>78</v>
      </c>
      <c r="AB7" s="1" t="s">
        <v>79</v>
      </c>
      <c r="AC7" s="1"/>
      <c r="AD7" s="1" t="s">
        <v>80</v>
      </c>
      <c r="AE7" s="1" t="s">
        <v>101</v>
      </c>
      <c r="AF7" s="1" t="s">
        <v>82</v>
      </c>
      <c r="AG7" s="1" t="s">
        <v>102</v>
      </c>
      <c r="AH7" s="1" t="s">
        <v>84</v>
      </c>
    </row>
    <row r="8" spans="1:34">
      <c r="A8" s="1" t="s">
        <v>103</v>
      </c>
      <c r="B8" s="1" t="s">
        <v>104</v>
      </c>
      <c r="C8" s="1" t="s">
        <v>105</v>
      </c>
      <c r="D8" s="1" t="s">
        <v>64</v>
      </c>
      <c r="E8" s="1" t="s">
        <v>65</v>
      </c>
      <c r="F8" s="1" t="s">
        <v>106</v>
      </c>
      <c r="G8" s="1" t="s">
        <v>107</v>
      </c>
      <c r="H8" s="1" t="s">
        <v>108</v>
      </c>
      <c r="I8" s="1" t="s">
        <v>109</v>
      </c>
      <c r="J8" s="1" t="s">
        <v>110</v>
      </c>
      <c r="K8" s="1"/>
      <c r="L8" s="1"/>
      <c r="M8" s="1">
        <v>1</v>
      </c>
      <c r="N8" s="13">
        <v>10250</v>
      </c>
      <c r="O8" s="13">
        <f>M8*N8</f>
        <v>10250</v>
      </c>
      <c r="P8" s="13">
        <v>6120.76</v>
      </c>
      <c r="Q8" s="13">
        <f>P8*20%</f>
        <v>1224.152</v>
      </c>
      <c r="R8" s="13">
        <f>O8-P8</f>
        <v>4129.24</v>
      </c>
      <c r="S8" s="1" t="s">
        <v>71</v>
      </c>
      <c r="T8" s="1" t="s">
        <v>72</v>
      </c>
      <c r="U8" s="1"/>
      <c r="V8" s="1" t="s">
        <v>73</v>
      </c>
      <c r="W8" s="1" t="s">
        <v>74</v>
      </c>
      <c r="X8" s="1" t="s">
        <v>111</v>
      </c>
      <c r="Y8" s="1" t="s">
        <v>112</v>
      </c>
      <c r="Z8" s="1" t="s">
        <v>77</v>
      </c>
      <c r="AA8" s="1" t="s">
        <v>78</v>
      </c>
      <c r="AB8" s="1" t="s">
        <v>79</v>
      </c>
      <c r="AC8" s="1"/>
      <c r="AD8" s="1" t="s">
        <v>113</v>
      </c>
      <c r="AE8" s="1" t="s">
        <v>81</v>
      </c>
      <c r="AF8" s="1" t="s">
        <v>82</v>
      </c>
      <c r="AG8" s="1" t="s">
        <v>114</v>
      </c>
      <c r="AH8" s="1" t="s">
        <v>84</v>
      </c>
    </row>
    <row r="9" spans="1:34">
      <c r="A9" s="1" t="s">
        <v>115</v>
      </c>
      <c r="B9" s="1" t="s">
        <v>116</v>
      </c>
      <c r="C9" s="1" t="s">
        <v>117</v>
      </c>
      <c r="D9" s="1" t="s">
        <v>64</v>
      </c>
      <c r="E9" s="1" t="s">
        <v>65</v>
      </c>
      <c r="F9" s="1" t="s">
        <v>106</v>
      </c>
      <c r="G9" s="1" t="s">
        <v>118</v>
      </c>
      <c r="H9" s="1" t="s">
        <v>119</v>
      </c>
      <c r="I9" s="1" t="s">
        <v>120</v>
      </c>
      <c r="J9" s="1" t="s">
        <v>110</v>
      </c>
      <c r="K9" s="1"/>
      <c r="L9" s="1"/>
      <c r="M9" s="1">
        <v>2</v>
      </c>
      <c r="N9" s="13">
        <v>1280</v>
      </c>
      <c r="O9" s="13">
        <f>M9*N9</f>
        <v>2560</v>
      </c>
      <c r="P9" s="13">
        <v>1098.08</v>
      </c>
      <c r="Q9" s="13">
        <f>P9*20%</f>
        <v>219.61599999999999</v>
      </c>
      <c r="R9" s="13">
        <f>O9-P9</f>
        <v>1461.92</v>
      </c>
      <c r="S9" s="1" t="s">
        <v>71</v>
      </c>
      <c r="T9" s="1" t="s">
        <v>72</v>
      </c>
      <c r="U9" s="1"/>
      <c r="V9" s="1" t="s">
        <v>73</v>
      </c>
      <c r="W9" s="1" t="s">
        <v>74</v>
      </c>
      <c r="X9" s="1" t="s">
        <v>111</v>
      </c>
      <c r="Y9" s="1" t="s">
        <v>112</v>
      </c>
      <c r="Z9" s="1" t="s">
        <v>77</v>
      </c>
      <c r="AA9" s="1" t="s">
        <v>78</v>
      </c>
      <c r="AB9" s="1" t="s">
        <v>79</v>
      </c>
      <c r="AC9" s="1"/>
      <c r="AD9" s="1" t="s">
        <v>113</v>
      </c>
      <c r="AE9" s="1" t="s">
        <v>81</v>
      </c>
      <c r="AF9" s="1" t="s">
        <v>82</v>
      </c>
      <c r="AG9" s="1" t="s">
        <v>121</v>
      </c>
      <c r="AH9" s="1" t="s">
        <v>84</v>
      </c>
    </row>
    <row r="10" spans="1:34">
      <c r="A10" s="1" t="s">
        <v>122</v>
      </c>
      <c r="B10" s="1" t="s">
        <v>123</v>
      </c>
      <c r="C10" s="1" t="s">
        <v>124</v>
      </c>
      <c r="D10" s="1" t="s">
        <v>64</v>
      </c>
      <c r="E10" s="1" t="s">
        <v>65</v>
      </c>
      <c r="F10" s="1" t="s">
        <v>125</v>
      </c>
      <c r="G10" s="1" t="s">
        <v>126</v>
      </c>
      <c r="H10" s="1" t="s">
        <v>127</v>
      </c>
      <c r="I10" s="1" t="s">
        <v>128</v>
      </c>
      <c r="J10" s="1" t="s">
        <v>129</v>
      </c>
      <c r="K10" s="1"/>
      <c r="L10" s="1"/>
      <c r="M10" s="1">
        <v>1</v>
      </c>
      <c r="N10" s="13">
        <v>2100</v>
      </c>
      <c r="O10" s="13">
        <f>M10*N10</f>
        <v>2100</v>
      </c>
      <c r="P10" s="13">
        <v>1019.74</v>
      </c>
      <c r="Q10" s="13">
        <f>P10*20%</f>
        <v>203.94800000000001</v>
      </c>
      <c r="R10" s="13">
        <f>O10-P10</f>
        <v>1080.26</v>
      </c>
      <c r="S10" s="1" t="s">
        <v>71</v>
      </c>
      <c r="T10" s="1" t="s">
        <v>72</v>
      </c>
      <c r="U10" s="1"/>
      <c r="V10" s="1" t="s">
        <v>73</v>
      </c>
      <c r="W10" s="1" t="s">
        <v>74</v>
      </c>
      <c r="X10" s="1" t="s">
        <v>111</v>
      </c>
      <c r="Y10" s="1" t="s">
        <v>130</v>
      </c>
      <c r="Z10" s="1" t="s">
        <v>77</v>
      </c>
      <c r="AA10" s="1" t="s">
        <v>78</v>
      </c>
      <c r="AB10" s="1" t="s">
        <v>79</v>
      </c>
      <c r="AC10" s="1"/>
      <c r="AD10" s="1" t="s">
        <v>80</v>
      </c>
      <c r="AE10" s="1" t="s">
        <v>131</v>
      </c>
      <c r="AF10" s="1" t="s">
        <v>82</v>
      </c>
      <c r="AG10" s="1" t="s">
        <v>132</v>
      </c>
      <c r="AH10" s="1" t="s">
        <v>84</v>
      </c>
    </row>
    <row r="11" spans="1:34">
      <c r="A11" s="1" t="s">
        <v>133</v>
      </c>
      <c r="B11" s="1" t="s">
        <v>134</v>
      </c>
      <c r="C11" s="1" t="s">
        <v>135</v>
      </c>
      <c r="D11" s="1" t="s">
        <v>64</v>
      </c>
      <c r="E11" s="1" t="s">
        <v>65</v>
      </c>
      <c r="F11" s="1" t="s">
        <v>136</v>
      </c>
      <c r="G11" s="1" t="s">
        <v>137</v>
      </c>
      <c r="H11" s="1" t="s">
        <v>138</v>
      </c>
      <c r="I11" s="1" t="s">
        <v>139</v>
      </c>
      <c r="J11" s="1" t="s">
        <v>140</v>
      </c>
      <c r="K11" s="1"/>
      <c r="L11" s="1"/>
      <c r="M11" s="1">
        <v>1</v>
      </c>
      <c r="N11" s="13">
        <v>4200</v>
      </c>
      <c r="O11" s="13">
        <f>M11*N11</f>
        <v>4200</v>
      </c>
      <c r="P11" s="13">
        <v>2400.75</v>
      </c>
      <c r="Q11" s="13">
        <f>P11*20%</f>
        <v>480.15000000000003</v>
      </c>
      <c r="R11" s="13">
        <f>O11-P11</f>
        <v>1799.25</v>
      </c>
      <c r="S11" s="1" t="s">
        <v>71</v>
      </c>
      <c r="T11" s="1" t="s">
        <v>72</v>
      </c>
      <c r="U11" s="1"/>
      <c r="V11" s="1" t="s">
        <v>73</v>
      </c>
      <c r="W11" s="1" t="s">
        <v>74</v>
      </c>
      <c r="X11" s="1" t="s">
        <v>141</v>
      </c>
      <c r="Y11" s="1" t="s">
        <v>142</v>
      </c>
      <c r="Z11" s="1" t="s">
        <v>77</v>
      </c>
      <c r="AA11" s="1" t="s">
        <v>78</v>
      </c>
      <c r="AB11" s="1" t="s">
        <v>79</v>
      </c>
      <c r="AC11" s="1"/>
      <c r="AD11" s="1" t="s">
        <v>143</v>
      </c>
      <c r="AE11" s="1" t="s">
        <v>131</v>
      </c>
      <c r="AF11" s="1" t="s">
        <v>82</v>
      </c>
      <c r="AG11" s="1" t="s">
        <v>144</v>
      </c>
      <c r="AH11" s="1" t="s">
        <v>84</v>
      </c>
    </row>
    <row r="12" spans="1:34">
      <c r="A12" s="1" t="s">
        <v>145</v>
      </c>
      <c r="B12" s="1" t="s">
        <v>146</v>
      </c>
      <c r="C12" s="1" t="s">
        <v>147</v>
      </c>
      <c r="D12" s="1" t="s">
        <v>64</v>
      </c>
      <c r="E12" s="1" t="s">
        <v>65</v>
      </c>
      <c r="F12" s="1" t="s">
        <v>148</v>
      </c>
      <c r="G12" s="1" t="s">
        <v>149</v>
      </c>
      <c r="H12" s="1" t="s">
        <v>150</v>
      </c>
      <c r="I12" s="1" t="s">
        <v>151</v>
      </c>
      <c r="J12" s="1" t="s">
        <v>152</v>
      </c>
      <c r="K12" s="1"/>
      <c r="L12" s="1"/>
      <c r="M12" s="1">
        <v>1</v>
      </c>
      <c r="N12" s="13">
        <v>20500</v>
      </c>
      <c r="O12" s="13">
        <f>M12*N12</f>
        <v>20500</v>
      </c>
      <c r="P12" s="13">
        <v>8773.2000000000007</v>
      </c>
      <c r="Q12" s="13">
        <f>P12*20%</f>
        <v>1754.6400000000003</v>
      </c>
      <c r="R12" s="13">
        <f>O12-P12</f>
        <v>11726.8</v>
      </c>
      <c r="S12" s="1" t="s">
        <v>71</v>
      </c>
      <c r="T12" s="1" t="s">
        <v>72</v>
      </c>
      <c r="U12" s="1"/>
      <c r="V12" s="1" t="s">
        <v>73</v>
      </c>
      <c r="W12" s="1" t="s">
        <v>74</v>
      </c>
      <c r="X12" s="1" t="s">
        <v>141</v>
      </c>
      <c r="Y12" s="1" t="s">
        <v>153</v>
      </c>
      <c r="Z12" s="1" t="s">
        <v>77</v>
      </c>
      <c r="AA12" s="1" t="s">
        <v>78</v>
      </c>
      <c r="AB12" s="1" t="s">
        <v>79</v>
      </c>
      <c r="AC12" s="1"/>
      <c r="AD12" s="1" t="s">
        <v>143</v>
      </c>
      <c r="AE12" s="1" t="s">
        <v>81</v>
      </c>
      <c r="AF12" s="1" t="s">
        <v>82</v>
      </c>
      <c r="AG12" s="1" t="s">
        <v>154</v>
      </c>
      <c r="AH12" s="1" t="s">
        <v>84</v>
      </c>
    </row>
    <row r="13" spans="1:34">
      <c r="A13" s="1" t="s">
        <v>155</v>
      </c>
      <c r="B13" s="1" t="s">
        <v>156</v>
      </c>
      <c r="C13" s="1" t="s">
        <v>157</v>
      </c>
      <c r="D13" s="1" t="s">
        <v>64</v>
      </c>
      <c r="E13" s="1" t="s">
        <v>65</v>
      </c>
      <c r="F13" s="1" t="s">
        <v>148</v>
      </c>
      <c r="G13" s="1" t="s">
        <v>158</v>
      </c>
      <c r="H13" s="1" t="s">
        <v>159</v>
      </c>
      <c r="I13" s="1" t="s">
        <v>160</v>
      </c>
      <c r="J13" s="1" t="s">
        <v>152</v>
      </c>
      <c r="K13" s="1" t="s">
        <v>161</v>
      </c>
      <c r="L13" s="1"/>
      <c r="M13" s="1">
        <v>1</v>
      </c>
      <c r="N13" s="13">
        <v>950</v>
      </c>
      <c r="O13" s="13">
        <f>M13*N13</f>
        <v>950</v>
      </c>
      <c r="P13" s="13">
        <v>455.67</v>
      </c>
      <c r="Q13" s="13">
        <f>P13*20%</f>
        <v>91.134000000000015</v>
      </c>
      <c r="R13" s="13">
        <f>O13-P13</f>
        <v>494.33</v>
      </c>
      <c r="S13" s="1" t="s">
        <v>71</v>
      </c>
      <c r="T13" s="1" t="s">
        <v>72</v>
      </c>
      <c r="U13" s="1"/>
      <c r="V13" s="1" t="s">
        <v>73</v>
      </c>
      <c r="W13" s="1" t="s">
        <v>74</v>
      </c>
      <c r="X13" s="1" t="s">
        <v>141</v>
      </c>
      <c r="Y13" s="1" t="s">
        <v>153</v>
      </c>
      <c r="Z13" s="1" t="s">
        <v>77</v>
      </c>
      <c r="AA13" s="1" t="s">
        <v>78</v>
      </c>
      <c r="AB13" s="1" t="s">
        <v>79</v>
      </c>
      <c r="AC13" s="1"/>
      <c r="AD13" s="1" t="s">
        <v>143</v>
      </c>
      <c r="AE13" s="1" t="s">
        <v>81</v>
      </c>
      <c r="AF13" s="1" t="s">
        <v>82</v>
      </c>
      <c r="AG13" s="1" t="s">
        <v>162</v>
      </c>
      <c r="AH13" s="1" t="s">
        <v>84</v>
      </c>
    </row>
    <row r="14" spans="1:34">
      <c r="A14" s="1" t="s">
        <v>163</v>
      </c>
      <c r="B14" s="1" t="s">
        <v>164</v>
      </c>
      <c r="C14" s="1" t="s">
        <v>165</v>
      </c>
      <c r="D14" s="1" t="s">
        <v>64</v>
      </c>
      <c r="E14" s="1" t="s">
        <v>65</v>
      </c>
      <c r="F14" s="1" t="s">
        <v>166</v>
      </c>
      <c r="G14" s="1" t="s">
        <v>167</v>
      </c>
      <c r="H14" s="1" t="s">
        <v>168</v>
      </c>
      <c r="I14" s="1" t="s">
        <v>169</v>
      </c>
      <c r="J14" s="1" t="s">
        <v>170</v>
      </c>
      <c r="K14" s="1" t="s">
        <v>171</v>
      </c>
      <c r="L14" s="1"/>
      <c r="M14" s="1">
        <v>3</v>
      </c>
      <c r="N14" s="13">
        <v>500</v>
      </c>
      <c r="O14" s="13">
        <f>M14*N14</f>
        <v>1500</v>
      </c>
      <c r="P14" s="13">
        <v>945.6</v>
      </c>
      <c r="Q14" s="13">
        <f>P14*20%</f>
        <v>189.12</v>
      </c>
      <c r="R14" s="13">
        <f>O14-P14</f>
        <v>554.4</v>
      </c>
      <c r="S14" s="1" t="s">
        <v>71</v>
      </c>
      <c r="T14" s="1" t="s">
        <v>72</v>
      </c>
      <c r="U14" s="1"/>
      <c r="V14" s="1" t="s">
        <v>73</v>
      </c>
      <c r="W14" s="1" t="s">
        <v>74</v>
      </c>
      <c r="X14" s="1" t="s">
        <v>172</v>
      </c>
      <c r="Y14" s="1" t="s">
        <v>173</v>
      </c>
      <c r="Z14" s="1" t="s">
        <v>77</v>
      </c>
      <c r="AA14" s="1" t="s">
        <v>78</v>
      </c>
      <c r="AB14" s="1" t="s">
        <v>79</v>
      </c>
      <c r="AC14" s="1"/>
      <c r="AD14" s="1" t="s">
        <v>174</v>
      </c>
      <c r="AE14" s="1" t="s">
        <v>175</v>
      </c>
      <c r="AF14" s="1" t="s">
        <v>82</v>
      </c>
      <c r="AG14" s="1" t="s">
        <v>176</v>
      </c>
      <c r="AH14" s="1" t="s">
        <v>84</v>
      </c>
    </row>
    <row r="15" spans="1:34">
      <c r="A15" s="1" t="s">
        <v>177</v>
      </c>
      <c r="B15" s="1" t="s">
        <v>178</v>
      </c>
      <c r="C15" s="1" t="s">
        <v>179</v>
      </c>
      <c r="D15" s="1" t="s">
        <v>64</v>
      </c>
      <c r="E15" s="1" t="s">
        <v>65</v>
      </c>
      <c r="F15" s="1" t="s">
        <v>166</v>
      </c>
      <c r="G15" s="1" t="s">
        <v>180</v>
      </c>
      <c r="H15" s="1" t="s">
        <v>181</v>
      </c>
      <c r="I15" s="1" t="s">
        <v>182</v>
      </c>
      <c r="J15" s="1" t="s">
        <v>170</v>
      </c>
      <c r="K15" s="1" t="s">
        <v>183</v>
      </c>
      <c r="L15" s="1"/>
      <c r="M15" s="1">
        <v>2</v>
      </c>
      <c r="N15" s="13">
        <v>680</v>
      </c>
      <c r="O15" s="13">
        <f>M15*N15</f>
        <v>1360</v>
      </c>
      <c r="P15" s="13">
        <v>661.14</v>
      </c>
      <c r="Q15" s="13">
        <f>P15*20%</f>
        <v>132.22800000000001</v>
      </c>
      <c r="R15" s="13">
        <f>O15-P15</f>
        <v>698.86</v>
      </c>
      <c r="S15" s="1" t="s">
        <v>71</v>
      </c>
      <c r="T15" s="1" t="s">
        <v>72</v>
      </c>
      <c r="U15" s="1"/>
      <c r="V15" s="1" t="s">
        <v>73</v>
      </c>
      <c r="W15" s="1" t="s">
        <v>74</v>
      </c>
      <c r="X15" s="1" t="s">
        <v>172</v>
      </c>
      <c r="Y15" s="1" t="s">
        <v>173</v>
      </c>
      <c r="Z15" s="1" t="s">
        <v>77</v>
      </c>
      <c r="AA15" s="1" t="s">
        <v>78</v>
      </c>
      <c r="AB15" s="1" t="s">
        <v>79</v>
      </c>
      <c r="AC15" s="1"/>
      <c r="AD15" s="1" t="s">
        <v>174</v>
      </c>
      <c r="AE15" s="1" t="s">
        <v>175</v>
      </c>
      <c r="AF15" s="1" t="s">
        <v>82</v>
      </c>
      <c r="AG15" s="1" t="s">
        <v>184</v>
      </c>
      <c r="AH15" s="1" t="s">
        <v>84</v>
      </c>
    </row>
    <row r="16" spans="1:34">
      <c r="A16" s="1" t="s">
        <v>185</v>
      </c>
      <c r="B16" s="1" t="s">
        <v>186</v>
      </c>
      <c r="C16" s="1" t="s">
        <v>187</v>
      </c>
      <c r="D16" s="1" t="s">
        <v>64</v>
      </c>
      <c r="E16" s="1" t="s">
        <v>65</v>
      </c>
      <c r="F16" s="1" t="s">
        <v>166</v>
      </c>
      <c r="G16" s="1" t="s">
        <v>188</v>
      </c>
      <c r="H16" s="1" t="s">
        <v>189</v>
      </c>
      <c r="I16" s="1" t="s">
        <v>190</v>
      </c>
      <c r="J16" s="1" t="s">
        <v>191</v>
      </c>
      <c r="K16" s="1" t="s">
        <v>192</v>
      </c>
      <c r="L16" s="1"/>
      <c r="M16" s="1">
        <v>3</v>
      </c>
      <c r="N16" s="13">
        <v>90</v>
      </c>
      <c r="O16" s="13">
        <f>M16*N16</f>
        <v>270</v>
      </c>
      <c r="P16" s="13">
        <v>135.93</v>
      </c>
      <c r="Q16" s="13">
        <f>P16*20%</f>
        <v>27.186000000000003</v>
      </c>
      <c r="R16" s="13">
        <f>O16-P16</f>
        <v>134.07</v>
      </c>
      <c r="S16" s="1" t="s">
        <v>71</v>
      </c>
      <c r="T16" s="1" t="s">
        <v>72</v>
      </c>
      <c r="U16" s="1"/>
      <c r="V16" s="1" t="s">
        <v>73</v>
      </c>
      <c r="W16" s="1" t="s">
        <v>74</v>
      </c>
      <c r="X16" s="1" t="s">
        <v>172</v>
      </c>
      <c r="Y16" s="1" t="s">
        <v>173</v>
      </c>
      <c r="Z16" s="1" t="s">
        <v>77</v>
      </c>
      <c r="AA16" s="1" t="s">
        <v>78</v>
      </c>
      <c r="AB16" s="1" t="s">
        <v>79</v>
      </c>
      <c r="AC16" s="1"/>
      <c r="AD16" s="1" t="s">
        <v>80</v>
      </c>
      <c r="AE16" s="1" t="s">
        <v>193</v>
      </c>
      <c r="AF16" s="1" t="s">
        <v>82</v>
      </c>
      <c r="AG16" s="1" t="s">
        <v>194</v>
      </c>
      <c r="AH16" s="1" t="s">
        <v>84</v>
      </c>
    </row>
    <row r="17" spans="1:34">
      <c r="A17" s="1" t="s">
        <v>195</v>
      </c>
      <c r="B17" s="1" t="s">
        <v>196</v>
      </c>
      <c r="C17" s="1" t="s">
        <v>197</v>
      </c>
      <c r="D17" s="1" t="s">
        <v>64</v>
      </c>
      <c r="E17" s="1" t="s">
        <v>65</v>
      </c>
      <c r="F17" s="1" t="s">
        <v>198</v>
      </c>
      <c r="G17" s="1" t="s">
        <v>199</v>
      </c>
      <c r="H17" s="1" t="s">
        <v>200</v>
      </c>
      <c r="I17" s="1" t="s">
        <v>201</v>
      </c>
      <c r="J17" s="1" t="s">
        <v>202</v>
      </c>
      <c r="K17" s="1" t="s">
        <v>203</v>
      </c>
      <c r="L17" s="1"/>
      <c r="M17" s="1">
        <v>1</v>
      </c>
      <c r="N17" s="13">
        <v>155</v>
      </c>
      <c r="O17" s="13">
        <f>M17*N17</f>
        <v>155</v>
      </c>
      <c r="P17" s="13">
        <v>105.52</v>
      </c>
      <c r="Q17" s="13">
        <f>P17*20%</f>
        <v>21.103999999999999</v>
      </c>
      <c r="R17" s="13">
        <f>O17-P17</f>
        <v>49.480000000000004</v>
      </c>
      <c r="S17" s="1" t="s">
        <v>71</v>
      </c>
      <c r="T17" s="1" t="s">
        <v>72</v>
      </c>
      <c r="U17" s="1"/>
      <c r="V17" s="1" t="s">
        <v>73</v>
      </c>
      <c r="W17" s="1" t="s">
        <v>74</v>
      </c>
      <c r="X17" s="1" t="s">
        <v>204</v>
      </c>
      <c r="Y17" s="1" t="s">
        <v>205</v>
      </c>
      <c r="Z17" s="1" t="s">
        <v>77</v>
      </c>
      <c r="AA17" s="1" t="s">
        <v>78</v>
      </c>
      <c r="AB17" s="1" t="s">
        <v>79</v>
      </c>
      <c r="AC17" s="1"/>
      <c r="AD17" s="1" t="s">
        <v>206</v>
      </c>
      <c r="AE17" s="1" t="s">
        <v>207</v>
      </c>
      <c r="AF17" s="1" t="s">
        <v>82</v>
      </c>
      <c r="AG17" s="1" t="s">
        <v>208</v>
      </c>
      <c r="AH17" s="1" t="s">
        <v>84</v>
      </c>
    </row>
    <row r="18" spans="1:34">
      <c r="A18" s="1" t="s">
        <v>209</v>
      </c>
      <c r="B18" s="1" t="s">
        <v>210</v>
      </c>
      <c r="C18" s="1" t="s">
        <v>211</v>
      </c>
      <c r="D18" s="1" t="s">
        <v>64</v>
      </c>
      <c r="E18" s="1" t="s">
        <v>65</v>
      </c>
      <c r="F18" s="1" t="s">
        <v>198</v>
      </c>
      <c r="G18" s="1" t="s">
        <v>212</v>
      </c>
      <c r="H18" s="1" t="s">
        <v>213</v>
      </c>
      <c r="I18" s="1" t="s">
        <v>214</v>
      </c>
      <c r="J18" s="1" t="s">
        <v>215</v>
      </c>
      <c r="K18" s="1" t="s">
        <v>216</v>
      </c>
      <c r="L18" s="1"/>
      <c r="M18" s="1">
        <v>1</v>
      </c>
      <c r="N18" s="13">
        <v>245</v>
      </c>
      <c r="O18" s="13">
        <f>M18*N18</f>
        <v>245</v>
      </c>
      <c r="P18" s="13">
        <v>158.66999999999999</v>
      </c>
      <c r="Q18" s="13">
        <f>P18*20%</f>
        <v>31.733999999999998</v>
      </c>
      <c r="R18" s="13">
        <f>O18-P18</f>
        <v>86.330000000000013</v>
      </c>
      <c r="S18" s="1" t="s">
        <v>71</v>
      </c>
      <c r="T18" s="1" t="s">
        <v>72</v>
      </c>
      <c r="U18" s="1"/>
      <c r="V18" s="1" t="s">
        <v>73</v>
      </c>
      <c r="W18" s="1" t="s">
        <v>74</v>
      </c>
      <c r="X18" s="1" t="s">
        <v>204</v>
      </c>
      <c r="Y18" s="1" t="s">
        <v>205</v>
      </c>
      <c r="Z18" s="1" t="s">
        <v>77</v>
      </c>
      <c r="AA18" s="1" t="s">
        <v>78</v>
      </c>
      <c r="AB18" s="1" t="s">
        <v>79</v>
      </c>
      <c r="AC18" s="1"/>
      <c r="AD18" s="1" t="s">
        <v>206</v>
      </c>
      <c r="AE18" s="1" t="s">
        <v>217</v>
      </c>
      <c r="AF18" s="1" t="s">
        <v>82</v>
      </c>
      <c r="AG18" s="1" t="s">
        <v>218</v>
      </c>
      <c r="AH18" s="1" t="s">
        <v>84</v>
      </c>
    </row>
    <row r="19" spans="1:34">
      <c r="A19" s="1" t="s">
        <v>219</v>
      </c>
      <c r="B19" s="1" t="s">
        <v>220</v>
      </c>
      <c r="C19" s="1" t="s">
        <v>221</v>
      </c>
      <c r="D19" s="1" t="s">
        <v>64</v>
      </c>
      <c r="E19" s="1" t="s">
        <v>65</v>
      </c>
      <c r="F19" s="1" t="s">
        <v>198</v>
      </c>
      <c r="G19" s="1" t="s">
        <v>222</v>
      </c>
      <c r="H19" s="1" t="s">
        <v>223</v>
      </c>
      <c r="I19" s="1" t="s">
        <v>224</v>
      </c>
      <c r="J19" s="1" t="s">
        <v>225</v>
      </c>
      <c r="K19" s="1" t="s">
        <v>226</v>
      </c>
      <c r="L19" s="1"/>
      <c r="M19" s="1">
        <v>1</v>
      </c>
      <c r="N19" s="13">
        <v>125</v>
      </c>
      <c r="O19" s="13">
        <f>M19*N19</f>
        <v>125</v>
      </c>
      <c r="P19" s="13">
        <v>58.49</v>
      </c>
      <c r="Q19" s="13">
        <f>P19*20%</f>
        <v>11.698</v>
      </c>
      <c r="R19" s="13">
        <f>O19-P19</f>
        <v>66.509999999999991</v>
      </c>
      <c r="S19" s="1" t="s">
        <v>71</v>
      </c>
      <c r="T19" s="1" t="s">
        <v>72</v>
      </c>
      <c r="U19" s="1"/>
      <c r="V19" s="1" t="s">
        <v>73</v>
      </c>
      <c r="W19" s="1" t="s">
        <v>74</v>
      </c>
      <c r="X19" s="1" t="s">
        <v>204</v>
      </c>
      <c r="Y19" s="1" t="s">
        <v>205</v>
      </c>
      <c r="Z19" s="1" t="s">
        <v>77</v>
      </c>
      <c r="AA19" s="1" t="s">
        <v>78</v>
      </c>
      <c r="AB19" s="1" t="s">
        <v>79</v>
      </c>
      <c r="AC19" s="1"/>
      <c r="AD19" s="1" t="s">
        <v>206</v>
      </c>
      <c r="AE19" s="1" t="s">
        <v>227</v>
      </c>
      <c r="AF19" s="1" t="s">
        <v>82</v>
      </c>
      <c r="AG19" s="1" t="s">
        <v>228</v>
      </c>
      <c r="AH19" s="1" t="s">
        <v>84</v>
      </c>
    </row>
    <row r="20" spans="1:34">
      <c r="A20" s="1" t="s">
        <v>229</v>
      </c>
      <c r="B20" s="1" t="s">
        <v>230</v>
      </c>
      <c r="C20" s="1" t="s">
        <v>231</v>
      </c>
      <c r="D20" s="1" t="s">
        <v>64</v>
      </c>
      <c r="E20" s="1" t="s">
        <v>65</v>
      </c>
      <c r="F20" s="1" t="s">
        <v>232</v>
      </c>
      <c r="G20" s="1" t="s">
        <v>233</v>
      </c>
      <c r="H20" s="1" t="s">
        <v>234</v>
      </c>
      <c r="I20" s="1" t="s">
        <v>235</v>
      </c>
      <c r="J20" s="1" t="s">
        <v>236</v>
      </c>
      <c r="K20" s="1" t="s">
        <v>237</v>
      </c>
      <c r="L20" s="1"/>
      <c r="M20" s="1">
        <v>1</v>
      </c>
      <c r="N20" s="13">
        <v>185</v>
      </c>
      <c r="O20" s="13">
        <f>M20*N20</f>
        <v>185</v>
      </c>
      <c r="P20" s="13">
        <v>101.16</v>
      </c>
      <c r="Q20" s="13">
        <f>P20*20%</f>
        <v>20.231999999999999</v>
      </c>
      <c r="R20" s="13">
        <f>O20-P20</f>
        <v>83.84</v>
      </c>
      <c r="S20" s="1" t="s">
        <v>71</v>
      </c>
      <c r="T20" s="1" t="s">
        <v>72</v>
      </c>
      <c r="U20" s="1"/>
      <c r="V20" s="1" t="s">
        <v>73</v>
      </c>
      <c r="W20" s="1" t="s">
        <v>74</v>
      </c>
      <c r="X20" s="1" t="s">
        <v>238</v>
      </c>
      <c r="Y20" s="1" t="s">
        <v>239</v>
      </c>
      <c r="Z20" s="1" t="s">
        <v>77</v>
      </c>
      <c r="AA20" s="1" t="s">
        <v>78</v>
      </c>
      <c r="AB20" s="1" t="s">
        <v>79</v>
      </c>
      <c r="AC20" s="1"/>
      <c r="AD20" s="1" t="s">
        <v>206</v>
      </c>
      <c r="AE20" s="1" t="s">
        <v>240</v>
      </c>
      <c r="AF20" s="1" t="s">
        <v>82</v>
      </c>
      <c r="AG20" s="1" t="s">
        <v>241</v>
      </c>
      <c r="AH20" s="1" t="s">
        <v>84</v>
      </c>
    </row>
    <row r="21" spans="1:34">
      <c r="A21" s="1" t="s">
        <v>242</v>
      </c>
      <c r="B21" s="1" t="s">
        <v>243</v>
      </c>
      <c r="C21" s="1" t="s">
        <v>244</v>
      </c>
      <c r="D21" s="1" t="s">
        <v>64</v>
      </c>
      <c r="E21" s="1" t="s">
        <v>65</v>
      </c>
      <c r="F21" s="1" t="s">
        <v>232</v>
      </c>
      <c r="G21" s="1" t="s">
        <v>245</v>
      </c>
      <c r="H21" s="1" t="s">
        <v>246</v>
      </c>
      <c r="I21" s="1" t="s">
        <v>247</v>
      </c>
      <c r="J21" s="1" t="s">
        <v>236</v>
      </c>
      <c r="K21" s="1" t="s">
        <v>248</v>
      </c>
      <c r="L21" s="1"/>
      <c r="M21" s="1">
        <v>1</v>
      </c>
      <c r="N21" s="13">
        <v>410</v>
      </c>
      <c r="O21" s="13">
        <f>M21*N21</f>
        <v>410</v>
      </c>
      <c r="P21" s="13">
        <v>206.38</v>
      </c>
      <c r="Q21" s="13">
        <f>P21*20%</f>
        <v>41.276000000000003</v>
      </c>
      <c r="R21" s="13">
        <f>O21-P21</f>
        <v>203.62</v>
      </c>
      <c r="S21" s="1" t="s">
        <v>71</v>
      </c>
      <c r="T21" s="1" t="s">
        <v>72</v>
      </c>
      <c r="U21" s="1"/>
      <c r="V21" s="1" t="s">
        <v>73</v>
      </c>
      <c r="W21" s="1" t="s">
        <v>74</v>
      </c>
      <c r="X21" s="1" t="s">
        <v>238</v>
      </c>
      <c r="Y21" s="1" t="s">
        <v>239</v>
      </c>
      <c r="Z21" s="1" t="s">
        <v>77</v>
      </c>
      <c r="AA21" s="1" t="s">
        <v>78</v>
      </c>
      <c r="AB21" s="1" t="s">
        <v>79</v>
      </c>
      <c r="AC21" s="1"/>
      <c r="AD21" s="1" t="s">
        <v>206</v>
      </c>
      <c r="AE21" s="1" t="s">
        <v>249</v>
      </c>
      <c r="AF21" s="1" t="s">
        <v>82</v>
      </c>
      <c r="AG21" s="1" t="s">
        <v>250</v>
      </c>
      <c r="AH21" s="1" t="s">
        <v>84</v>
      </c>
    </row>
    <row r="22" spans="1:34">
      <c r="A22" s="1" t="s">
        <v>251</v>
      </c>
      <c r="B22" s="1" t="s">
        <v>252</v>
      </c>
      <c r="C22" s="1" t="s">
        <v>253</v>
      </c>
      <c r="D22" s="1" t="s">
        <v>64</v>
      </c>
      <c r="E22" s="1" t="s">
        <v>65</v>
      </c>
      <c r="F22" s="1" t="s">
        <v>254</v>
      </c>
      <c r="G22" s="1" t="s">
        <v>255</v>
      </c>
      <c r="H22" s="1" t="s">
        <v>256</v>
      </c>
      <c r="I22" s="1" t="s">
        <v>257</v>
      </c>
      <c r="J22" s="1" t="s">
        <v>258</v>
      </c>
      <c r="K22" s="1" t="s">
        <v>259</v>
      </c>
      <c r="L22" s="1"/>
      <c r="M22" s="1">
        <v>1</v>
      </c>
      <c r="N22" s="13">
        <v>190</v>
      </c>
      <c r="O22" s="13">
        <f>M22*N22</f>
        <v>190</v>
      </c>
      <c r="P22" s="13">
        <v>92.07</v>
      </c>
      <c r="Q22" s="13">
        <f>P22*20%</f>
        <v>18.413999999999998</v>
      </c>
      <c r="R22" s="13">
        <f>O22-P22</f>
        <v>97.93</v>
      </c>
      <c r="S22" s="1" t="s">
        <v>71</v>
      </c>
      <c r="T22" s="1" t="s">
        <v>72</v>
      </c>
      <c r="U22" s="1"/>
      <c r="V22" s="1" t="s">
        <v>73</v>
      </c>
      <c r="W22" s="1" t="s">
        <v>74</v>
      </c>
      <c r="X22" s="1" t="s">
        <v>254</v>
      </c>
      <c r="Y22" s="1" t="s">
        <v>260</v>
      </c>
      <c r="Z22" s="1" t="s">
        <v>77</v>
      </c>
      <c r="AA22" s="1" t="s">
        <v>78</v>
      </c>
      <c r="AB22" s="1" t="s">
        <v>79</v>
      </c>
      <c r="AC22" s="1"/>
      <c r="AD22" s="1" t="s">
        <v>206</v>
      </c>
      <c r="AE22" s="1" t="s">
        <v>261</v>
      </c>
      <c r="AF22" s="1" t="s">
        <v>82</v>
      </c>
      <c r="AG22" s="1" t="s">
        <v>262</v>
      </c>
      <c r="AH22" s="1" t="s">
        <v>84</v>
      </c>
    </row>
    <row r="23" spans="1:34">
      <c r="A23" s="1" t="s">
        <v>263</v>
      </c>
      <c r="B23" s="1" t="s">
        <v>264</v>
      </c>
      <c r="C23" s="1" t="s">
        <v>265</v>
      </c>
      <c r="D23" s="1" t="s">
        <v>64</v>
      </c>
      <c r="E23" s="1" t="s">
        <v>65</v>
      </c>
      <c r="F23" s="1" t="s">
        <v>266</v>
      </c>
      <c r="G23" s="1" t="s">
        <v>267</v>
      </c>
      <c r="H23" s="1" t="s">
        <v>268</v>
      </c>
      <c r="I23" s="1" t="s">
        <v>269</v>
      </c>
      <c r="J23" s="1" t="s">
        <v>270</v>
      </c>
      <c r="K23" s="1" t="s">
        <v>271</v>
      </c>
      <c r="L23" s="1"/>
      <c r="M23" s="1">
        <v>1</v>
      </c>
      <c r="N23" s="13">
        <v>245</v>
      </c>
      <c r="O23" s="13">
        <f>M23*N23</f>
        <v>245</v>
      </c>
      <c r="P23" s="13">
        <v>159.02000000000001</v>
      </c>
      <c r="Q23" s="13">
        <f>P23*20%</f>
        <v>31.804000000000002</v>
      </c>
      <c r="R23" s="13">
        <f>O23-P23</f>
        <v>85.97999999999999</v>
      </c>
      <c r="S23" s="1" t="s">
        <v>71</v>
      </c>
      <c r="T23" s="1" t="s">
        <v>72</v>
      </c>
      <c r="U23" s="1"/>
      <c r="V23" s="1" t="s">
        <v>73</v>
      </c>
      <c r="W23" s="1" t="s">
        <v>74</v>
      </c>
      <c r="X23" s="1" t="s">
        <v>266</v>
      </c>
      <c r="Y23" s="1" t="s">
        <v>272</v>
      </c>
      <c r="Z23" s="1" t="s">
        <v>77</v>
      </c>
      <c r="AA23" s="1" t="s">
        <v>78</v>
      </c>
      <c r="AB23" s="1" t="s">
        <v>79</v>
      </c>
      <c r="AC23" s="1"/>
      <c r="AD23" s="1" t="s">
        <v>206</v>
      </c>
      <c r="AE23" s="1" t="s">
        <v>273</v>
      </c>
      <c r="AF23" s="1" t="s">
        <v>82</v>
      </c>
      <c r="AG23" s="1" t="s">
        <v>274</v>
      </c>
      <c r="AH23" s="1" t="s">
        <v>84</v>
      </c>
    </row>
    <row r="24" spans="1:34">
      <c r="A24" s="1" t="s">
        <v>275</v>
      </c>
      <c r="B24" s="1" t="s">
        <v>276</v>
      </c>
      <c r="C24" s="1" t="s">
        <v>277</v>
      </c>
      <c r="D24" s="1" t="s">
        <v>64</v>
      </c>
      <c r="E24" s="1" t="s">
        <v>65</v>
      </c>
      <c r="F24" s="1" t="s">
        <v>278</v>
      </c>
      <c r="G24" s="1" t="s">
        <v>279</v>
      </c>
      <c r="H24" s="1" t="s">
        <v>280</v>
      </c>
      <c r="I24" s="1" t="s">
        <v>281</v>
      </c>
      <c r="J24" s="1" t="s">
        <v>282</v>
      </c>
      <c r="K24" s="1" t="s">
        <v>283</v>
      </c>
      <c r="L24" s="1"/>
      <c r="M24" s="1">
        <v>1</v>
      </c>
      <c r="N24" s="13">
        <v>710</v>
      </c>
      <c r="O24" s="13">
        <f>M24*N24</f>
        <v>710</v>
      </c>
      <c r="P24" s="13">
        <v>319.97000000000003</v>
      </c>
      <c r="Q24" s="13">
        <f>P24*20%</f>
        <v>63.994000000000007</v>
      </c>
      <c r="R24" s="13">
        <f>O24-P24</f>
        <v>390.03</v>
      </c>
      <c r="S24" s="1" t="s">
        <v>71</v>
      </c>
      <c r="T24" s="1" t="s">
        <v>72</v>
      </c>
      <c r="U24" s="1" t="s">
        <v>284</v>
      </c>
      <c r="V24" s="1" t="s">
        <v>73</v>
      </c>
      <c r="W24" s="1" t="s">
        <v>74</v>
      </c>
      <c r="X24" s="1" t="s">
        <v>285</v>
      </c>
      <c r="Y24" s="1" t="s">
        <v>286</v>
      </c>
      <c r="Z24" s="1" t="s">
        <v>77</v>
      </c>
      <c r="AA24" s="1" t="s">
        <v>78</v>
      </c>
      <c r="AB24" s="1" t="s">
        <v>79</v>
      </c>
      <c r="AC24" s="1"/>
      <c r="AD24" s="1" t="s">
        <v>287</v>
      </c>
      <c r="AE24" s="1" t="s">
        <v>288</v>
      </c>
      <c r="AF24" s="1" t="s">
        <v>82</v>
      </c>
      <c r="AG24" s="1" t="s">
        <v>289</v>
      </c>
      <c r="AH24" s="1" t="s">
        <v>84</v>
      </c>
    </row>
    <row r="25" spans="1:34">
      <c r="A25" s="1" t="s">
        <v>290</v>
      </c>
      <c r="B25" s="1" t="s">
        <v>291</v>
      </c>
      <c r="C25" s="1" t="s">
        <v>292</v>
      </c>
      <c r="D25" s="1" t="s">
        <v>64</v>
      </c>
      <c r="E25" s="1" t="s">
        <v>65</v>
      </c>
      <c r="F25" s="1" t="s">
        <v>278</v>
      </c>
      <c r="G25" s="1" t="s">
        <v>293</v>
      </c>
      <c r="H25" s="1" t="s">
        <v>294</v>
      </c>
      <c r="I25" s="1" t="s">
        <v>295</v>
      </c>
      <c r="J25" s="1" t="s">
        <v>282</v>
      </c>
      <c r="K25" s="1" t="s">
        <v>296</v>
      </c>
      <c r="L25" s="1"/>
      <c r="M25" s="1">
        <v>6</v>
      </c>
      <c r="N25" s="13">
        <v>305</v>
      </c>
      <c r="O25" s="13">
        <f>M25*N25</f>
        <v>1830</v>
      </c>
      <c r="P25" s="13">
        <v>821.7</v>
      </c>
      <c r="Q25" s="13">
        <f>P25*20%</f>
        <v>164.34000000000003</v>
      </c>
      <c r="R25" s="13">
        <f>O25-P25</f>
        <v>1008.3</v>
      </c>
      <c r="S25" s="1" t="s">
        <v>71</v>
      </c>
      <c r="T25" s="1" t="s">
        <v>72</v>
      </c>
      <c r="U25" s="1"/>
      <c r="V25" s="1" t="s">
        <v>73</v>
      </c>
      <c r="W25" s="1" t="s">
        <v>74</v>
      </c>
      <c r="X25" s="1" t="s">
        <v>285</v>
      </c>
      <c r="Y25" s="1" t="s">
        <v>286</v>
      </c>
      <c r="Z25" s="1" t="s">
        <v>77</v>
      </c>
      <c r="AA25" s="1" t="s">
        <v>78</v>
      </c>
      <c r="AB25" s="1" t="s">
        <v>79</v>
      </c>
      <c r="AC25" s="1"/>
      <c r="AD25" s="1" t="s">
        <v>297</v>
      </c>
      <c r="AE25" s="1" t="s">
        <v>298</v>
      </c>
      <c r="AF25" s="1" t="s">
        <v>82</v>
      </c>
      <c r="AG25" s="1" t="s">
        <v>299</v>
      </c>
      <c r="AH25" s="1" t="s">
        <v>84</v>
      </c>
    </row>
    <row r="26" spans="1:34">
      <c r="A26" s="1" t="s">
        <v>300</v>
      </c>
      <c r="B26" s="1" t="s">
        <v>301</v>
      </c>
      <c r="C26" s="1" t="s">
        <v>302</v>
      </c>
      <c r="D26" s="1" t="s">
        <v>64</v>
      </c>
      <c r="E26" s="1" t="s">
        <v>65</v>
      </c>
      <c r="F26" s="1" t="s">
        <v>303</v>
      </c>
      <c r="G26" s="1" t="s">
        <v>304</v>
      </c>
      <c r="H26" s="1" t="s">
        <v>305</v>
      </c>
      <c r="I26" s="1" t="s">
        <v>306</v>
      </c>
      <c r="J26" s="1" t="s">
        <v>307</v>
      </c>
      <c r="K26" s="1" t="s">
        <v>308</v>
      </c>
      <c r="L26" s="1"/>
      <c r="M26" s="1">
        <v>1</v>
      </c>
      <c r="N26" s="13">
        <v>725</v>
      </c>
      <c r="O26" s="13">
        <f>M26*N26</f>
        <v>725</v>
      </c>
      <c r="P26" s="13">
        <v>488.83</v>
      </c>
      <c r="Q26" s="13">
        <f>P26*20%</f>
        <v>97.766000000000005</v>
      </c>
      <c r="R26" s="13">
        <f>O26-P26</f>
        <v>236.17000000000002</v>
      </c>
      <c r="S26" s="1" t="s">
        <v>71</v>
      </c>
      <c r="T26" s="1" t="s">
        <v>72</v>
      </c>
      <c r="U26" s="1" t="s">
        <v>309</v>
      </c>
      <c r="V26" s="1" t="s">
        <v>73</v>
      </c>
      <c r="W26" s="1" t="s">
        <v>74</v>
      </c>
      <c r="X26" s="1" t="s">
        <v>285</v>
      </c>
      <c r="Y26" s="1" t="s">
        <v>286</v>
      </c>
      <c r="Z26" s="1" t="s">
        <v>77</v>
      </c>
      <c r="AA26" s="1" t="s">
        <v>78</v>
      </c>
      <c r="AB26" s="1" t="s">
        <v>79</v>
      </c>
      <c r="AC26" s="1"/>
      <c r="AD26" s="1" t="s">
        <v>287</v>
      </c>
      <c r="AE26" s="1" t="s">
        <v>310</v>
      </c>
      <c r="AF26" s="1" t="s">
        <v>82</v>
      </c>
      <c r="AG26" s="1" t="s">
        <v>311</v>
      </c>
      <c r="AH26" s="1" t="s">
        <v>84</v>
      </c>
    </row>
    <row r="27" spans="1:34">
      <c r="A27" s="1" t="s">
        <v>312</v>
      </c>
      <c r="B27" s="1" t="s">
        <v>313</v>
      </c>
      <c r="C27" s="1" t="s">
        <v>314</v>
      </c>
      <c r="D27" s="1" t="s">
        <v>64</v>
      </c>
      <c r="E27" s="1" t="s">
        <v>65</v>
      </c>
      <c r="F27" s="1" t="s">
        <v>315</v>
      </c>
      <c r="G27" s="1" t="s">
        <v>316</v>
      </c>
      <c r="H27" s="1" t="s">
        <v>317</v>
      </c>
      <c r="I27" s="1" t="s">
        <v>318</v>
      </c>
      <c r="J27" s="1" t="s">
        <v>319</v>
      </c>
      <c r="K27" s="1" t="s">
        <v>320</v>
      </c>
      <c r="L27" s="1"/>
      <c r="M27" s="1">
        <v>1</v>
      </c>
      <c r="N27" s="13">
        <v>325</v>
      </c>
      <c r="O27" s="13">
        <f>M27*N27</f>
        <v>325</v>
      </c>
      <c r="P27" s="13">
        <v>195.36</v>
      </c>
      <c r="Q27" s="13">
        <f>P27*20%</f>
        <v>39.072000000000003</v>
      </c>
      <c r="R27" s="13">
        <f>O27-P27</f>
        <v>129.63999999999999</v>
      </c>
      <c r="S27" s="1" t="s">
        <v>71</v>
      </c>
      <c r="T27" s="1" t="s">
        <v>72</v>
      </c>
      <c r="U27" s="1"/>
      <c r="V27" s="1" t="s">
        <v>73</v>
      </c>
      <c r="W27" s="1" t="s">
        <v>74</v>
      </c>
      <c r="X27" s="1" t="s">
        <v>321</v>
      </c>
      <c r="Y27" s="1" t="s">
        <v>286</v>
      </c>
      <c r="Z27" s="1" t="s">
        <v>77</v>
      </c>
      <c r="AA27" s="1" t="s">
        <v>78</v>
      </c>
      <c r="AB27" s="1" t="s">
        <v>322</v>
      </c>
      <c r="AC27" s="1" t="s">
        <v>323</v>
      </c>
      <c r="AD27" s="1" t="s">
        <v>80</v>
      </c>
      <c r="AE27" s="1" t="s">
        <v>324</v>
      </c>
      <c r="AF27" s="1" t="s">
        <v>82</v>
      </c>
      <c r="AG27" s="1" t="s">
        <v>325</v>
      </c>
      <c r="AH27" s="1" t="s">
        <v>84</v>
      </c>
    </row>
    <row r="28" spans="1:34">
      <c r="A28" s="1" t="s">
        <v>326</v>
      </c>
      <c r="B28" s="1" t="s">
        <v>327</v>
      </c>
      <c r="C28" s="1" t="s">
        <v>328</v>
      </c>
      <c r="D28" s="1" t="s">
        <v>64</v>
      </c>
      <c r="E28" s="1" t="s">
        <v>65</v>
      </c>
      <c r="F28" s="1" t="s">
        <v>329</v>
      </c>
      <c r="G28" s="1" t="s">
        <v>330</v>
      </c>
      <c r="H28" s="1" t="s">
        <v>331</v>
      </c>
      <c r="I28" s="1" t="s">
        <v>332</v>
      </c>
      <c r="J28" s="1" t="s">
        <v>333</v>
      </c>
      <c r="K28" s="1" t="s">
        <v>334</v>
      </c>
      <c r="L28" s="1"/>
      <c r="M28" s="1">
        <v>1</v>
      </c>
      <c r="N28" s="13">
        <v>1600</v>
      </c>
      <c r="O28" s="13">
        <f>M28*N28</f>
        <v>1600</v>
      </c>
      <c r="P28" s="13">
        <v>1059.42</v>
      </c>
      <c r="Q28" s="13">
        <f>P28*20%</f>
        <v>211.88400000000001</v>
      </c>
      <c r="R28" s="13">
        <f>O28-P28</f>
        <v>540.57999999999993</v>
      </c>
      <c r="S28" s="1" t="s">
        <v>71</v>
      </c>
      <c r="T28" s="1" t="s">
        <v>72</v>
      </c>
      <c r="U28" s="1"/>
      <c r="V28" s="1" t="s">
        <v>73</v>
      </c>
      <c r="W28" s="1" t="s">
        <v>74</v>
      </c>
      <c r="X28" s="1" t="s">
        <v>329</v>
      </c>
      <c r="Y28" s="1" t="s">
        <v>272</v>
      </c>
      <c r="Z28" s="1" t="s">
        <v>77</v>
      </c>
      <c r="AA28" s="1" t="s">
        <v>78</v>
      </c>
      <c r="AB28" s="1" t="s">
        <v>79</v>
      </c>
      <c r="AC28" s="1"/>
      <c r="AD28" s="1" t="s">
        <v>206</v>
      </c>
      <c r="AE28" s="1" t="s">
        <v>335</v>
      </c>
      <c r="AF28" s="1" t="s">
        <v>82</v>
      </c>
      <c r="AG28" s="1" t="s">
        <v>336</v>
      </c>
      <c r="AH28" s="1" t="s">
        <v>84</v>
      </c>
    </row>
    <row r="29" spans="1:34">
      <c r="A29" s="1" t="s">
        <v>337</v>
      </c>
      <c r="B29" s="1" t="s">
        <v>338</v>
      </c>
      <c r="C29" s="1" t="s">
        <v>339</v>
      </c>
      <c r="D29" s="1" t="s">
        <v>64</v>
      </c>
      <c r="E29" s="1" t="s">
        <v>65</v>
      </c>
      <c r="F29" s="1" t="s">
        <v>66</v>
      </c>
      <c r="G29" s="1" t="s">
        <v>340</v>
      </c>
      <c r="H29" s="1" t="s">
        <v>68</v>
      </c>
      <c r="I29" s="1" t="s">
        <v>69</v>
      </c>
      <c r="J29" s="1" t="s">
        <v>70</v>
      </c>
      <c r="K29" s="1"/>
      <c r="L29" s="1"/>
      <c r="M29" s="1">
        <v>4</v>
      </c>
      <c r="N29" s="13">
        <v>3500</v>
      </c>
      <c r="O29" s="13">
        <f>M29*N29</f>
        <v>14000</v>
      </c>
      <c r="P29" s="13">
        <v>8132.16</v>
      </c>
      <c r="Q29" s="13">
        <f>P29*20%</f>
        <v>1626.432</v>
      </c>
      <c r="R29" s="13">
        <f>O29-P29</f>
        <v>5867.84</v>
      </c>
      <c r="S29" s="1" t="s">
        <v>71</v>
      </c>
      <c r="T29" s="1" t="s">
        <v>72</v>
      </c>
      <c r="U29" s="1"/>
      <c r="V29" s="1" t="s">
        <v>73</v>
      </c>
      <c r="W29" s="1" t="s">
        <v>74</v>
      </c>
      <c r="X29" s="1" t="s">
        <v>75</v>
      </c>
      <c r="Y29" s="1" t="s">
        <v>76</v>
      </c>
      <c r="Z29" s="1" t="s">
        <v>77</v>
      </c>
      <c r="AA29" s="1" t="s">
        <v>78</v>
      </c>
      <c r="AB29" s="1" t="s">
        <v>79</v>
      </c>
      <c r="AC29" s="1"/>
      <c r="AD29" s="1" t="s">
        <v>80</v>
      </c>
      <c r="AE29" s="1" t="s">
        <v>81</v>
      </c>
      <c r="AF29" s="1" t="s">
        <v>82</v>
      </c>
      <c r="AG29" s="1" t="s">
        <v>341</v>
      </c>
      <c r="AH29" s="1" t="s">
        <v>84</v>
      </c>
    </row>
    <row r="30" spans="1:34">
      <c r="A30" s="1" t="s">
        <v>342</v>
      </c>
      <c r="B30" s="1" t="s">
        <v>343</v>
      </c>
      <c r="C30" s="1" t="s">
        <v>344</v>
      </c>
      <c r="D30" s="1" t="s">
        <v>64</v>
      </c>
      <c r="E30" s="1" t="s">
        <v>65</v>
      </c>
      <c r="F30" s="1" t="s">
        <v>66</v>
      </c>
      <c r="G30" s="1" t="s">
        <v>67</v>
      </c>
      <c r="H30" s="1" t="s">
        <v>89</v>
      </c>
      <c r="I30" s="1" t="s">
        <v>90</v>
      </c>
      <c r="J30" s="1" t="s">
        <v>91</v>
      </c>
      <c r="K30" s="1"/>
      <c r="L30" s="1"/>
      <c r="M30" s="1">
        <v>4</v>
      </c>
      <c r="N30" s="13">
        <v>4600</v>
      </c>
      <c r="O30" s="13">
        <f>M30*N30</f>
        <v>18400</v>
      </c>
      <c r="P30" s="13">
        <v>8162.98</v>
      </c>
      <c r="Q30" s="13">
        <f>P30*20%</f>
        <v>1632.596</v>
      </c>
      <c r="R30" s="13">
        <f>O30-P30</f>
        <v>10237.02</v>
      </c>
      <c r="S30" s="1" t="s">
        <v>71</v>
      </c>
      <c r="T30" s="1" t="s">
        <v>72</v>
      </c>
      <c r="U30" s="1"/>
      <c r="V30" s="1" t="s">
        <v>73</v>
      </c>
      <c r="W30" s="1" t="s">
        <v>74</v>
      </c>
      <c r="X30" s="1" t="s">
        <v>75</v>
      </c>
      <c r="Y30" s="1" t="s">
        <v>76</v>
      </c>
      <c r="Z30" s="1" t="s">
        <v>77</v>
      </c>
      <c r="AA30" s="1" t="s">
        <v>78</v>
      </c>
      <c r="AB30" s="1" t="s">
        <v>79</v>
      </c>
      <c r="AC30" s="1"/>
      <c r="AD30" s="1" t="s">
        <v>80</v>
      </c>
      <c r="AE30" s="1" t="s">
        <v>81</v>
      </c>
      <c r="AF30" s="1" t="s">
        <v>82</v>
      </c>
      <c r="AG30" s="1" t="s">
        <v>83</v>
      </c>
      <c r="AH30" s="1" t="s">
        <v>84</v>
      </c>
    </row>
    <row r="31" spans="1:34">
      <c r="A31" s="1" t="s">
        <v>345</v>
      </c>
      <c r="B31" s="1" t="s">
        <v>346</v>
      </c>
      <c r="C31" s="1" t="s">
        <v>347</v>
      </c>
      <c r="D31" s="1" t="s">
        <v>64</v>
      </c>
      <c r="E31" s="1" t="s">
        <v>65</v>
      </c>
      <c r="F31" s="1" t="s">
        <v>96</v>
      </c>
      <c r="G31" s="1" t="s">
        <v>88</v>
      </c>
      <c r="H31" s="1" t="s">
        <v>98</v>
      </c>
      <c r="I31" s="1" t="s">
        <v>99</v>
      </c>
      <c r="J31" s="1" t="s">
        <v>100</v>
      </c>
      <c r="K31" s="1"/>
      <c r="L31" s="1"/>
      <c r="M31" s="1">
        <v>3</v>
      </c>
      <c r="N31" s="13">
        <v>8200</v>
      </c>
      <c r="O31" s="13">
        <f>M31*N31</f>
        <v>24600</v>
      </c>
      <c r="P31" s="13">
        <v>16453.009999999998</v>
      </c>
      <c r="Q31" s="13">
        <f>P31*20%</f>
        <v>3290.6019999999999</v>
      </c>
      <c r="R31" s="13">
        <f>O31-P31</f>
        <v>8146.9900000000016</v>
      </c>
      <c r="S31" s="1" t="s">
        <v>71</v>
      </c>
      <c r="T31" s="1" t="s">
        <v>72</v>
      </c>
      <c r="U31" s="1"/>
      <c r="V31" s="1" t="s">
        <v>73</v>
      </c>
      <c r="W31" s="1" t="s">
        <v>74</v>
      </c>
      <c r="X31" s="1" t="s">
        <v>75</v>
      </c>
      <c r="Y31" s="1" t="s">
        <v>76</v>
      </c>
      <c r="Z31" s="1" t="s">
        <v>77</v>
      </c>
      <c r="AA31" s="1" t="s">
        <v>78</v>
      </c>
      <c r="AB31" s="1" t="s">
        <v>79</v>
      </c>
      <c r="AC31" s="1"/>
      <c r="AD31" s="1" t="s">
        <v>80</v>
      </c>
      <c r="AE31" s="1" t="s">
        <v>101</v>
      </c>
      <c r="AF31" s="1" t="s">
        <v>82</v>
      </c>
      <c r="AG31" s="1" t="s">
        <v>92</v>
      </c>
      <c r="AH31" s="1" t="s">
        <v>84</v>
      </c>
    </row>
    <row r="32" spans="1:34">
      <c r="A32" s="1" t="s">
        <v>348</v>
      </c>
      <c r="B32" s="1" t="s">
        <v>349</v>
      </c>
      <c r="C32" s="1" t="s">
        <v>350</v>
      </c>
      <c r="D32" s="1" t="s">
        <v>64</v>
      </c>
      <c r="E32" s="1" t="s">
        <v>65</v>
      </c>
      <c r="F32" s="1" t="s">
        <v>106</v>
      </c>
      <c r="G32" s="1" t="s">
        <v>97</v>
      </c>
      <c r="H32" s="1" t="s">
        <v>108</v>
      </c>
      <c r="I32" s="1" t="s">
        <v>109</v>
      </c>
      <c r="J32" s="1" t="s">
        <v>110</v>
      </c>
      <c r="K32" s="1"/>
      <c r="L32" s="1"/>
      <c r="M32" s="1">
        <v>3</v>
      </c>
      <c r="N32" s="13">
        <v>10250</v>
      </c>
      <c r="O32" s="13">
        <f>M32*N32</f>
        <v>30750</v>
      </c>
      <c r="P32" s="13">
        <v>18241.07</v>
      </c>
      <c r="Q32" s="13">
        <f>P32*20%</f>
        <v>3648.2139999999999</v>
      </c>
      <c r="R32" s="13">
        <f>O32-P32</f>
        <v>12508.93</v>
      </c>
      <c r="S32" s="1" t="s">
        <v>71</v>
      </c>
      <c r="T32" s="1" t="s">
        <v>72</v>
      </c>
      <c r="U32" s="1"/>
      <c r="V32" s="1" t="s">
        <v>73</v>
      </c>
      <c r="W32" s="1" t="s">
        <v>74</v>
      </c>
      <c r="X32" s="1" t="s">
        <v>111</v>
      </c>
      <c r="Y32" s="1" t="s">
        <v>112</v>
      </c>
      <c r="Z32" s="1" t="s">
        <v>77</v>
      </c>
      <c r="AA32" s="1" t="s">
        <v>78</v>
      </c>
      <c r="AB32" s="1" t="s">
        <v>79</v>
      </c>
      <c r="AC32" s="1"/>
      <c r="AD32" s="1" t="s">
        <v>113</v>
      </c>
      <c r="AE32" s="1" t="s">
        <v>81</v>
      </c>
      <c r="AF32" s="1" t="s">
        <v>82</v>
      </c>
      <c r="AG32" s="1" t="s">
        <v>102</v>
      </c>
      <c r="AH32" s="1" t="s">
        <v>84</v>
      </c>
    </row>
    <row r="33" spans="1:34">
      <c r="A33" s="1" t="s">
        <v>351</v>
      </c>
      <c r="B33" s="1" t="s">
        <v>352</v>
      </c>
      <c r="C33" s="1" t="s">
        <v>353</v>
      </c>
      <c r="D33" s="1" t="s">
        <v>64</v>
      </c>
      <c r="E33" s="1" t="s">
        <v>65</v>
      </c>
      <c r="F33" s="1" t="s">
        <v>106</v>
      </c>
      <c r="G33" s="1" t="s">
        <v>107</v>
      </c>
      <c r="H33" s="1" t="s">
        <v>119</v>
      </c>
      <c r="I33" s="1" t="s">
        <v>120</v>
      </c>
      <c r="J33" s="1" t="s">
        <v>110</v>
      </c>
      <c r="K33" s="1"/>
      <c r="L33" s="1"/>
      <c r="M33" s="1">
        <v>2</v>
      </c>
      <c r="N33" s="13">
        <v>1280</v>
      </c>
      <c r="O33" s="13">
        <f>M33*N33</f>
        <v>2560</v>
      </c>
      <c r="P33" s="13">
        <v>1110.3900000000001</v>
      </c>
      <c r="Q33" s="13">
        <f>P33*20%</f>
        <v>222.07800000000003</v>
      </c>
      <c r="R33" s="13">
        <f>O33-P33</f>
        <v>1449.61</v>
      </c>
      <c r="S33" s="1" t="s">
        <v>71</v>
      </c>
      <c r="T33" s="1" t="s">
        <v>72</v>
      </c>
      <c r="U33" s="1"/>
      <c r="V33" s="1" t="s">
        <v>73</v>
      </c>
      <c r="W33" s="1" t="s">
        <v>74</v>
      </c>
      <c r="X33" s="1" t="s">
        <v>111</v>
      </c>
      <c r="Y33" s="1" t="s">
        <v>112</v>
      </c>
      <c r="Z33" s="1" t="s">
        <v>354</v>
      </c>
      <c r="AA33" s="1" t="s">
        <v>355</v>
      </c>
      <c r="AB33" s="1" t="s">
        <v>322</v>
      </c>
      <c r="AC33" s="1" t="s">
        <v>356</v>
      </c>
      <c r="AD33" s="1" t="s">
        <v>113</v>
      </c>
      <c r="AE33" s="1" t="s">
        <v>81</v>
      </c>
      <c r="AF33" s="1" t="s">
        <v>82</v>
      </c>
      <c r="AG33" s="1" t="s">
        <v>114</v>
      </c>
      <c r="AH33" s="1" t="s">
        <v>84</v>
      </c>
    </row>
    <row r="34" spans="1:34">
      <c r="A34" s="1" t="s">
        <v>357</v>
      </c>
      <c r="B34" s="1" t="s">
        <v>358</v>
      </c>
      <c r="C34" s="1" t="s">
        <v>359</v>
      </c>
      <c r="D34" s="1" t="s">
        <v>64</v>
      </c>
      <c r="E34" s="1" t="s">
        <v>65</v>
      </c>
      <c r="F34" s="1" t="s">
        <v>125</v>
      </c>
      <c r="G34" s="1" t="s">
        <v>118</v>
      </c>
      <c r="H34" s="1" t="s">
        <v>127</v>
      </c>
      <c r="I34" s="1" t="s">
        <v>128</v>
      </c>
      <c r="J34" s="1" t="s">
        <v>129</v>
      </c>
      <c r="K34" s="1"/>
      <c r="L34" s="1"/>
      <c r="M34" s="1">
        <v>1</v>
      </c>
      <c r="N34" s="13">
        <v>2100</v>
      </c>
      <c r="O34" s="13">
        <f>M34*N34</f>
        <v>2100</v>
      </c>
      <c r="P34" s="13">
        <v>1025.58</v>
      </c>
      <c r="Q34" s="13">
        <f>P34*20%</f>
        <v>205.11599999999999</v>
      </c>
      <c r="R34" s="13">
        <f>O34-P34</f>
        <v>1074.42</v>
      </c>
      <c r="S34" s="1" t="s">
        <v>71</v>
      </c>
      <c r="T34" s="1" t="s">
        <v>72</v>
      </c>
      <c r="U34" s="1"/>
      <c r="V34" s="1" t="s">
        <v>73</v>
      </c>
      <c r="W34" s="1" t="s">
        <v>74</v>
      </c>
      <c r="X34" s="1" t="s">
        <v>111</v>
      </c>
      <c r="Y34" s="1" t="s">
        <v>130</v>
      </c>
      <c r="Z34" s="1" t="s">
        <v>77</v>
      </c>
      <c r="AA34" s="1" t="s">
        <v>78</v>
      </c>
      <c r="AB34" s="1" t="s">
        <v>79</v>
      </c>
      <c r="AC34" s="1"/>
      <c r="AD34" s="1" t="s">
        <v>80</v>
      </c>
      <c r="AE34" s="1" t="s">
        <v>131</v>
      </c>
      <c r="AF34" s="1" t="s">
        <v>82</v>
      </c>
      <c r="AG34" s="1" t="s">
        <v>121</v>
      </c>
      <c r="AH34" s="1" t="s">
        <v>84</v>
      </c>
    </row>
    <row r="35" spans="1:34">
      <c r="A35" s="1" t="s">
        <v>360</v>
      </c>
      <c r="B35" s="1" t="s">
        <v>361</v>
      </c>
      <c r="C35" s="1" t="s">
        <v>362</v>
      </c>
      <c r="D35" s="1" t="s">
        <v>64</v>
      </c>
      <c r="E35" s="1" t="s">
        <v>65</v>
      </c>
      <c r="F35" s="1" t="s">
        <v>136</v>
      </c>
      <c r="G35" s="1" t="s">
        <v>126</v>
      </c>
      <c r="H35" s="1" t="s">
        <v>138</v>
      </c>
      <c r="I35" s="1" t="s">
        <v>139</v>
      </c>
      <c r="J35" s="1" t="s">
        <v>140</v>
      </c>
      <c r="K35" s="1"/>
      <c r="L35" s="1"/>
      <c r="M35" s="1">
        <v>1</v>
      </c>
      <c r="N35" s="13">
        <v>4200</v>
      </c>
      <c r="O35" s="13">
        <f>M35*N35</f>
        <v>4200</v>
      </c>
      <c r="P35" s="13">
        <v>2128.63</v>
      </c>
      <c r="Q35" s="13">
        <f>P35*20%</f>
        <v>425.72600000000006</v>
      </c>
      <c r="R35" s="13">
        <f>O35-P35</f>
        <v>2071.37</v>
      </c>
      <c r="S35" s="1" t="s">
        <v>71</v>
      </c>
      <c r="T35" s="1" t="s">
        <v>72</v>
      </c>
      <c r="U35" s="1"/>
      <c r="V35" s="1" t="s">
        <v>73</v>
      </c>
      <c r="W35" s="1" t="s">
        <v>74</v>
      </c>
      <c r="X35" s="1" t="s">
        <v>141</v>
      </c>
      <c r="Y35" s="1" t="s">
        <v>142</v>
      </c>
      <c r="Z35" s="1" t="s">
        <v>77</v>
      </c>
      <c r="AA35" s="1" t="s">
        <v>78</v>
      </c>
      <c r="AB35" s="1" t="s">
        <v>79</v>
      </c>
      <c r="AC35" s="1"/>
      <c r="AD35" s="1" t="s">
        <v>143</v>
      </c>
      <c r="AE35" s="1" t="s">
        <v>131</v>
      </c>
      <c r="AF35" s="1" t="s">
        <v>82</v>
      </c>
      <c r="AG35" s="1" t="s">
        <v>132</v>
      </c>
      <c r="AH35" s="1" t="s">
        <v>84</v>
      </c>
    </row>
    <row r="36" spans="1:34">
      <c r="A36" s="1" t="s">
        <v>363</v>
      </c>
      <c r="B36" s="1" t="s">
        <v>364</v>
      </c>
      <c r="C36" s="1" t="s">
        <v>365</v>
      </c>
      <c r="D36" s="1" t="s">
        <v>64</v>
      </c>
      <c r="E36" s="1" t="s">
        <v>65</v>
      </c>
      <c r="F36" s="1" t="s">
        <v>148</v>
      </c>
      <c r="G36" s="1" t="s">
        <v>137</v>
      </c>
      <c r="H36" s="1" t="s">
        <v>150</v>
      </c>
      <c r="I36" s="1" t="s">
        <v>151</v>
      </c>
      <c r="J36" s="1" t="s">
        <v>152</v>
      </c>
      <c r="K36" s="1"/>
      <c r="L36" s="1"/>
      <c r="M36" s="1">
        <v>1</v>
      </c>
      <c r="N36" s="13">
        <v>20500</v>
      </c>
      <c r="O36" s="13">
        <f>M36*N36</f>
        <v>20500</v>
      </c>
      <c r="P36" s="13">
        <v>9100.7199999999993</v>
      </c>
      <c r="Q36" s="13">
        <f>P36*20%</f>
        <v>1820.144</v>
      </c>
      <c r="R36" s="13">
        <f>O36-P36</f>
        <v>11399.28</v>
      </c>
      <c r="S36" s="1" t="s">
        <v>71</v>
      </c>
      <c r="T36" s="1" t="s">
        <v>72</v>
      </c>
      <c r="U36" s="1"/>
      <c r="V36" s="1" t="s">
        <v>73</v>
      </c>
      <c r="W36" s="1" t="s">
        <v>74</v>
      </c>
      <c r="X36" s="1" t="s">
        <v>141</v>
      </c>
      <c r="Y36" s="1" t="s">
        <v>153</v>
      </c>
      <c r="Z36" s="1" t="s">
        <v>77</v>
      </c>
      <c r="AA36" s="1" t="s">
        <v>78</v>
      </c>
      <c r="AB36" s="1" t="s">
        <v>79</v>
      </c>
      <c r="AC36" s="1"/>
      <c r="AD36" s="1" t="s">
        <v>143</v>
      </c>
      <c r="AE36" s="1" t="s">
        <v>81</v>
      </c>
      <c r="AF36" s="1" t="s">
        <v>82</v>
      </c>
      <c r="AG36" s="1" t="s">
        <v>144</v>
      </c>
      <c r="AH36" s="1" t="s">
        <v>84</v>
      </c>
    </row>
    <row r="37" spans="1:34">
      <c r="A37" s="1" t="s">
        <v>366</v>
      </c>
      <c r="B37" s="1" t="s">
        <v>367</v>
      </c>
      <c r="C37" s="1" t="s">
        <v>368</v>
      </c>
      <c r="D37" s="1" t="s">
        <v>64</v>
      </c>
      <c r="E37" s="1" t="s">
        <v>65</v>
      </c>
      <c r="F37" s="1" t="s">
        <v>148</v>
      </c>
      <c r="G37" s="1" t="s">
        <v>149</v>
      </c>
      <c r="H37" s="1" t="s">
        <v>159</v>
      </c>
      <c r="I37" s="1" t="s">
        <v>160</v>
      </c>
      <c r="J37" s="1" t="s">
        <v>152</v>
      </c>
      <c r="K37" s="1" t="s">
        <v>161</v>
      </c>
      <c r="L37" s="1"/>
      <c r="M37" s="1">
        <v>1</v>
      </c>
      <c r="N37" s="13">
        <v>950</v>
      </c>
      <c r="O37" s="13">
        <f>M37*N37</f>
        <v>950</v>
      </c>
      <c r="P37" s="13">
        <v>465.35</v>
      </c>
      <c r="Q37" s="13">
        <f>P37*20%</f>
        <v>93.070000000000007</v>
      </c>
      <c r="R37" s="13">
        <f>O37-P37</f>
        <v>484.65</v>
      </c>
      <c r="S37" s="1" t="s">
        <v>71</v>
      </c>
      <c r="T37" s="1" t="s">
        <v>72</v>
      </c>
      <c r="U37" s="1"/>
      <c r="V37" s="1" t="s">
        <v>73</v>
      </c>
      <c r="W37" s="1" t="s">
        <v>74</v>
      </c>
      <c r="X37" s="1" t="s">
        <v>141</v>
      </c>
      <c r="Y37" s="1" t="s">
        <v>153</v>
      </c>
      <c r="Z37" s="1" t="s">
        <v>77</v>
      </c>
      <c r="AA37" s="1" t="s">
        <v>78</v>
      </c>
      <c r="AB37" s="1" t="s">
        <v>79</v>
      </c>
      <c r="AC37" s="1"/>
      <c r="AD37" s="1" t="s">
        <v>143</v>
      </c>
      <c r="AE37" s="1" t="s">
        <v>81</v>
      </c>
      <c r="AF37" s="1" t="s">
        <v>82</v>
      </c>
      <c r="AG37" s="1" t="s">
        <v>154</v>
      </c>
      <c r="AH37" s="1" t="s">
        <v>84</v>
      </c>
    </row>
    <row r="38" spans="1:34">
      <c r="A38" s="1" t="s">
        <v>369</v>
      </c>
      <c r="B38" s="1" t="s">
        <v>370</v>
      </c>
      <c r="C38" s="1" t="s">
        <v>371</v>
      </c>
      <c r="D38" s="1" t="s">
        <v>64</v>
      </c>
      <c r="E38" s="1" t="s">
        <v>65</v>
      </c>
      <c r="F38" s="1" t="s">
        <v>166</v>
      </c>
      <c r="G38" s="1" t="s">
        <v>158</v>
      </c>
      <c r="H38" s="1" t="s">
        <v>168</v>
      </c>
      <c r="I38" s="1" t="s">
        <v>169</v>
      </c>
      <c r="J38" s="1" t="s">
        <v>170</v>
      </c>
      <c r="K38" s="1" t="s">
        <v>171</v>
      </c>
      <c r="L38" s="1"/>
      <c r="M38" s="1">
        <v>1</v>
      </c>
      <c r="N38" s="13">
        <v>500</v>
      </c>
      <c r="O38" s="13">
        <f>M38*N38</f>
        <v>500</v>
      </c>
      <c r="P38" s="13">
        <v>267.02</v>
      </c>
      <c r="Q38" s="13">
        <f>P38*20%</f>
        <v>53.403999999999996</v>
      </c>
      <c r="R38" s="13">
        <f>O38-P38</f>
        <v>232.98000000000002</v>
      </c>
      <c r="S38" s="1" t="s">
        <v>71</v>
      </c>
      <c r="T38" s="1" t="s">
        <v>72</v>
      </c>
      <c r="U38" s="1"/>
      <c r="V38" s="1" t="s">
        <v>73</v>
      </c>
      <c r="W38" s="1" t="s">
        <v>74</v>
      </c>
      <c r="X38" s="1" t="s">
        <v>172</v>
      </c>
      <c r="Y38" s="1" t="s">
        <v>173</v>
      </c>
      <c r="Z38" s="1" t="s">
        <v>77</v>
      </c>
      <c r="AA38" s="1" t="s">
        <v>78</v>
      </c>
      <c r="AB38" s="1" t="s">
        <v>79</v>
      </c>
      <c r="AC38" s="1"/>
      <c r="AD38" s="1" t="s">
        <v>174</v>
      </c>
      <c r="AE38" s="1" t="s">
        <v>175</v>
      </c>
      <c r="AF38" s="1" t="s">
        <v>82</v>
      </c>
      <c r="AG38" s="1" t="s">
        <v>162</v>
      </c>
      <c r="AH38" s="1" t="s">
        <v>84</v>
      </c>
    </row>
    <row r="39" spans="1:34">
      <c r="A39" s="1" t="s">
        <v>372</v>
      </c>
      <c r="B39" s="1" t="s">
        <v>373</v>
      </c>
      <c r="C39" s="1" t="s">
        <v>374</v>
      </c>
      <c r="D39" s="1" t="s">
        <v>64</v>
      </c>
      <c r="E39" s="1" t="s">
        <v>65</v>
      </c>
      <c r="F39" s="1" t="s">
        <v>166</v>
      </c>
      <c r="G39" s="1" t="s">
        <v>167</v>
      </c>
      <c r="H39" s="1" t="s">
        <v>181</v>
      </c>
      <c r="I39" s="1" t="s">
        <v>182</v>
      </c>
      <c r="J39" s="1" t="s">
        <v>170</v>
      </c>
      <c r="K39" s="1" t="s">
        <v>183</v>
      </c>
      <c r="L39" s="1"/>
      <c r="M39" s="1">
        <v>2</v>
      </c>
      <c r="N39" s="13">
        <v>680</v>
      </c>
      <c r="O39" s="13">
        <f>M39*N39</f>
        <v>1360</v>
      </c>
      <c r="P39" s="13">
        <v>830.56</v>
      </c>
      <c r="Q39" s="13">
        <f>P39*20%</f>
        <v>166.11199999999999</v>
      </c>
      <c r="R39" s="13">
        <f>O39-P39</f>
        <v>529.44000000000005</v>
      </c>
      <c r="S39" s="1" t="s">
        <v>71</v>
      </c>
      <c r="T39" s="1" t="s">
        <v>72</v>
      </c>
      <c r="U39" s="1"/>
      <c r="V39" s="1" t="s">
        <v>73</v>
      </c>
      <c r="W39" s="1" t="s">
        <v>74</v>
      </c>
      <c r="X39" s="1" t="s">
        <v>172</v>
      </c>
      <c r="Y39" s="1" t="s">
        <v>173</v>
      </c>
      <c r="Z39" s="1" t="s">
        <v>77</v>
      </c>
      <c r="AA39" s="1" t="s">
        <v>78</v>
      </c>
      <c r="AB39" s="1" t="s">
        <v>79</v>
      </c>
      <c r="AC39" s="1"/>
      <c r="AD39" s="1" t="s">
        <v>174</v>
      </c>
      <c r="AE39" s="1" t="s">
        <v>175</v>
      </c>
      <c r="AF39" s="1" t="s">
        <v>82</v>
      </c>
      <c r="AG39" s="1" t="s">
        <v>176</v>
      </c>
      <c r="AH39" s="1" t="s">
        <v>84</v>
      </c>
    </row>
    <row r="40" spans="1:34">
      <c r="A40" s="1" t="s">
        <v>375</v>
      </c>
      <c r="B40" s="1" t="s">
        <v>376</v>
      </c>
      <c r="C40" s="1" t="s">
        <v>377</v>
      </c>
      <c r="D40" s="1" t="s">
        <v>64</v>
      </c>
      <c r="E40" s="1" t="s">
        <v>65</v>
      </c>
      <c r="F40" s="1" t="s">
        <v>166</v>
      </c>
      <c r="G40" s="1" t="s">
        <v>180</v>
      </c>
      <c r="H40" s="1" t="s">
        <v>189</v>
      </c>
      <c r="I40" s="1" t="s">
        <v>190</v>
      </c>
      <c r="J40" s="1" t="s">
        <v>191</v>
      </c>
      <c r="K40" s="1" t="s">
        <v>192</v>
      </c>
      <c r="L40" s="1"/>
      <c r="M40" s="1">
        <v>2</v>
      </c>
      <c r="N40" s="13">
        <v>90</v>
      </c>
      <c r="O40" s="13">
        <f>M40*N40</f>
        <v>180</v>
      </c>
      <c r="P40" s="13">
        <v>84.38</v>
      </c>
      <c r="Q40" s="13">
        <f>P40*20%</f>
        <v>16.876000000000001</v>
      </c>
      <c r="R40" s="13">
        <f>O40-P40</f>
        <v>95.62</v>
      </c>
      <c r="S40" s="1" t="s">
        <v>71</v>
      </c>
      <c r="T40" s="1" t="s">
        <v>72</v>
      </c>
      <c r="U40" s="1"/>
      <c r="V40" s="1" t="s">
        <v>73</v>
      </c>
      <c r="W40" s="1" t="s">
        <v>74</v>
      </c>
      <c r="X40" s="1" t="s">
        <v>172</v>
      </c>
      <c r="Y40" s="1" t="s">
        <v>173</v>
      </c>
      <c r="Z40" s="1" t="s">
        <v>77</v>
      </c>
      <c r="AA40" s="1" t="s">
        <v>78</v>
      </c>
      <c r="AB40" s="1" t="s">
        <v>79</v>
      </c>
      <c r="AC40" s="1"/>
      <c r="AD40" s="1" t="s">
        <v>80</v>
      </c>
      <c r="AE40" s="1" t="s">
        <v>193</v>
      </c>
      <c r="AF40" s="1" t="s">
        <v>82</v>
      </c>
      <c r="AG40" s="1" t="s">
        <v>184</v>
      </c>
      <c r="AH40" s="1" t="s">
        <v>84</v>
      </c>
    </row>
    <row r="41" spans="1:34">
      <c r="A41" s="1" t="s">
        <v>378</v>
      </c>
      <c r="B41" s="1" t="s">
        <v>379</v>
      </c>
      <c r="C41" s="1" t="s">
        <v>380</v>
      </c>
      <c r="D41" s="1" t="s">
        <v>64</v>
      </c>
      <c r="E41" s="1" t="s">
        <v>65</v>
      </c>
      <c r="F41" s="1" t="s">
        <v>198</v>
      </c>
      <c r="G41" s="1" t="s">
        <v>188</v>
      </c>
      <c r="H41" s="1" t="s">
        <v>200</v>
      </c>
      <c r="I41" s="1" t="s">
        <v>201</v>
      </c>
      <c r="J41" s="1" t="s">
        <v>202</v>
      </c>
      <c r="K41" s="1" t="s">
        <v>203</v>
      </c>
      <c r="L41" s="1"/>
      <c r="M41" s="1">
        <v>1</v>
      </c>
      <c r="N41" s="13">
        <v>155</v>
      </c>
      <c r="O41" s="13">
        <f>M41*N41</f>
        <v>155</v>
      </c>
      <c r="P41" s="13">
        <v>81.62</v>
      </c>
      <c r="Q41" s="13">
        <f>P41*20%</f>
        <v>16.324000000000002</v>
      </c>
      <c r="R41" s="13">
        <f>O41-P41</f>
        <v>73.38</v>
      </c>
      <c r="S41" s="1" t="s">
        <v>71</v>
      </c>
      <c r="T41" s="1" t="s">
        <v>72</v>
      </c>
      <c r="U41" s="1"/>
      <c r="V41" s="1" t="s">
        <v>73</v>
      </c>
      <c r="W41" s="1" t="s">
        <v>74</v>
      </c>
      <c r="X41" s="1" t="s">
        <v>204</v>
      </c>
      <c r="Y41" s="1" t="s">
        <v>205</v>
      </c>
      <c r="Z41" s="1" t="s">
        <v>77</v>
      </c>
      <c r="AA41" s="1" t="s">
        <v>78</v>
      </c>
      <c r="AB41" s="1" t="s">
        <v>79</v>
      </c>
      <c r="AC41" s="1"/>
      <c r="AD41" s="1" t="s">
        <v>206</v>
      </c>
      <c r="AE41" s="1" t="s">
        <v>207</v>
      </c>
      <c r="AF41" s="1" t="s">
        <v>82</v>
      </c>
      <c r="AG41" s="1" t="s">
        <v>194</v>
      </c>
      <c r="AH41" s="1" t="s">
        <v>84</v>
      </c>
    </row>
    <row r="42" spans="1:34">
      <c r="A42" s="1" t="s">
        <v>381</v>
      </c>
      <c r="B42" s="1" t="s">
        <v>382</v>
      </c>
      <c r="C42" s="1" t="s">
        <v>383</v>
      </c>
      <c r="D42" s="1" t="s">
        <v>64</v>
      </c>
      <c r="E42" s="1" t="s">
        <v>65</v>
      </c>
      <c r="F42" s="1" t="s">
        <v>198</v>
      </c>
      <c r="G42" s="1" t="s">
        <v>199</v>
      </c>
      <c r="H42" s="1" t="s">
        <v>213</v>
      </c>
      <c r="I42" s="1" t="s">
        <v>214</v>
      </c>
      <c r="J42" s="1" t="s">
        <v>215</v>
      </c>
      <c r="K42" s="1" t="s">
        <v>216</v>
      </c>
      <c r="L42" s="1"/>
      <c r="M42" s="1">
        <v>1</v>
      </c>
      <c r="N42" s="13">
        <v>245</v>
      </c>
      <c r="O42" s="13">
        <f>M42*N42</f>
        <v>245</v>
      </c>
      <c r="P42" s="13">
        <v>152.16</v>
      </c>
      <c r="Q42" s="13">
        <f>P42*20%</f>
        <v>30.432000000000002</v>
      </c>
      <c r="R42" s="13">
        <f>O42-P42</f>
        <v>92.84</v>
      </c>
      <c r="S42" s="1" t="s">
        <v>71</v>
      </c>
      <c r="T42" s="1" t="s">
        <v>72</v>
      </c>
      <c r="U42" s="1"/>
      <c r="V42" s="1" t="s">
        <v>73</v>
      </c>
      <c r="W42" s="1" t="s">
        <v>74</v>
      </c>
      <c r="X42" s="1" t="s">
        <v>204</v>
      </c>
      <c r="Y42" s="1" t="s">
        <v>205</v>
      </c>
      <c r="Z42" s="1" t="s">
        <v>77</v>
      </c>
      <c r="AA42" s="1" t="s">
        <v>78</v>
      </c>
      <c r="AB42" s="1" t="s">
        <v>79</v>
      </c>
      <c r="AC42" s="1"/>
      <c r="AD42" s="1" t="s">
        <v>206</v>
      </c>
      <c r="AE42" s="1" t="s">
        <v>217</v>
      </c>
      <c r="AF42" s="1" t="s">
        <v>82</v>
      </c>
      <c r="AG42" s="1" t="s">
        <v>208</v>
      </c>
      <c r="AH42" s="1" t="s">
        <v>84</v>
      </c>
    </row>
    <row r="43" spans="1:34">
      <c r="A43" s="1" t="s">
        <v>384</v>
      </c>
      <c r="B43" s="1" t="s">
        <v>385</v>
      </c>
      <c r="C43" s="1" t="s">
        <v>386</v>
      </c>
      <c r="D43" s="1" t="s">
        <v>64</v>
      </c>
      <c r="E43" s="1" t="s">
        <v>65</v>
      </c>
      <c r="F43" s="1" t="s">
        <v>198</v>
      </c>
      <c r="G43" s="1" t="s">
        <v>212</v>
      </c>
      <c r="H43" s="1" t="s">
        <v>223</v>
      </c>
      <c r="I43" s="1" t="s">
        <v>224</v>
      </c>
      <c r="J43" s="1" t="s">
        <v>225</v>
      </c>
      <c r="K43" s="1" t="s">
        <v>226</v>
      </c>
      <c r="L43" s="1"/>
      <c r="M43" s="1">
        <v>1</v>
      </c>
      <c r="N43" s="13">
        <v>125</v>
      </c>
      <c r="O43" s="13">
        <f>M43*N43</f>
        <v>125</v>
      </c>
      <c r="P43" s="13">
        <v>78.819999999999993</v>
      </c>
      <c r="Q43" s="13">
        <f>P43*20%</f>
        <v>15.763999999999999</v>
      </c>
      <c r="R43" s="13">
        <f>O43-P43</f>
        <v>46.180000000000007</v>
      </c>
      <c r="S43" s="1" t="s">
        <v>71</v>
      </c>
      <c r="T43" s="1" t="s">
        <v>72</v>
      </c>
      <c r="U43" s="1"/>
      <c r="V43" s="1" t="s">
        <v>73</v>
      </c>
      <c r="W43" s="1" t="s">
        <v>74</v>
      </c>
      <c r="X43" s="1" t="s">
        <v>204</v>
      </c>
      <c r="Y43" s="1" t="s">
        <v>205</v>
      </c>
      <c r="Z43" s="1" t="s">
        <v>77</v>
      </c>
      <c r="AA43" s="1" t="s">
        <v>78</v>
      </c>
      <c r="AB43" s="1" t="s">
        <v>79</v>
      </c>
      <c r="AC43" s="1"/>
      <c r="AD43" s="1" t="s">
        <v>206</v>
      </c>
      <c r="AE43" s="1" t="s">
        <v>227</v>
      </c>
      <c r="AF43" s="1" t="s">
        <v>82</v>
      </c>
      <c r="AG43" s="1" t="s">
        <v>218</v>
      </c>
      <c r="AH43" s="1" t="s">
        <v>84</v>
      </c>
    </row>
    <row r="44" spans="1:34">
      <c r="A44" s="1" t="s">
        <v>387</v>
      </c>
      <c r="B44" s="1" t="s">
        <v>388</v>
      </c>
      <c r="C44" s="1" t="s">
        <v>389</v>
      </c>
      <c r="D44" s="1" t="s">
        <v>64</v>
      </c>
      <c r="E44" s="1" t="s">
        <v>65</v>
      </c>
      <c r="F44" s="1" t="s">
        <v>232</v>
      </c>
      <c r="G44" s="1" t="s">
        <v>222</v>
      </c>
      <c r="H44" s="1" t="s">
        <v>234</v>
      </c>
      <c r="I44" s="1" t="s">
        <v>235</v>
      </c>
      <c r="J44" s="1" t="s">
        <v>236</v>
      </c>
      <c r="K44" s="1" t="s">
        <v>237</v>
      </c>
      <c r="L44" s="1"/>
      <c r="M44" s="1">
        <v>1</v>
      </c>
      <c r="N44" s="13">
        <v>185</v>
      </c>
      <c r="O44" s="13">
        <f>M44*N44</f>
        <v>185</v>
      </c>
      <c r="P44" s="13">
        <v>115.64</v>
      </c>
      <c r="Q44" s="13">
        <f>P44*20%</f>
        <v>23.128</v>
      </c>
      <c r="R44" s="13">
        <f>O44-P44</f>
        <v>69.36</v>
      </c>
      <c r="S44" s="1" t="s">
        <v>71</v>
      </c>
      <c r="T44" s="1" t="s">
        <v>72</v>
      </c>
      <c r="U44" s="1"/>
      <c r="V44" s="1" t="s">
        <v>73</v>
      </c>
      <c r="W44" s="1" t="s">
        <v>74</v>
      </c>
      <c r="X44" s="1" t="s">
        <v>238</v>
      </c>
      <c r="Y44" s="1" t="s">
        <v>239</v>
      </c>
      <c r="Z44" s="1" t="s">
        <v>77</v>
      </c>
      <c r="AA44" s="1" t="s">
        <v>78</v>
      </c>
      <c r="AB44" s="1" t="s">
        <v>79</v>
      </c>
      <c r="AC44" s="1"/>
      <c r="AD44" s="1" t="s">
        <v>206</v>
      </c>
      <c r="AE44" s="1" t="s">
        <v>240</v>
      </c>
      <c r="AF44" s="1" t="s">
        <v>82</v>
      </c>
      <c r="AG44" s="1" t="s">
        <v>228</v>
      </c>
      <c r="AH44" s="1" t="s">
        <v>84</v>
      </c>
    </row>
    <row r="45" spans="1:34">
      <c r="A45" s="1" t="s">
        <v>390</v>
      </c>
      <c r="B45" s="1" t="s">
        <v>391</v>
      </c>
      <c r="C45" s="1" t="s">
        <v>392</v>
      </c>
      <c r="D45" s="1" t="s">
        <v>64</v>
      </c>
      <c r="E45" s="1" t="s">
        <v>65</v>
      </c>
      <c r="F45" s="1" t="s">
        <v>232</v>
      </c>
      <c r="G45" s="1" t="s">
        <v>233</v>
      </c>
      <c r="H45" s="1" t="s">
        <v>246</v>
      </c>
      <c r="I45" s="1" t="s">
        <v>247</v>
      </c>
      <c r="J45" s="1" t="s">
        <v>236</v>
      </c>
      <c r="K45" s="1" t="s">
        <v>248</v>
      </c>
      <c r="L45" s="1"/>
      <c r="M45" s="1">
        <v>1</v>
      </c>
      <c r="N45" s="13">
        <v>410</v>
      </c>
      <c r="O45" s="13">
        <f>M45*N45</f>
        <v>410</v>
      </c>
      <c r="P45" s="13">
        <v>180.98</v>
      </c>
      <c r="Q45" s="13">
        <f>P45*20%</f>
        <v>36.195999999999998</v>
      </c>
      <c r="R45" s="13">
        <f>O45-P45</f>
        <v>229.02</v>
      </c>
      <c r="S45" s="1" t="s">
        <v>71</v>
      </c>
      <c r="T45" s="1" t="s">
        <v>72</v>
      </c>
      <c r="U45" s="1"/>
      <c r="V45" s="1" t="s">
        <v>73</v>
      </c>
      <c r="W45" s="1" t="s">
        <v>74</v>
      </c>
      <c r="X45" s="1" t="s">
        <v>238</v>
      </c>
      <c r="Y45" s="1" t="s">
        <v>239</v>
      </c>
      <c r="Z45" s="1" t="s">
        <v>77</v>
      </c>
      <c r="AA45" s="1" t="s">
        <v>78</v>
      </c>
      <c r="AB45" s="1" t="s">
        <v>79</v>
      </c>
      <c r="AC45" s="1"/>
      <c r="AD45" s="1" t="s">
        <v>206</v>
      </c>
      <c r="AE45" s="1" t="s">
        <v>249</v>
      </c>
      <c r="AF45" s="1" t="s">
        <v>82</v>
      </c>
      <c r="AG45" s="1" t="s">
        <v>241</v>
      </c>
      <c r="AH45" s="1" t="s">
        <v>84</v>
      </c>
    </row>
    <row r="46" spans="1:34">
      <c r="A46" s="1" t="s">
        <v>393</v>
      </c>
      <c r="B46" s="1" t="s">
        <v>394</v>
      </c>
      <c r="C46" s="1" t="s">
        <v>395</v>
      </c>
      <c r="D46" s="1" t="s">
        <v>64</v>
      </c>
      <c r="E46" s="1" t="s">
        <v>65</v>
      </c>
      <c r="F46" s="1" t="s">
        <v>254</v>
      </c>
      <c r="G46" s="1" t="s">
        <v>245</v>
      </c>
      <c r="H46" s="1" t="s">
        <v>256</v>
      </c>
      <c r="I46" s="1" t="s">
        <v>257</v>
      </c>
      <c r="J46" s="1" t="s">
        <v>258</v>
      </c>
      <c r="K46" s="1" t="s">
        <v>259</v>
      </c>
      <c r="L46" s="1"/>
      <c r="M46" s="1">
        <v>1</v>
      </c>
      <c r="N46" s="13">
        <v>190</v>
      </c>
      <c r="O46" s="13">
        <f>M46*N46</f>
        <v>190</v>
      </c>
      <c r="P46" s="13">
        <v>115.99</v>
      </c>
      <c r="Q46" s="13">
        <f>P46*20%</f>
        <v>23.198</v>
      </c>
      <c r="R46" s="13">
        <f>O46-P46</f>
        <v>74.010000000000005</v>
      </c>
      <c r="S46" s="1" t="s">
        <v>71</v>
      </c>
      <c r="T46" s="1" t="s">
        <v>72</v>
      </c>
      <c r="U46" s="1"/>
      <c r="V46" s="1" t="s">
        <v>73</v>
      </c>
      <c r="W46" s="1" t="s">
        <v>74</v>
      </c>
      <c r="X46" s="1" t="s">
        <v>254</v>
      </c>
      <c r="Y46" s="1" t="s">
        <v>260</v>
      </c>
      <c r="Z46" s="1" t="s">
        <v>77</v>
      </c>
      <c r="AA46" s="1" t="s">
        <v>78</v>
      </c>
      <c r="AB46" s="1" t="s">
        <v>79</v>
      </c>
      <c r="AC46" s="1"/>
      <c r="AD46" s="1" t="s">
        <v>206</v>
      </c>
      <c r="AE46" s="1" t="s">
        <v>261</v>
      </c>
      <c r="AF46" s="1" t="s">
        <v>82</v>
      </c>
      <c r="AG46" s="1" t="s">
        <v>250</v>
      </c>
      <c r="AH46" s="1" t="s">
        <v>84</v>
      </c>
    </row>
    <row r="47" spans="1:34">
      <c r="A47" s="1" t="s">
        <v>396</v>
      </c>
      <c r="B47" s="1" t="s">
        <v>397</v>
      </c>
      <c r="C47" s="1" t="s">
        <v>398</v>
      </c>
      <c r="D47" s="1" t="s">
        <v>64</v>
      </c>
      <c r="E47" s="1" t="s">
        <v>65</v>
      </c>
      <c r="F47" s="1" t="s">
        <v>266</v>
      </c>
      <c r="G47" s="1" t="s">
        <v>255</v>
      </c>
      <c r="H47" s="1" t="s">
        <v>268</v>
      </c>
      <c r="I47" s="1" t="s">
        <v>269</v>
      </c>
      <c r="J47" s="1" t="s">
        <v>270</v>
      </c>
      <c r="K47" s="1" t="s">
        <v>271</v>
      </c>
      <c r="L47" s="1"/>
      <c r="M47" s="1">
        <v>1</v>
      </c>
      <c r="N47" s="13">
        <v>245</v>
      </c>
      <c r="O47" s="13">
        <f>M47*N47</f>
        <v>245</v>
      </c>
      <c r="P47" s="13">
        <v>142.16</v>
      </c>
      <c r="Q47" s="13">
        <f>P47*20%</f>
        <v>28.432000000000002</v>
      </c>
      <c r="R47" s="13">
        <f>O47-P47</f>
        <v>102.84</v>
      </c>
      <c r="S47" s="1" t="s">
        <v>71</v>
      </c>
      <c r="T47" s="1" t="s">
        <v>72</v>
      </c>
      <c r="U47" s="1"/>
      <c r="V47" s="1" t="s">
        <v>73</v>
      </c>
      <c r="W47" s="1" t="s">
        <v>74</v>
      </c>
      <c r="X47" s="1" t="s">
        <v>266</v>
      </c>
      <c r="Y47" s="1" t="s">
        <v>272</v>
      </c>
      <c r="Z47" s="1" t="s">
        <v>77</v>
      </c>
      <c r="AA47" s="1" t="s">
        <v>78</v>
      </c>
      <c r="AB47" s="1" t="s">
        <v>79</v>
      </c>
      <c r="AC47" s="1"/>
      <c r="AD47" s="1" t="s">
        <v>206</v>
      </c>
      <c r="AE47" s="1" t="s">
        <v>273</v>
      </c>
      <c r="AF47" s="1" t="s">
        <v>82</v>
      </c>
      <c r="AG47" s="1" t="s">
        <v>262</v>
      </c>
      <c r="AH47" s="1" t="s">
        <v>84</v>
      </c>
    </row>
    <row r="48" spans="1:34">
      <c r="A48" s="1" t="s">
        <v>399</v>
      </c>
      <c r="B48" s="1" t="s">
        <v>400</v>
      </c>
      <c r="C48" s="1" t="s">
        <v>401</v>
      </c>
      <c r="D48" s="1" t="s">
        <v>64</v>
      </c>
      <c r="E48" s="1" t="s">
        <v>65</v>
      </c>
      <c r="F48" s="1" t="s">
        <v>278</v>
      </c>
      <c r="G48" s="1" t="s">
        <v>267</v>
      </c>
      <c r="H48" s="1" t="s">
        <v>280</v>
      </c>
      <c r="I48" s="1" t="s">
        <v>281</v>
      </c>
      <c r="J48" s="1" t="s">
        <v>282</v>
      </c>
      <c r="K48" s="1" t="s">
        <v>283</v>
      </c>
      <c r="L48" s="1"/>
      <c r="M48" s="1">
        <v>1</v>
      </c>
      <c r="N48" s="13">
        <v>710</v>
      </c>
      <c r="O48" s="13">
        <f>M48*N48</f>
        <v>710</v>
      </c>
      <c r="P48" s="13">
        <v>350.34</v>
      </c>
      <c r="Q48" s="13">
        <f>P48*20%</f>
        <v>70.067999999999998</v>
      </c>
      <c r="R48" s="13">
        <f>O48-P48</f>
        <v>359.66</v>
      </c>
      <c r="S48" s="1" t="s">
        <v>71</v>
      </c>
      <c r="T48" s="1" t="s">
        <v>72</v>
      </c>
      <c r="U48" s="1" t="s">
        <v>402</v>
      </c>
      <c r="V48" s="1" t="s">
        <v>73</v>
      </c>
      <c r="W48" s="1" t="s">
        <v>74</v>
      </c>
      <c r="X48" s="1" t="s">
        <v>285</v>
      </c>
      <c r="Y48" s="1" t="s">
        <v>286</v>
      </c>
      <c r="Z48" s="1" t="s">
        <v>77</v>
      </c>
      <c r="AA48" s="1" t="s">
        <v>78</v>
      </c>
      <c r="AB48" s="1" t="s">
        <v>79</v>
      </c>
      <c r="AC48" s="1"/>
      <c r="AD48" s="1" t="s">
        <v>287</v>
      </c>
      <c r="AE48" s="1" t="s">
        <v>288</v>
      </c>
      <c r="AF48" s="1" t="s">
        <v>82</v>
      </c>
      <c r="AG48" s="1" t="s">
        <v>274</v>
      </c>
      <c r="AH48" s="1" t="s">
        <v>84</v>
      </c>
    </row>
    <row r="49" spans="1:34">
      <c r="A49" s="1" t="s">
        <v>403</v>
      </c>
      <c r="B49" s="1" t="s">
        <v>404</v>
      </c>
      <c r="C49" s="1" t="s">
        <v>405</v>
      </c>
      <c r="D49" s="1" t="s">
        <v>64</v>
      </c>
      <c r="E49" s="1" t="s">
        <v>65</v>
      </c>
      <c r="F49" s="1" t="s">
        <v>278</v>
      </c>
      <c r="G49" s="1" t="s">
        <v>279</v>
      </c>
      <c r="H49" s="1" t="s">
        <v>294</v>
      </c>
      <c r="I49" s="1" t="s">
        <v>295</v>
      </c>
      <c r="J49" s="1" t="s">
        <v>282</v>
      </c>
      <c r="K49" s="1" t="s">
        <v>296</v>
      </c>
      <c r="L49" s="1"/>
      <c r="M49" s="1">
        <v>6</v>
      </c>
      <c r="N49" s="13">
        <v>305</v>
      </c>
      <c r="O49" s="13">
        <f>M49*N49</f>
        <v>1830</v>
      </c>
      <c r="P49" s="13">
        <v>976.92</v>
      </c>
      <c r="Q49" s="13">
        <f>P49*20%</f>
        <v>195.38400000000001</v>
      </c>
      <c r="R49" s="13">
        <f>O49-P49</f>
        <v>853.08</v>
      </c>
      <c r="S49" s="1" t="s">
        <v>71</v>
      </c>
      <c r="T49" s="1" t="s">
        <v>72</v>
      </c>
      <c r="U49" s="1"/>
      <c r="V49" s="1" t="s">
        <v>73</v>
      </c>
      <c r="W49" s="1" t="s">
        <v>74</v>
      </c>
      <c r="X49" s="1" t="s">
        <v>285</v>
      </c>
      <c r="Y49" s="1" t="s">
        <v>286</v>
      </c>
      <c r="Z49" s="1" t="s">
        <v>77</v>
      </c>
      <c r="AA49" s="1" t="s">
        <v>78</v>
      </c>
      <c r="AB49" s="1" t="s">
        <v>79</v>
      </c>
      <c r="AC49" s="1"/>
      <c r="AD49" s="1" t="s">
        <v>297</v>
      </c>
      <c r="AE49" s="1" t="s">
        <v>298</v>
      </c>
      <c r="AF49" s="1" t="s">
        <v>82</v>
      </c>
      <c r="AG49" s="1" t="s">
        <v>289</v>
      </c>
      <c r="AH49" s="1" t="s">
        <v>84</v>
      </c>
    </row>
    <row r="50" spans="1:34">
      <c r="A50" s="1" t="s">
        <v>406</v>
      </c>
      <c r="B50" s="1" t="s">
        <v>407</v>
      </c>
      <c r="C50" s="1" t="s">
        <v>408</v>
      </c>
      <c r="D50" s="1" t="s">
        <v>64</v>
      </c>
      <c r="E50" s="1" t="s">
        <v>65</v>
      </c>
      <c r="F50" s="1" t="s">
        <v>303</v>
      </c>
      <c r="G50" s="1" t="s">
        <v>293</v>
      </c>
      <c r="H50" s="1" t="s">
        <v>305</v>
      </c>
      <c r="I50" s="1" t="s">
        <v>306</v>
      </c>
      <c r="J50" s="1" t="s">
        <v>307</v>
      </c>
      <c r="K50" s="1" t="s">
        <v>308</v>
      </c>
      <c r="L50" s="1"/>
      <c r="M50" s="1">
        <v>1</v>
      </c>
      <c r="N50" s="13">
        <v>725</v>
      </c>
      <c r="O50" s="13">
        <f>M50*N50</f>
        <v>725</v>
      </c>
      <c r="P50" s="13">
        <v>519.72</v>
      </c>
      <c r="Q50" s="13">
        <f>P50*20%</f>
        <v>103.94400000000002</v>
      </c>
      <c r="R50" s="13">
        <f>O50-P50</f>
        <v>205.27999999999997</v>
      </c>
      <c r="S50" s="1" t="s">
        <v>71</v>
      </c>
      <c r="T50" s="1" t="s">
        <v>72</v>
      </c>
      <c r="U50" s="1" t="s">
        <v>409</v>
      </c>
      <c r="V50" s="1" t="s">
        <v>73</v>
      </c>
      <c r="W50" s="1" t="s">
        <v>74</v>
      </c>
      <c r="X50" s="1" t="s">
        <v>285</v>
      </c>
      <c r="Y50" s="1" t="s">
        <v>286</v>
      </c>
      <c r="Z50" s="1" t="s">
        <v>77</v>
      </c>
      <c r="AA50" s="1" t="s">
        <v>78</v>
      </c>
      <c r="AB50" s="1" t="s">
        <v>322</v>
      </c>
      <c r="AC50" s="1" t="s">
        <v>410</v>
      </c>
      <c r="AD50" s="1" t="s">
        <v>287</v>
      </c>
      <c r="AE50" s="1" t="s">
        <v>310</v>
      </c>
      <c r="AF50" s="1" t="s">
        <v>82</v>
      </c>
      <c r="AG50" s="1" t="s">
        <v>299</v>
      </c>
      <c r="AH50" s="1" t="s">
        <v>84</v>
      </c>
    </row>
    <row r="51" spans="1:34">
      <c r="A51" s="1" t="s">
        <v>411</v>
      </c>
      <c r="B51" s="1" t="s">
        <v>412</v>
      </c>
      <c r="C51" s="1" t="s">
        <v>413</v>
      </c>
      <c r="D51" s="1" t="s">
        <v>64</v>
      </c>
      <c r="E51" s="1" t="s">
        <v>65</v>
      </c>
      <c r="F51" s="1" t="s">
        <v>315</v>
      </c>
      <c r="G51" s="1" t="s">
        <v>304</v>
      </c>
      <c r="H51" s="1" t="s">
        <v>317</v>
      </c>
      <c r="I51" s="1" t="s">
        <v>318</v>
      </c>
      <c r="J51" s="1" t="s">
        <v>319</v>
      </c>
      <c r="K51" s="1" t="s">
        <v>320</v>
      </c>
      <c r="L51" s="1"/>
      <c r="M51" s="1">
        <v>1</v>
      </c>
      <c r="N51" s="13">
        <v>325</v>
      </c>
      <c r="O51" s="13">
        <f>M51*N51</f>
        <v>325</v>
      </c>
      <c r="P51" s="13">
        <v>198.9</v>
      </c>
      <c r="Q51" s="13">
        <f>P51*20%</f>
        <v>39.78</v>
      </c>
      <c r="R51" s="13">
        <f>O51-P51</f>
        <v>126.1</v>
      </c>
      <c r="S51" s="1" t="s">
        <v>71</v>
      </c>
      <c r="T51" s="1" t="s">
        <v>72</v>
      </c>
      <c r="U51" s="1"/>
      <c r="V51" s="1" t="s">
        <v>73</v>
      </c>
      <c r="W51" s="1" t="s">
        <v>74</v>
      </c>
      <c r="X51" s="1" t="s">
        <v>321</v>
      </c>
      <c r="Y51" s="1" t="s">
        <v>286</v>
      </c>
      <c r="Z51" s="1" t="s">
        <v>77</v>
      </c>
      <c r="AA51" s="1" t="s">
        <v>78</v>
      </c>
      <c r="AB51" s="1" t="s">
        <v>79</v>
      </c>
      <c r="AC51" s="1"/>
      <c r="AD51" s="1" t="s">
        <v>80</v>
      </c>
      <c r="AE51" s="1" t="s">
        <v>324</v>
      </c>
      <c r="AF51" s="1" t="s">
        <v>82</v>
      </c>
      <c r="AG51" s="1" t="s">
        <v>311</v>
      </c>
      <c r="AH51" s="1" t="s">
        <v>84</v>
      </c>
    </row>
    <row r="52" spans="1:34">
      <c r="A52" s="1" t="s">
        <v>414</v>
      </c>
      <c r="B52" s="1" t="s">
        <v>415</v>
      </c>
      <c r="C52" s="1" t="s">
        <v>416</v>
      </c>
      <c r="D52" s="1" t="s">
        <v>64</v>
      </c>
      <c r="E52" s="1" t="s">
        <v>65</v>
      </c>
      <c r="F52" s="1" t="s">
        <v>329</v>
      </c>
      <c r="G52" s="1" t="s">
        <v>316</v>
      </c>
      <c r="H52" s="1" t="s">
        <v>331</v>
      </c>
      <c r="I52" s="1" t="s">
        <v>332</v>
      </c>
      <c r="J52" s="1" t="s">
        <v>333</v>
      </c>
      <c r="K52" s="1" t="s">
        <v>334</v>
      </c>
      <c r="L52" s="1"/>
      <c r="M52" s="1">
        <v>1</v>
      </c>
      <c r="N52" s="13">
        <v>1600</v>
      </c>
      <c r="O52" s="13">
        <f>M52*N52</f>
        <v>1600</v>
      </c>
      <c r="P52" s="13">
        <v>939.34</v>
      </c>
      <c r="Q52" s="13">
        <f>P52*20%</f>
        <v>187.86800000000002</v>
      </c>
      <c r="R52" s="13">
        <f>O52-P52</f>
        <v>660.66</v>
      </c>
      <c r="S52" s="1" t="s">
        <v>71</v>
      </c>
      <c r="T52" s="1" t="s">
        <v>72</v>
      </c>
      <c r="U52" s="1"/>
      <c r="V52" s="1" t="s">
        <v>73</v>
      </c>
      <c r="W52" s="1" t="s">
        <v>74</v>
      </c>
      <c r="X52" s="1" t="s">
        <v>329</v>
      </c>
      <c r="Y52" s="1" t="s">
        <v>272</v>
      </c>
      <c r="Z52" s="1" t="s">
        <v>77</v>
      </c>
      <c r="AA52" s="1" t="s">
        <v>78</v>
      </c>
      <c r="AB52" s="1" t="s">
        <v>79</v>
      </c>
      <c r="AC52" s="1"/>
      <c r="AD52" s="1" t="s">
        <v>206</v>
      </c>
      <c r="AE52" s="1" t="s">
        <v>335</v>
      </c>
      <c r="AF52" s="1" t="s">
        <v>82</v>
      </c>
      <c r="AG52" s="1" t="s">
        <v>325</v>
      </c>
      <c r="AH52" s="1" t="s">
        <v>84</v>
      </c>
    </row>
    <row r="53" spans="1:34">
      <c r="A53" s="1" t="s">
        <v>417</v>
      </c>
      <c r="B53" s="1" t="s">
        <v>418</v>
      </c>
      <c r="C53" s="1" t="s">
        <v>419</v>
      </c>
      <c r="D53" s="1" t="s">
        <v>64</v>
      </c>
      <c r="E53" s="1" t="s">
        <v>65</v>
      </c>
      <c r="F53" s="1" t="s">
        <v>66</v>
      </c>
      <c r="G53" s="1" t="s">
        <v>330</v>
      </c>
      <c r="H53" s="1" t="s">
        <v>68</v>
      </c>
      <c r="I53" s="1" t="s">
        <v>69</v>
      </c>
      <c r="J53" s="1" t="s">
        <v>70</v>
      </c>
      <c r="K53" s="1"/>
      <c r="L53" s="1"/>
      <c r="M53" s="1">
        <v>3</v>
      </c>
      <c r="N53" s="13">
        <v>3500</v>
      </c>
      <c r="O53" s="13">
        <f>M53*N53</f>
        <v>10500</v>
      </c>
      <c r="P53" s="13">
        <v>7064.98</v>
      </c>
      <c r="Q53" s="13">
        <f>P53*20%</f>
        <v>1412.9960000000001</v>
      </c>
      <c r="R53" s="13">
        <f>O53-P53</f>
        <v>3435.0200000000004</v>
      </c>
      <c r="S53" s="1" t="s">
        <v>71</v>
      </c>
      <c r="T53" s="1" t="s">
        <v>72</v>
      </c>
      <c r="U53" s="1"/>
      <c r="V53" s="1" t="s">
        <v>73</v>
      </c>
      <c r="W53" s="1" t="s">
        <v>74</v>
      </c>
      <c r="X53" s="1" t="s">
        <v>75</v>
      </c>
      <c r="Y53" s="1" t="s">
        <v>76</v>
      </c>
      <c r="Z53" s="1" t="s">
        <v>77</v>
      </c>
      <c r="AA53" s="1" t="s">
        <v>78</v>
      </c>
      <c r="AB53" s="1" t="s">
        <v>79</v>
      </c>
      <c r="AC53" s="1"/>
      <c r="AD53" s="1" t="s">
        <v>80</v>
      </c>
      <c r="AE53" s="1" t="s">
        <v>81</v>
      </c>
      <c r="AF53" s="1" t="s">
        <v>82</v>
      </c>
      <c r="AG53" s="1" t="s">
        <v>336</v>
      </c>
      <c r="AH53" s="1" t="s">
        <v>84</v>
      </c>
    </row>
    <row r="54" spans="1:34">
      <c r="A54" s="1" t="s">
        <v>420</v>
      </c>
      <c r="B54" s="1" t="s">
        <v>421</v>
      </c>
      <c r="C54" s="1" t="s">
        <v>422</v>
      </c>
      <c r="D54" s="1" t="s">
        <v>64</v>
      </c>
      <c r="E54" s="1" t="s">
        <v>65</v>
      </c>
      <c r="F54" s="1" t="s">
        <v>66</v>
      </c>
      <c r="G54" s="1" t="s">
        <v>340</v>
      </c>
      <c r="H54" s="1" t="s">
        <v>89</v>
      </c>
      <c r="I54" s="1" t="s">
        <v>90</v>
      </c>
      <c r="J54" s="1" t="s">
        <v>91</v>
      </c>
      <c r="K54" s="1"/>
      <c r="L54" s="1"/>
      <c r="M54" s="1">
        <v>1</v>
      </c>
      <c r="N54" s="13">
        <v>4600</v>
      </c>
      <c r="O54" s="13">
        <f>M54*N54</f>
        <v>4600</v>
      </c>
      <c r="P54" s="13">
        <v>2248.09</v>
      </c>
      <c r="Q54" s="13">
        <f>P54*20%</f>
        <v>449.61800000000005</v>
      </c>
      <c r="R54" s="13">
        <f>O54-P54</f>
        <v>2351.91</v>
      </c>
      <c r="S54" s="1" t="s">
        <v>71</v>
      </c>
      <c r="T54" s="1" t="s">
        <v>72</v>
      </c>
      <c r="U54" s="1"/>
      <c r="V54" s="1" t="s">
        <v>73</v>
      </c>
      <c r="W54" s="1" t="s">
        <v>74</v>
      </c>
      <c r="X54" s="1" t="s">
        <v>75</v>
      </c>
      <c r="Y54" s="1" t="s">
        <v>76</v>
      </c>
      <c r="Z54" s="1" t="s">
        <v>77</v>
      </c>
      <c r="AA54" s="1" t="s">
        <v>78</v>
      </c>
      <c r="AB54" s="1" t="s">
        <v>79</v>
      </c>
      <c r="AC54" s="1"/>
      <c r="AD54" s="1" t="s">
        <v>80</v>
      </c>
      <c r="AE54" s="1" t="s">
        <v>81</v>
      </c>
      <c r="AF54" s="1" t="s">
        <v>82</v>
      </c>
      <c r="AG54" s="1" t="s">
        <v>341</v>
      </c>
      <c r="AH54" s="1" t="s">
        <v>84</v>
      </c>
    </row>
    <row r="55" spans="1:34">
      <c r="A55" s="1" t="s">
        <v>423</v>
      </c>
      <c r="B55" s="1" t="s">
        <v>424</v>
      </c>
      <c r="C55" s="1" t="s">
        <v>425</v>
      </c>
      <c r="D55" s="1" t="s">
        <v>64</v>
      </c>
      <c r="E55" s="1" t="s">
        <v>65</v>
      </c>
      <c r="F55" s="1" t="s">
        <v>96</v>
      </c>
      <c r="G55" s="1" t="s">
        <v>67</v>
      </c>
      <c r="H55" s="1" t="s">
        <v>98</v>
      </c>
      <c r="I55" s="1" t="s">
        <v>99</v>
      </c>
      <c r="J55" s="1" t="s">
        <v>100</v>
      </c>
      <c r="K55" s="1"/>
      <c r="L55" s="1"/>
      <c r="M55" s="1">
        <v>1</v>
      </c>
      <c r="N55" s="13">
        <v>8200</v>
      </c>
      <c r="O55" s="13">
        <f>M55*N55</f>
        <v>8200</v>
      </c>
      <c r="P55" s="13">
        <v>5424.41</v>
      </c>
      <c r="Q55" s="13">
        <f>P55*20%</f>
        <v>1084.8820000000001</v>
      </c>
      <c r="R55" s="13">
        <f>O55-P55</f>
        <v>2775.59</v>
      </c>
      <c r="S55" s="1" t="s">
        <v>71</v>
      </c>
      <c r="T55" s="1" t="s">
        <v>72</v>
      </c>
      <c r="U55" s="1"/>
      <c r="V55" s="1" t="s">
        <v>73</v>
      </c>
      <c r="W55" s="1" t="s">
        <v>74</v>
      </c>
      <c r="X55" s="1" t="s">
        <v>75</v>
      </c>
      <c r="Y55" s="1" t="s">
        <v>76</v>
      </c>
      <c r="Z55" s="1" t="s">
        <v>77</v>
      </c>
      <c r="AA55" s="1" t="s">
        <v>78</v>
      </c>
      <c r="AB55" s="1" t="s">
        <v>79</v>
      </c>
      <c r="AC55" s="1"/>
      <c r="AD55" s="1" t="s">
        <v>80</v>
      </c>
      <c r="AE55" s="1" t="s">
        <v>101</v>
      </c>
      <c r="AF55" s="1" t="s">
        <v>82</v>
      </c>
      <c r="AG55" s="1" t="s">
        <v>83</v>
      </c>
      <c r="AH55" s="1" t="s">
        <v>84</v>
      </c>
    </row>
    <row r="56" spans="1:34">
      <c r="A56" s="1" t="s">
        <v>426</v>
      </c>
      <c r="B56" s="1" t="s">
        <v>427</v>
      </c>
      <c r="C56" s="1" t="s">
        <v>428</v>
      </c>
      <c r="D56" s="1" t="s">
        <v>64</v>
      </c>
      <c r="E56" s="1" t="s">
        <v>65</v>
      </c>
      <c r="F56" s="1" t="s">
        <v>106</v>
      </c>
      <c r="G56" s="1" t="s">
        <v>88</v>
      </c>
      <c r="H56" s="1" t="s">
        <v>108</v>
      </c>
      <c r="I56" s="1" t="s">
        <v>109</v>
      </c>
      <c r="J56" s="1" t="s">
        <v>110</v>
      </c>
      <c r="K56" s="1"/>
      <c r="L56" s="1"/>
      <c r="M56" s="1">
        <v>4</v>
      </c>
      <c r="N56" s="13">
        <v>10250</v>
      </c>
      <c r="O56" s="13">
        <f>M56*N56</f>
        <v>41000</v>
      </c>
      <c r="P56" s="13">
        <v>20513.21</v>
      </c>
      <c r="Q56" s="13">
        <f>P56*20%</f>
        <v>4102.6419999999998</v>
      </c>
      <c r="R56" s="13">
        <f>O56-P56</f>
        <v>20486.79</v>
      </c>
      <c r="S56" s="1" t="s">
        <v>71</v>
      </c>
      <c r="T56" s="1" t="s">
        <v>72</v>
      </c>
      <c r="U56" s="1"/>
      <c r="V56" s="1" t="s">
        <v>73</v>
      </c>
      <c r="W56" s="1" t="s">
        <v>74</v>
      </c>
      <c r="X56" s="1" t="s">
        <v>111</v>
      </c>
      <c r="Y56" s="1" t="s">
        <v>112</v>
      </c>
      <c r="Z56" s="1" t="s">
        <v>77</v>
      </c>
      <c r="AA56" s="1" t="s">
        <v>78</v>
      </c>
      <c r="AB56" s="1" t="s">
        <v>79</v>
      </c>
      <c r="AC56" s="1"/>
      <c r="AD56" s="1" t="s">
        <v>113</v>
      </c>
      <c r="AE56" s="1" t="s">
        <v>81</v>
      </c>
      <c r="AF56" s="1" t="s">
        <v>82</v>
      </c>
      <c r="AG56" s="1" t="s">
        <v>92</v>
      </c>
      <c r="AH56" s="1" t="s">
        <v>84</v>
      </c>
    </row>
    <row r="57" spans="1:34">
      <c r="A57" s="1" t="s">
        <v>429</v>
      </c>
      <c r="B57" s="1" t="s">
        <v>430</v>
      </c>
      <c r="C57" s="1" t="s">
        <v>431</v>
      </c>
      <c r="D57" s="1" t="s">
        <v>64</v>
      </c>
      <c r="E57" s="1" t="s">
        <v>65</v>
      </c>
      <c r="F57" s="1" t="s">
        <v>106</v>
      </c>
      <c r="G57" s="1" t="s">
        <v>97</v>
      </c>
      <c r="H57" s="1" t="s">
        <v>119</v>
      </c>
      <c r="I57" s="1" t="s">
        <v>120</v>
      </c>
      <c r="J57" s="1" t="s">
        <v>110</v>
      </c>
      <c r="K57" s="1"/>
      <c r="L57" s="1"/>
      <c r="M57" s="1">
        <v>3</v>
      </c>
      <c r="N57" s="13">
        <v>1280</v>
      </c>
      <c r="O57" s="13">
        <f>M57*N57</f>
        <v>3840</v>
      </c>
      <c r="P57" s="13">
        <v>2664.73</v>
      </c>
      <c r="Q57" s="13">
        <f>P57*20%</f>
        <v>532.94600000000003</v>
      </c>
      <c r="R57" s="13">
        <f>O57-P57</f>
        <v>1175.27</v>
      </c>
      <c r="S57" s="1" t="s">
        <v>71</v>
      </c>
      <c r="T57" s="1" t="s">
        <v>72</v>
      </c>
      <c r="U57" s="1"/>
      <c r="V57" s="1" t="s">
        <v>73</v>
      </c>
      <c r="W57" s="1" t="s">
        <v>74</v>
      </c>
      <c r="X57" s="1" t="s">
        <v>111</v>
      </c>
      <c r="Y57" s="1" t="s">
        <v>112</v>
      </c>
      <c r="Z57" s="1" t="s">
        <v>77</v>
      </c>
      <c r="AA57" s="1" t="s">
        <v>78</v>
      </c>
      <c r="AB57" s="1" t="s">
        <v>79</v>
      </c>
      <c r="AC57" s="1"/>
      <c r="AD57" s="1" t="s">
        <v>113</v>
      </c>
      <c r="AE57" s="1" t="s">
        <v>81</v>
      </c>
      <c r="AF57" s="1" t="s">
        <v>82</v>
      </c>
      <c r="AG57" s="1" t="s">
        <v>102</v>
      </c>
      <c r="AH57" s="1" t="s">
        <v>84</v>
      </c>
    </row>
    <row r="58" spans="1:34">
      <c r="A58" s="1" t="s">
        <v>432</v>
      </c>
      <c r="B58" s="1" t="s">
        <v>433</v>
      </c>
      <c r="C58" s="1" t="s">
        <v>434</v>
      </c>
      <c r="D58" s="1" t="s">
        <v>64</v>
      </c>
      <c r="E58" s="1" t="s">
        <v>65</v>
      </c>
      <c r="F58" s="1" t="s">
        <v>125</v>
      </c>
      <c r="G58" s="1" t="s">
        <v>107</v>
      </c>
      <c r="H58" s="1" t="s">
        <v>127</v>
      </c>
      <c r="I58" s="1" t="s">
        <v>128</v>
      </c>
      <c r="J58" s="1" t="s">
        <v>129</v>
      </c>
      <c r="K58" s="1"/>
      <c r="L58" s="1"/>
      <c r="M58" s="1">
        <v>1</v>
      </c>
      <c r="N58" s="13">
        <v>2100</v>
      </c>
      <c r="O58" s="13">
        <f>M58*N58</f>
        <v>2100</v>
      </c>
      <c r="P58" s="13">
        <v>1239.32</v>
      </c>
      <c r="Q58" s="13">
        <f>P58*20%</f>
        <v>247.864</v>
      </c>
      <c r="R58" s="13">
        <f>O58-P58</f>
        <v>860.68000000000006</v>
      </c>
      <c r="S58" s="1" t="s">
        <v>71</v>
      </c>
      <c r="T58" s="1" t="s">
        <v>72</v>
      </c>
      <c r="U58" s="1"/>
      <c r="V58" s="1" t="s">
        <v>73</v>
      </c>
      <c r="W58" s="1" t="s">
        <v>74</v>
      </c>
      <c r="X58" s="1" t="s">
        <v>111</v>
      </c>
      <c r="Y58" s="1" t="s">
        <v>130</v>
      </c>
      <c r="Z58" s="1" t="s">
        <v>77</v>
      </c>
      <c r="AA58" s="1" t="s">
        <v>78</v>
      </c>
      <c r="AB58" s="1" t="s">
        <v>79</v>
      </c>
      <c r="AC58" s="1"/>
      <c r="AD58" s="1" t="s">
        <v>80</v>
      </c>
      <c r="AE58" s="1" t="s">
        <v>131</v>
      </c>
      <c r="AF58" s="1" t="s">
        <v>82</v>
      </c>
      <c r="AG58" s="1" t="s">
        <v>114</v>
      </c>
      <c r="AH58" s="1" t="s">
        <v>84</v>
      </c>
    </row>
    <row r="59" spans="1:34">
      <c r="A59" s="1" t="s">
        <v>435</v>
      </c>
      <c r="B59" s="1" t="s">
        <v>436</v>
      </c>
      <c r="C59" s="1" t="s">
        <v>437</v>
      </c>
      <c r="D59" s="1" t="s">
        <v>64</v>
      </c>
      <c r="E59" s="1" t="s">
        <v>65</v>
      </c>
      <c r="F59" s="1" t="s">
        <v>136</v>
      </c>
      <c r="G59" s="1" t="s">
        <v>118</v>
      </c>
      <c r="H59" s="1" t="s">
        <v>138</v>
      </c>
      <c r="I59" s="1" t="s">
        <v>139</v>
      </c>
      <c r="J59" s="1" t="s">
        <v>140</v>
      </c>
      <c r="K59" s="1"/>
      <c r="L59" s="1"/>
      <c r="M59" s="1">
        <v>1</v>
      </c>
      <c r="N59" s="13">
        <v>4200</v>
      </c>
      <c r="O59" s="13">
        <f>M59*N59</f>
        <v>4200</v>
      </c>
      <c r="P59" s="13">
        <v>2668.57</v>
      </c>
      <c r="Q59" s="13">
        <f>P59*20%</f>
        <v>533.71400000000006</v>
      </c>
      <c r="R59" s="13">
        <f>O59-P59</f>
        <v>1531.4299999999998</v>
      </c>
      <c r="S59" s="1" t="s">
        <v>71</v>
      </c>
      <c r="T59" s="1" t="s">
        <v>72</v>
      </c>
      <c r="U59" s="1"/>
      <c r="V59" s="1" t="s">
        <v>73</v>
      </c>
      <c r="W59" s="1" t="s">
        <v>74</v>
      </c>
      <c r="X59" s="1" t="s">
        <v>141</v>
      </c>
      <c r="Y59" s="1" t="s">
        <v>142</v>
      </c>
      <c r="Z59" s="1" t="s">
        <v>77</v>
      </c>
      <c r="AA59" s="1" t="s">
        <v>78</v>
      </c>
      <c r="AB59" s="1" t="s">
        <v>79</v>
      </c>
      <c r="AC59" s="1"/>
      <c r="AD59" s="1" t="s">
        <v>143</v>
      </c>
      <c r="AE59" s="1" t="s">
        <v>131</v>
      </c>
      <c r="AF59" s="1" t="s">
        <v>82</v>
      </c>
      <c r="AG59" s="1" t="s">
        <v>121</v>
      </c>
      <c r="AH59" s="1" t="s">
        <v>84</v>
      </c>
    </row>
    <row r="60" spans="1:34">
      <c r="A60" s="1" t="s">
        <v>438</v>
      </c>
      <c r="B60" s="1" t="s">
        <v>439</v>
      </c>
      <c r="C60" s="1" t="s">
        <v>440</v>
      </c>
      <c r="D60" s="1" t="s">
        <v>64</v>
      </c>
      <c r="E60" s="1" t="s">
        <v>65</v>
      </c>
      <c r="F60" s="1" t="s">
        <v>148</v>
      </c>
      <c r="G60" s="1" t="s">
        <v>126</v>
      </c>
      <c r="H60" s="1" t="s">
        <v>150</v>
      </c>
      <c r="I60" s="1" t="s">
        <v>151</v>
      </c>
      <c r="J60" s="1" t="s">
        <v>152</v>
      </c>
      <c r="K60" s="1"/>
      <c r="L60" s="1"/>
      <c r="M60" s="1">
        <v>1</v>
      </c>
      <c r="N60" s="13">
        <v>20500</v>
      </c>
      <c r="O60" s="13">
        <f>M60*N60</f>
        <v>20500</v>
      </c>
      <c r="P60" s="13">
        <v>9917.65</v>
      </c>
      <c r="Q60" s="13">
        <f>P60*20%</f>
        <v>1983.53</v>
      </c>
      <c r="R60" s="13">
        <f>O60-P60</f>
        <v>10582.35</v>
      </c>
      <c r="S60" s="1" t="s">
        <v>71</v>
      </c>
      <c r="T60" s="1" t="s">
        <v>72</v>
      </c>
      <c r="U60" s="1"/>
      <c r="V60" s="1" t="s">
        <v>73</v>
      </c>
      <c r="W60" s="1" t="s">
        <v>74</v>
      </c>
      <c r="X60" s="1" t="s">
        <v>141</v>
      </c>
      <c r="Y60" s="1" t="s">
        <v>153</v>
      </c>
      <c r="Z60" s="1" t="s">
        <v>77</v>
      </c>
      <c r="AA60" s="1" t="s">
        <v>78</v>
      </c>
      <c r="AB60" s="1" t="s">
        <v>79</v>
      </c>
      <c r="AC60" s="1"/>
      <c r="AD60" s="1" t="s">
        <v>143</v>
      </c>
      <c r="AE60" s="1" t="s">
        <v>81</v>
      </c>
      <c r="AF60" s="1" t="s">
        <v>82</v>
      </c>
      <c r="AG60" s="1" t="s">
        <v>132</v>
      </c>
      <c r="AH60" s="1" t="s">
        <v>84</v>
      </c>
    </row>
    <row r="61" spans="1:34">
      <c r="A61" s="1" t="s">
        <v>441</v>
      </c>
      <c r="B61" s="1" t="s">
        <v>442</v>
      </c>
      <c r="C61" s="1" t="s">
        <v>443</v>
      </c>
      <c r="D61" s="1" t="s">
        <v>64</v>
      </c>
      <c r="E61" s="1" t="s">
        <v>65</v>
      </c>
      <c r="F61" s="1" t="s">
        <v>148</v>
      </c>
      <c r="G61" s="1" t="s">
        <v>137</v>
      </c>
      <c r="H61" s="1" t="s">
        <v>159</v>
      </c>
      <c r="I61" s="1" t="s">
        <v>160</v>
      </c>
      <c r="J61" s="1" t="s">
        <v>152</v>
      </c>
      <c r="K61" s="1" t="s">
        <v>161</v>
      </c>
      <c r="L61" s="1"/>
      <c r="M61" s="1">
        <v>1</v>
      </c>
      <c r="N61" s="13">
        <v>950</v>
      </c>
      <c r="O61" s="13">
        <f>M61*N61</f>
        <v>950</v>
      </c>
      <c r="P61" s="13">
        <v>541.28</v>
      </c>
      <c r="Q61" s="13">
        <f>P61*20%</f>
        <v>108.256</v>
      </c>
      <c r="R61" s="13">
        <f>O61-P61</f>
        <v>408.72</v>
      </c>
      <c r="S61" s="1" t="s">
        <v>71</v>
      </c>
      <c r="T61" s="1" t="s">
        <v>72</v>
      </c>
      <c r="U61" s="1"/>
      <c r="V61" s="1" t="s">
        <v>73</v>
      </c>
      <c r="W61" s="1" t="s">
        <v>74</v>
      </c>
      <c r="X61" s="1" t="s">
        <v>141</v>
      </c>
      <c r="Y61" s="1" t="s">
        <v>153</v>
      </c>
      <c r="Z61" s="1" t="s">
        <v>77</v>
      </c>
      <c r="AA61" s="1" t="s">
        <v>78</v>
      </c>
      <c r="AB61" s="1" t="s">
        <v>79</v>
      </c>
      <c r="AC61" s="1"/>
      <c r="AD61" s="1" t="s">
        <v>143</v>
      </c>
      <c r="AE61" s="1" t="s">
        <v>81</v>
      </c>
      <c r="AF61" s="1" t="s">
        <v>82</v>
      </c>
      <c r="AG61" s="1" t="s">
        <v>144</v>
      </c>
      <c r="AH61" s="1" t="s">
        <v>84</v>
      </c>
    </row>
    <row r="62" spans="1:34">
      <c r="A62" s="1" t="s">
        <v>444</v>
      </c>
      <c r="B62" s="1" t="s">
        <v>445</v>
      </c>
      <c r="C62" s="1" t="s">
        <v>446</v>
      </c>
      <c r="D62" s="1" t="s">
        <v>64</v>
      </c>
      <c r="E62" s="1" t="s">
        <v>65</v>
      </c>
      <c r="F62" s="1" t="s">
        <v>166</v>
      </c>
      <c r="G62" s="1" t="s">
        <v>149</v>
      </c>
      <c r="H62" s="1" t="s">
        <v>168</v>
      </c>
      <c r="I62" s="1" t="s">
        <v>169</v>
      </c>
      <c r="J62" s="1" t="s">
        <v>170</v>
      </c>
      <c r="K62" s="1" t="s">
        <v>171</v>
      </c>
      <c r="L62" s="1"/>
      <c r="M62" s="1">
        <v>3</v>
      </c>
      <c r="N62" s="13">
        <v>500</v>
      </c>
      <c r="O62" s="13">
        <f>M62*N62</f>
        <v>1500</v>
      </c>
      <c r="P62" s="13">
        <v>836.48</v>
      </c>
      <c r="Q62" s="13">
        <f>P62*20%</f>
        <v>167.29600000000002</v>
      </c>
      <c r="R62" s="13">
        <f>O62-P62</f>
        <v>663.52</v>
      </c>
      <c r="S62" s="1" t="s">
        <v>71</v>
      </c>
      <c r="T62" s="1" t="s">
        <v>72</v>
      </c>
      <c r="U62" s="1"/>
      <c r="V62" s="1" t="s">
        <v>73</v>
      </c>
      <c r="W62" s="1" t="s">
        <v>74</v>
      </c>
      <c r="X62" s="1" t="s">
        <v>172</v>
      </c>
      <c r="Y62" s="1" t="s">
        <v>173</v>
      </c>
      <c r="Z62" s="1" t="s">
        <v>354</v>
      </c>
      <c r="AA62" s="1" t="s">
        <v>355</v>
      </c>
      <c r="AB62" s="1" t="s">
        <v>322</v>
      </c>
      <c r="AC62" s="1" t="s">
        <v>447</v>
      </c>
      <c r="AD62" s="1" t="s">
        <v>174</v>
      </c>
      <c r="AE62" s="1" t="s">
        <v>175</v>
      </c>
      <c r="AF62" s="1" t="s">
        <v>82</v>
      </c>
      <c r="AG62" s="1" t="s">
        <v>154</v>
      </c>
      <c r="AH62" s="1" t="s">
        <v>84</v>
      </c>
    </row>
    <row r="63" spans="1:34">
      <c r="A63" s="1" t="s">
        <v>448</v>
      </c>
      <c r="B63" s="1" t="s">
        <v>449</v>
      </c>
      <c r="C63" s="1" t="s">
        <v>450</v>
      </c>
      <c r="D63" s="1" t="s">
        <v>64</v>
      </c>
      <c r="E63" s="1" t="s">
        <v>65</v>
      </c>
      <c r="F63" s="1" t="s">
        <v>166</v>
      </c>
      <c r="G63" s="1" t="s">
        <v>158</v>
      </c>
      <c r="H63" s="1" t="s">
        <v>181</v>
      </c>
      <c r="I63" s="1" t="s">
        <v>182</v>
      </c>
      <c r="J63" s="1" t="s">
        <v>170</v>
      </c>
      <c r="K63" s="1" t="s">
        <v>183</v>
      </c>
      <c r="L63" s="1"/>
      <c r="M63" s="1">
        <v>2</v>
      </c>
      <c r="N63" s="13">
        <v>680</v>
      </c>
      <c r="O63" s="13">
        <f>M63*N63</f>
        <v>1360</v>
      </c>
      <c r="P63" s="13">
        <v>628.16999999999996</v>
      </c>
      <c r="Q63" s="13">
        <f>P63*20%</f>
        <v>125.634</v>
      </c>
      <c r="R63" s="13">
        <f>O63-P63</f>
        <v>731.83</v>
      </c>
      <c r="S63" s="1" t="s">
        <v>71</v>
      </c>
      <c r="T63" s="1" t="s">
        <v>72</v>
      </c>
      <c r="U63" s="1"/>
      <c r="V63" s="1" t="s">
        <v>73</v>
      </c>
      <c r="W63" s="1" t="s">
        <v>74</v>
      </c>
      <c r="X63" s="1" t="s">
        <v>172</v>
      </c>
      <c r="Y63" s="1" t="s">
        <v>173</v>
      </c>
      <c r="Z63" s="1" t="s">
        <v>77</v>
      </c>
      <c r="AA63" s="1" t="s">
        <v>78</v>
      </c>
      <c r="AB63" s="1" t="s">
        <v>79</v>
      </c>
      <c r="AC63" s="1"/>
      <c r="AD63" s="1" t="s">
        <v>174</v>
      </c>
      <c r="AE63" s="1" t="s">
        <v>175</v>
      </c>
      <c r="AF63" s="1" t="s">
        <v>82</v>
      </c>
      <c r="AG63" s="1" t="s">
        <v>162</v>
      </c>
      <c r="AH63" s="1" t="s">
        <v>84</v>
      </c>
    </row>
    <row r="64" spans="1:34">
      <c r="A64" s="1" t="s">
        <v>451</v>
      </c>
      <c r="B64" s="1" t="s">
        <v>452</v>
      </c>
      <c r="C64" s="1" t="s">
        <v>453</v>
      </c>
      <c r="D64" s="1" t="s">
        <v>64</v>
      </c>
      <c r="E64" s="1" t="s">
        <v>65</v>
      </c>
      <c r="F64" s="1" t="s">
        <v>166</v>
      </c>
      <c r="G64" s="1" t="s">
        <v>167</v>
      </c>
      <c r="H64" s="1" t="s">
        <v>189</v>
      </c>
      <c r="I64" s="1" t="s">
        <v>190</v>
      </c>
      <c r="J64" s="1" t="s">
        <v>191</v>
      </c>
      <c r="K64" s="1" t="s">
        <v>192</v>
      </c>
      <c r="L64" s="1"/>
      <c r="M64" s="1">
        <v>3</v>
      </c>
      <c r="N64" s="13">
        <v>90</v>
      </c>
      <c r="O64" s="13">
        <f>M64*N64</f>
        <v>270</v>
      </c>
      <c r="P64" s="13">
        <v>158.87</v>
      </c>
      <c r="Q64" s="13">
        <f>P64*20%</f>
        <v>31.774000000000001</v>
      </c>
      <c r="R64" s="13">
        <f>O64-P64</f>
        <v>111.13</v>
      </c>
      <c r="S64" s="1" t="s">
        <v>71</v>
      </c>
      <c r="T64" s="1" t="s">
        <v>72</v>
      </c>
      <c r="U64" s="1"/>
      <c r="V64" s="1" t="s">
        <v>73</v>
      </c>
      <c r="W64" s="1" t="s">
        <v>74</v>
      </c>
      <c r="X64" s="1" t="s">
        <v>172</v>
      </c>
      <c r="Y64" s="1" t="s">
        <v>173</v>
      </c>
      <c r="Z64" s="1" t="s">
        <v>77</v>
      </c>
      <c r="AA64" s="1" t="s">
        <v>78</v>
      </c>
      <c r="AB64" s="1" t="s">
        <v>79</v>
      </c>
      <c r="AC64" s="1"/>
      <c r="AD64" s="1" t="s">
        <v>80</v>
      </c>
      <c r="AE64" s="1" t="s">
        <v>193</v>
      </c>
      <c r="AF64" s="1" t="s">
        <v>82</v>
      </c>
      <c r="AG64" s="1" t="s">
        <v>176</v>
      </c>
      <c r="AH64" s="1" t="s">
        <v>84</v>
      </c>
    </row>
    <row r="65" spans="1:34">
      <c r="A65" s="1" t="s">
        <v>454</v>
      </c>
      <c r="B65" s="1" t="s">
        <v>455</v>
      </c>
      <c r="C65" s="1" t="s">
        <v>456</v>
      </c>
      <c r="D65" s="1" t="s">
        <v>64</v>
      </c>
      <c r="E65" s="1" t="s">
        <v>65</v>
      </c>
      <c r="F65" s="1" t="s">
        <v>198</v>
      </c>
      <c r="G65" s="1" t="s">
        <v>180</v>
      </c>
      <c r="H65" s="1" t="s">
        <v>200</v>
      </c>
      <c r="I65" s="1" t="s">
        <v>201</v>
      </c>
      <c r="J65" s="1" t="s">
        <v>202</v>
      </c>
      <c r="K65" s="1" t="s">
        <v>203</v>
      </c>
      <c r="L65" s="1"/>
      <c r="M65" s="1">
        <v>1</v>
      </c>
      <c r="N65" s="13">
        <v>155</v>
      </c>
      <c r="O65" s="13">
        <f>M65*N65</f>
        <v>155</v>
      </c>
      <c r="P65" s="13">
        <v>77.319999999999993</v>
      </c>
      <c r="Q65" s="13">
        <f>P65*20%</f>
        <v>15.463999999999999</v>
      </c>
      <c r="R65" s="13">
        <f>O65-P65</f>
        <v>77.680000000000007</v>
      </c>
      <c r="S65" s="1" t="s">
        <v>71</v>
      </c>
      <c r="T65" s="1" t="s">
        <v>72</v>
      </c>
      <c r="U65" s="1"/>
      <c r="V65" s="1" t="s">
        <v>73</v>
      </c>
      <c r="W65" s="1" t="s">
        <v>74</v>
      </c>
      <c r="X65" s="1" t="s">
        <v>204</v>
      </c>
      <c r="Y65" s="1" t="s">
        <v>205</v>
      </c>
      <c r="Z65" s="1" t="s">
        <v>77</v>
      </c>
      <c r="AA65" s="1" t="s">
        <v>78</v>
      </c>
      <c r="AB65" s="1" t="s">
        <v>79</v>
      </c>
      <c r="AC65" s="1"/>
      <c r="AD65" s="1" t="s">
        <v>206</v>
      </c>
      <c r="AE65" s="1" t="s">
        <v>207</v>
      </c>
      <c r="AF65" s="1" t="s">
        <v>82</v>
      </c>
      <c r="AG65" s="1" t="s">
        <v>184</v>
      </c>
      <c r="AH65" s="1" t="s">
        <v>84</v>
      </c>
    </row>
    <row r="66" spans="1:34">
      <c r="A66" s="1" t="s">
        <v>457</v>
      </c>
      <c r="B66" s="1" t="s">
        <v>458</v>
      </c>
      <c r="C66" s="1" t="s">
        <v>459</v>
      </c>
      <c r="D66" s="1" t="s">
        <v>64</v>
      </c>
      <c r="E66" s="1" t="s">
        <v>65</v>
      </c>
      <c r="F66" s="1" t="s">
        <v>198</v>
      </c>
      <c r="G66" s="1" t="s">
        <v>188</v>
      </c>
      <c r="H66" s="1" t="s">
        <v>213</v>
      </c>
      <c r="I66" s="1" t="s">
        <v>214</v>
      </c>
      <c r="J66" s="1" t="s">
        <v>215</v>
      </c>
      <c r="K66" s="1" t="s">
        <v>216</v>
      </c>
      <c r="L66" s="1"/>
      <c r="M66" s="1">
        <v>1</v>
      </c>
      <c r="N66" s="13">
        <v>245</v>
      </c>
      <c r="O66" s="13">
        <f>M66*N66</f>
        <v>245</v>
      </c>
      <c r="P66" s="13">
        <v>145.87</v>
      </c>
      <c r="Q66" s="13">
        <f>P66*20%</f>
        <v>29.174000000000003</v>
      </c>
      <c r="R66" s="13">
        <f>O66-P66</f>
        <v>99.13</v>
      </c>
      <c r="S66" s="1" t="s">
        <v>71</v>
      </c>
      <c r="T66" s="1" t="s">
        <v>72</v>
      </c>
      <c r="U66" s="1"/>
      <c r="V66" s="1" t="s">
        <v>73</v>
      </c>
      <c r="W66" s="1" t="s">
        <v>74</v>
      </c>
      <c r="X66" s="1" t="s">
        <v>204</v>
      </c>
      <c r="Y66" s="1" t="s">
        <v>205</v>
      </c>
      <c r="Z66" s="1" t="s">
        <v>77</v>
      </c>
      <c r="AA66" s="1" t="s">
        <v>78</v>
      </c>
      <c r="AB66" s="1" t="s">
        <v>79</v>
      </c>
      <c r="AC66" s="1"/>
      <c r="AD66" s="1" t="s">
        <v>206</v>
      </c>
      <c r="AE66" s="1" t="s">
        <v>217</v>
      </c>
      <c r="AF66" s="1" t="s">
        <v>82</v>
      </c>
      <c r="AG66" s="1" t="s">
        <v>194</v>
      </c>
      <c r="AH66" s="1" t="s">
        <v>84</v>
      </c>
    </row>
    <row r="67" spans="1:34">
      <c r="A67" s="1" t="s">
        <v>460</v>
      </c>
      <c r="B67" s="1" t="s">
        <v>461</v>
      </c>
      <c r="C67" s="1" t="s">
        <v>462</v>
      </c>
      <c r="D67" s="1" t="s">
        <v>64</v>
      </c>
      <c r="E67" s="1" t="s">
        <v>65</v>
      </c>
      <c r="F67" s="1" t="s">
        <v>198</v>
      </c>
      <c r="G67" s="1" t="s">
        <v>199</v>
      </c>
      <c r="H67" s="1" t="s">
        <v>223</v>
      </c>
      <c r="I67" s="1" t="s">
        <v>224</v>
      </c>
      <c r="J67" s="1" t="s">
        <v>225</v>
      </c>
      <c r="K67" s="1" t="s">
        <v>226</v>
      </c>
      <c r="L67" s="1"/>
      <c r="M67" s="1">
        <v>1</v>
      </c>
      <c r="N67" s="13">
        <v>125</v>
      </c>
      <c r="O67" s="13">
        <f>M67*N67</f>
        <v>125</v>
      </c>
      <c r="P67" s="13">
        <v>86.17</v>
      </c>
      <c r="Q67" s="13">
        <f>P67*20%</f>
        <v>17.234000000000002</v>
      </c>
      <c r="R67" s="13">
        <f>O67-P67</f>
        <v>38.83</v>
      </c>
      <c r="S67" s="1" t="s">
        <v>71</v>
      </c>
      <c r="T67" s="1" t="s">
        <v>72</v>
      </c>
      <c r="U67" s="1"/>
      <c r="V67" s="1" t="s">
        <v>73</v>
      </c>
      <c r="W67" s="1" t="s">
        <v>74</v>
      </c>
      <c r="X67" s="1" t="s">
        <v>204</v>
      </c>
      <c r="Y67" s="1" t="s">
        <v>205</v>
      </c>
      <c r="Z67" s="1" t="s">
        <v>77</v>
      </c>
      <c r="AA67" s="1" t="s">
        <v>78</v>
      </c>
      <c r="AB67" s="1" t="s">
        <v>79</v>
      </c>
      <c r="AC67" s="1"/>
      <c r="AD67" s="1" t="s">
        <v>206</v>
      </c>
      <c r="AE67" s="1" t="s">
        <v>227</v>
      </c>
      <c r="AF67" s="1" t="s">
        <v>82</v>
      </c>
      <c r="AG67" s="1" t="s">
        <v>208</v>
      </c>
      <c r="AH67" s="1" t="s">
        <v>84</v>
      </c>
    </row>
    <row r="68" spans="1:34">
      <c r="A68" s="1" t="s">
        <v>463</v>
      </c>
      <c r="B68" s="1" t="s">
        <v>464</v>
      </c>
      <c r="C68" s="1" t="s">
        <v>465</v>
      </c>
      <c r="D68" s="1" t="s">
        <v>64</v>
      </c>
      <c r="E68" s="1" t="s">
        <v>65</v>
      </c>
      <c r="F68" s="1" t="s">
        <v>232</v>
      </c>
      <c r="G68" s="1" t="s">
        <v>212</v>
      </c>
      <c r="H68" s="1" t="s">
        <v>234</v>
      </c>
      <c r="I68" s="1" t="s">
        <v>235</v>
      </c>
      <c r="J68" s="1" t="s">
        <v>236</v>
      </c>
      <c r="K68" s="1" t="s">
        <v>237</v>
      </c>
      <c r="L68" s="1"/>
      <c r="M68" s="1">
        <v>1</v>
      </c>
      <c r="N68" s="13">
        <v>185</v>
      </c>
      <c r="O68" s="13">
        <f>M68*N68</f>
        <v>185</v>
      </c>
      <c r="P68" s="13">
        <v>99.87</v>
      </c>
      <c r="Q68" s="13">
        <f>P68*20%</f>
        <v>19.974000000000004</v>
      </c>
      <c r="R68" s="13">
        <f>O68-P68</f>
        <v>85.13</v>
      </c>
      <c r="S68" s="1" t="s">
        <v>71</v>
      </c>
      <c r="T68" s="1" t="s">
        <v>72</v>
      </c>
      <c r="U68" s="1"/>
      <c r="V68" s="1" t="s">
        <v>73</v>
      </c>
      <c r="W68" s="1" t="s">
        <v>74</v>
      </c>
      <c r="X68" s="1" t="s">
        <v>238</v>
      </c>
      <c r="Y68" s="1" t="s">
        <v>239</v>
      </c>
      <c r="Z68" s="1" t="s">
        <v>77</v>
      </c>
      <c r="AA68" s="1" t="s">
        <v>78</v>
      </c>
      <c r="AB68" s="1" t="s">
        <v>79</v>
      </c>
      <c r="AC68" s="1"/>
      <c r="AD68" s="1" t="s">
        <v>206</v>
      </c>
      <c r="AE68" s="1" t="s">
        <v>240</v>
      </c>
      <c r="AF68" s="1" t="s">
        <v>82</v>
      </c>
      <c r="AG68" s="1" t="s">
        <v>218</v>
      </c>
      <c r="AH68" s="1" t="s">
        <v>84</v>
      </c>
    </row>
    <row r="69" spans="1:34">
      <c r="A69" s="1" t="s">
        <v>466</v>
      </c>
      <c r="B69" s="1" t="s">
        <v>467</v>
      </c>
      <c r="C69" s="1" t="s">
        <v>468</v>
      </c>
      <c r="D69" s="1" t="s">
        <v>64</v>
      </c>
      <c r="E69" s="1" t="s">
        <v>65</v>
      </c>
      <c r="F69" s="1" t="s">
        <v>232</v>
      </c>
      <c r="G69" s="1" t="s">
        <v>222</v>
      </c>
      <c r="H69" s="1" t="s">
        <v>246</v>
      </c>
      <c r="I69" s="1" t="s">
        <v>247</v>
      </c>
      <c r="J69" s="1" t="s">
        <v>236</v>
      </c>
      <c r="K69" s="1" t="s">
        <v>248</v>
      </c>
      <c r="L69" s="1"/>
      <c r="M69" s="1">
        <v>1</v>
      </c>
      <c r="N69" s="13">
        <v>410</v>
      </c>
      <c r="O69" s="13">
        <f>M69*N69</f>
        <v>410</v>
      </c>
      <c r="P69" s="13">
        <v>199.18</v>
      </c>
      <c r="Q69" s="13">
        <f>P69*20%</f>
        <v>39.836000000000006</v>
      </c>
      <c r="R69" s="13">
        <f>O69-P69</f>
        <v>210.82</v>
      </c>
      <c r="S69" s="1" t="s">
        <v>71</v>
      </c>
      <c r="T69" s="1" t="s">
        <v>72</v>
      </c>
      <c r="U69" s="1"/>
      <c r="V69" s="1" t="s">
        <v>73</v>
      </c>
      <c r="W69" s="1" t="s">
        <v>74</v>
      </c>
      <c r="X69" s="1" t="s">
        <v>238</v>
      </c>
      <c r="Y69" s="1" t="s">
        <v>239</v>
      </c>
      <c r="Z69" s="1" t="s">
        <v>77</v>
      </c>
      <c r="AA69" s="1" t="s">
        <v>78</v>
      </c>
      <c r="AB69" s="1" t="s">
        <v>79</v>
      </c>
      <c r="AC69" s="1"/>
      <c r="AD69" s="1" t="s">
        <v>206</v>
      </c>
      <c r="AE69" s="1" t="s">
        <v>249</v>
      </c>
      <c r="AF69" s="1" t="s">
        <v>82</v>
      </c>
      <c r="AG69" s="1" t="s">
        <v>228</v>
      </c>
      <c r="AH69" s="1" t="s">
        <v>84</v>
      </c>
    </row>
    <row r="70" spans="1:34">
      <c r="A70" s="1" t="s">
        <v>469</v>
      </c>
      <c r="B70" s="1" t="s">
        <v>470</v>
      </c>
      <c r="C70" s="1" t="s">
        <v>471</v>
      </c>
      <c r="D70" s="1" t="s">
        <v>64</v>
      </c>
      <c r="E70" s="1" t="s">
        <v>65</v>
      </c>
      <c r="F70" s="1" t="s">
        <v>254</v>
      </c>
      <c r="G70" s="1" t="s">
        <v>233</v>
      </c>
      <c r="H70" s="1" t="s">
        <v>256</v>
      </c>
      <c r="I70" s="1" t="s">
        <v>257</v>
      </c>
      <c r="J70" s="1" t="s">
        <v>258</v>
      </c>
      <c r="K70" s="1" t="s">
        <v>259</v>
      </c>
      <c r="L70" s="1"/>
      <c r="M70" s="1">
        <v>1</v>
      </c>
      <c r="N70" s="13">
        <v>190</v>
      </c>
      <c r="O70" s="13">
        <f>M70*N70</f>
        <v>190</v>
      </c>
      <c r="P70" s="13">
        <v>136.66</v>
      </c>
      <c r="Q70" s="13">
        <f>P70*20%</f>
        <v>27.332000000000001</v>
      </c>
      <c r="R70" s="13">
        <f>O70-P70</f>
        <v>53.34</v>
      </c>
      <c r="S70" s="1" t="s">
        <v>71</v>
      </c>
      <c r="T70" s="1" t="s">
        <v>72</v>
      </c>
      <c r="U70" s="1"/>
      <c r="V70" s="1" t="s">
        <v>73</v>
      </c>
      <c r="W70" s="1" t="s">
        <v>74</v>
      </c>
      <c r="X70" s="1" t="s">
        <v>254</v>
      </c>
      <c r="Y70" s="1" t="s">
        <v>260</v>
      </c>
      <c r="Z70" s="1" t="s">
        <v>77</v>
      </c>
      <c r="AA70" s="1" t="s">
        <v>78</v>
      </c>
      <c r="AB70" s="1" t="s">
        <v>79</v>
      </c>
      <c r="AC70" s="1"/>
      <c r="AD70" s="1" t="s">
        <v>206</v>
      </c>
      <c r="AE70" s="1" t="s">
        <v>261</v>
      </c>
      <c r="AF70" s="1" t="s">
        <v>82</v>
      </c>
      <c r="AG70" s="1" t="s">
        <v>241</v>
      </c>
      <c r="AH70" s="1" t="s">
        <v>84</v>
      </c>
    </row>
    <row r="71" spans="1:34">
      <c r="A71" s="1" t="s">
        <v>472</v>
      </c>
      <c r="B71" s="1" t="s">
        <v>473</v>
      </c>
      <c r="C71" s="1" t="s">
        <v>474</v>
      </c>
      <c r="D71" s="1" t="s">
        <v>64</v>
      </c>
      <c r="E71" s="1" t="s">
        <v>65</v>
      </c>
      <c r="F71" s="1" t="s">
        <v>266</v>
      </c>
      <c r="G71" s="1" t="s">
        <v>245</v>
      </c>
      <c r="H71" s="1" t="s">
        <v>268</v>
      </c>
      <c r="I71" s="1" t="s">
        <v>269</v>
      </c>
      <c r="J71" s="1" t="s">
        <v>270</v>
      </c>
      <c r="K71" s="1" t="s">
        <v>271</v>
      </c>
      <c r="L71" s="1"/>
      <c r="M71" s="1">
        <v>1</v>
      </c>
      <c r="N71" s="13">
        <v>245</v>
      </c>
      <c r="O71" s="13">
        <f>M71*N71</f>
        <v>245</v>
      </c>
      <c r="P71" s="13">
        <v>140.35</v>
      </c>
      <c r="Q71" s="13">
        <f>P71*20%</f>
        <v>28.07</v>
      </c>
      <c r="R71" s="13">
        <f>O71-P71</f>
        <v>104.65</v>
      </c>
      <c r="S71" s="1" t="s">
        <v>71</v>
      </c>
      <c r="T71" s="1" t="s">
        <v>72</v>
      </c>
      <c r="U71" s="1"/>
      <c r="V71" s="1" t="s">
        <v>73</v>
      </c>
      <c r="W71" s="1" t="s">
        <v>74</v>
      </c>
      <c r="X71" s="1" t="s">
        <v>266</v>
      </c>
      <c r="Y71" s="1" t="s">
        <v>272</v>
      </c>
      <c r="Z71" s="1" t="s">
        <v>77</v>
      </c>
      <c r="AA71" s="1" t="s">
        <v>78</v>
      </c>
      <c r="AB71" s="1" t="s">
        <v>79</v>
      </c>
      <c r="AC71" s="1"/>
      <c r="AD71" s="1" t="s">
        <v>206</v>
      </c>
      <c r="AE71" s="1" t="s">
        <v>273</v>
      </c>
      <c r="AF71" s="1" t="s">
        <v>82</v>
      </c>
      <c r="AG71" s="1" t="s">
        <v>250</v>
      </c>
      <c r="AH71" s="1" t="s">
        <v>84</v>
      </c>
    </row>
    <row r="72" spans="1:34">
      <c r="A72" s="1" t="s">
        <v>475</v>
      </c>
      <c r="B72" s="1" t="s">
        <v>476</v>
      </c>
      <c r="C72" s="1" t="s">
        <v>477</v>
      </c>
      <c r="D72" s="1" t="s">
        <v>64</v>
      </c>
      <c r="E72" s="1" t="s">
        <v>65</v>
      </c>
      <c r="F72" s="1" t="s">
        <v>278</v>
      </c>
      <c r="G72" s="1" t="s">
        <v>255</v>
      </c>
      <c r="H72" s="1" t="s">
        <v>280</v>
      </c>
      <c r="I72" s="1" t="s">
        <v>281</v>
      </c>
      <c r="J72" s="1" t="s">
        <v>282</v>
      </c>
      <c r="K72" s="1" t="s">
        <v>283</v>
      </c>
      <c r="L72" s="1"/>
      <c r="M72" s="1">
        <v>1</v>
      </c>
      <c r="N72" s="13">
        <v>710</v>
      </c>
      <c r="O72" s="13">
        <f>M72*N72</f>
        <v>710</v>
      </c>
      <c r="P72" s="13">
        <v>317.56</v>
      </c>
      <c r="Q72" s="13">
        <f>P72*20%</f>
        <v>63.512</v>
      </c>
      <c r="R72" s="13">
        <f>O72-P72</f>
        <v>392.44</v>
      </c>
      <c r="S72" s="1" t="s">
        <v>71</v>
      </c>
      <c r="T72" s="1" t="s">
        <v>72</v>
      </c>
      <c r="U72" s="1" t="s">
        <v>478</v>
      </c>
      <c r="V72" s="1" t="s">
        <v>73</v>
      </c>
      <c r="W72" s="1" t="s">
        <v>74</v>
      </c>
      <c r="X72" s="1" t="s">
        <v>285</v>
      </c>
      <c r="Y72" s="1" t="s">
        <v>286</v>
      </c>
      <c r="Z72" s="1" t="s">
        <v>77</v>
      </c>
      <c r="AA72" s="1" t="s">
        <v>78</v>
      </c>
      <c r="AB72" s="1" t="s">
        <v>79</v>
      </c>
      <c r="AC72" s="1"/>
      <c r="AD72" s="1" t="s">
        <v>287</v>
      </c>
      <c r="AE72" s="1" t="s">
        <v>288</v>
      </c>
      <c r="AF72" s="1" t="s">
        <v>82</v>
      </c>
      <c r="AG72" s="1" t="s">
        <v>262</v>
      </c>
      <c r="AH72" s="1" t="s">
        <v>84</v>
      </c>
    </row>
    <row r="73" spans="1:34">
      <c r="A73" s="1" t="s">
        <v>479</v>
      </c>
      <c r="B73" s="1" t="s">
        <v>480</v>
      </c>
      <c r="C73" s="1" t="s">
        <v>481</v>
      </c>
      <c r="D73" s="1" t="s">
        <v>64</v>
      </c>
      <c r="E73" s="1" t="s">
        <v>65</v>
      </c>
      <c r="F73" s="1" t="s">
        <v>278</v>
      </c>
      <c r="G73" s="1" t="s">
        <v>267</v>
      </c>
      <c r="H73" s="1" t="s">
        <v>294</v>
      </c>
      <c r="I73" s="1" t="s">
        <v>295</v>
      </c>
      <c r="J73" s="1" t="s">
        <v>282</v>
      </c>
      <c r="K73" s="1" t="s">
        <v>296</v>
      </c>
      <c r="L73" s="1"/>
      <c r="M73" s="1">
        <v>2</v>
      </c>
      <c r="N73" s="13">
        <v>305</v>
      </c>
      <c r="O73" s="13">
        <f>M73*N73</f>
        <v>610</v>
      </c>
      <c r="P73" s="13">
        <v>413.78</v>
      </c>
      <c r="Q73" s="13">
        <f>P73*20%</f>
        <v>82.756</v>
      </c>
      <c r="R73" s="13">
        <f>O73-P73</f>
        <v>196.22000000000003</v>
      </c>
      <c r="S73" s="1" t="s">
        <v>71</v>
      </c>
      <c r="T73" s="1" t="s">
        <v>72</v>
      </c>
      <c r="U73" s="1"/>
      <c r="V73" s="1" t="s">
        <v>73</v>
      </c>
      <c r="W73" s="1" t="s">
        <v>74</v>
      </c>
      <c r="X73" s="1" t="s">
        <v>285</v>
      </c>
      <c r="Y73" s="1" t="s">
        <v>286</v>
      </c>
      <c r="Z73" s="1" t="s">
        <v>77</v>
      </c>
      <c r="AA73" s="1" t="s">
        <v>78</v>
      </c>
      <c r="AB73" s="1" t="s">
        <v>322</v>
      </c>
      <c r="AC73" s="1" t="s">
        <v>482</v>
      </c>
      <c r="AD73" s="1" t="s">
        <v>297</v>
      </c>
      <c r="AE73" s="1" t="s">
        <v>298</v>
      </c>
      <c r="AF73" s="1" t="s">
        <v>82</v>
      </c>
      <c r="AG73" s="1" t="s">
        <v>274</v>
      </c>
      <c r="AH73" s="1" t="s">
        <v>84</v>
      </c>
    </row>
    <row r="74" spans="1:34">
      <c r="A74" s="1" t="s">
        <v>483</v>
      </c>
      <c r="B74" s="1" t="s">
        <v>484</v>
      </c>
      <c r="C74" s="1" t="s">
        <v>485</v>
      </c>
      <c r="D74" s="1" t="s">
        <v>64</v>
      </c>
      <c r="E74" s="1" t="s">
        <v>65</v>
      </c>
      <c r="F74" s="1" t="s">
        <v>303</v>
      </c>
      <c r="G74" s="1" t="s">
        <v>279</v>
      </c>
      <c r="H74" s="1" t="s">
        <v>305</v>
      </c>
      <c r="I74" s="1" t="s">
        <v>306</v>
      </c>
      <c r="J74" s="1" t="s">
        <v>307</v>
      </c>
      <c r="K74" s="1" t="s">
        <v>308</v>
      </c>
      <c r="L74" s="1"/>
      <c r="M74" s="1">
        <v>1</v>
      </c>
      <c r="N74" s="13">
        <v>725</v>
      </c>
      <c r="O74" s="13">
        <f>M74*N74</f>
        <v>725</v>
      </c>
      <c r="P74" s="13">
        <v>337.74</v>
      </c>
      <c r="Q74" s="13">
        <f>P74*20%</f>
        <v>67.548000000000002</v>
      </c>
      <c r="R74" s="13">
        <f>O74-P74</f>
        <v>387.26</v>
      </c>
      <c r="S74" s="1" t="s">
        <v>71</v>
      </c>
      <c r="T74" s="1" t="s">
        <v>72</v>
      </c>
      <c r="U74" s="1" t="s">
        <v>486</v>
      </c>
      <c r="V74" s="1" t="s">
        <v>73</v>
      </c>
      <c r="W74" s="1" t="s">
        <v>74</v>
      </c>
      <c r="X74" s="1" t="s">
        <v>285</v>
      </c>
      <c r="Y74" s="1" t="s">
        <v>286</v>
      </c>
      <c r="Z74" s="1" t="s">
        <v>77</v>
      </c>
      <c r="AA74" s="1" t="s">
        <v>78</v>
      </c>
      <c r="AB74" s="1" t="s">
        <v>79</v>
      </c>
      <c r="AC74" s="1"/>
      <c r="AD74" s="1" t="s">
        <v>287</v>
      </c>
      <c r="AE74" s="1" t="s">
        <v>310</v>
      </c>
      <c r="AF74" s="1" t="s">
        <v>82</v>
      </c>
      <c r="AG74" s="1" t="s">
        <v>289</v>
      </c>
      <c r="AH74" s="1" t="s">
        <v>84</v>
      </c>
    </row>
    <row r="75" spans="1:34">
      <c r="A75" s="1" t="s">
        <v>487</v>
      </c>
      <c r="B75" s="1" t="s">
        <v>488</v>
      </c>
      <c r="C75" s="1" t="s">
        <v>489</v>
      </c>
      <c r="D75" s="1" t="s">
        <v>64</v>
      </c>
      <c r="E75" s="1" t="s">
        <v>65</v>
      </c>
      <c r="F75" s="1" t="s">
        <v>315</v>
      </c>
      <c r="G75" s="1" t="s">
        <v>293</v>
      </c>
      <c r="H75" s="1" t="s">
        <v>317</v>
      </c>
      <c r="I75" s="1" t="s">
        <v>318</v>
      </c>
      <c r="J75" s="1" t="s">
        <v>319</v>
      </c>
      <c r="K75" s="1" t="s">
        <v>320</v>
      </c>
      <c r="L75" s="1"/>
      <c r="M75" s="1">
        <v>1</v>
      </c>
      <c r="N75" s="13">
        <v>325</v>
      </c>
      <c r="O75" s="13">
        <f>M75*N75</f>
        <v>325</v>
      </c>
      <c r="P75" s="13">
        <v>152.1</v>
      </c>
      <c r="Q75" s="13">
        <f>P75*20%</f>
        <v>30.42</v>
      </c>
      <c r="R75" s="13">
        <f>O75-P75</f>
        <v>172.9</v>
      </c>
      <c r="S75" s="1" t="s">
        <v>71</v>
      </c>
      <c r="T75" s="1" t="s">
        <v>72</v>
      </c>
      <c r="U75" s="1"/>
      <c r="V75" s="1" t="s">
        <v>73</v>
      </c>
      <c r="W75" s="1" t="s">
        <v>74</v>
      </c>
      <c r="X75" s="1" t="s">
        <v>321</v>
      </c>
      <c r="Y75" s="1" t="s">
        <v>286</v>
      </c>
      <c r="Z75" s="1" t="s">
        <v>77</v>
      </c>
      <c r="AA75" s="1" t="s">
        <v>78</v>
      </c>
      <c r="AB75" s="1" t="s">
        <v>79</v>
      </c>
      <c r="AC75" s="1"/>
      <c r="AD75" s="1" t="s">
        <v>80</v>
      </c>
      <c r="AE75" s="1" t="s">
        <v>324</v>
      </c>
      <c r="AF75" s="1" t="s">
        <v>82</v>
      </c>
      <c r="AG75" s="1" t="s">
        <v>299</v>
      </c>
      <c r="AH75" s="1" t="s">
        <v>84</v>
      </c>
    </row>
    <row r="76" spans="1:34">
      <c r="A76" s="1" t="s">
        <v>490</v>
      </c>
      <c r="B76" s="1" t="s">
        <v>491</v>
      </c>
      <c r="C76" s="1" t="s">
        <v>492</v>
      </c>
      <c r="D76" s="1" t="s">
        <v>64</v>
      </c>
      <c r="E76" s="1" t="s">
        <v>65</v>
      </c>
      <c r="F76" s="1" t="s">
        <v>329</v>
      </c>
      <c r="G76" s="1" t="s">
        <v>304</v>
      </c>
      <c r="H76" s="1" t="s">
        <v>331</v>
      </c>
      <c r="I76" s="1" t="s">
        <v>332</v>
      </c>
      <c r="J76" s="1" t="s">
        <v>333</v>
      </c>
      <c r="K76" s="1" t="s">
        <v>334</v>
      </c>
      <c r="L76" s="1"/>
      <c r="M76" s="1">
        <v>1</v>
      </c>
      <c r="N76" s="13">
        <v>1600</v>
      </c>
      <c r="O76" s="13">
        <f>M76*N76</f>
        <v>1600</v>
      </c>
      <c r="P76" s="13">
        <v>998.63</v>
      </c>
      <c r="Q76" s="13">
        <f>P76*20%</f>
        <v>199.726</v>
      </c>
      <c r="R76" s="13">
        <f>O76-P76</f>
        <v>601.37</v>
      </c>
      <c r="S76" s="1" t="s">
        <v>71</v>
      </c>
      <c r="T76" s="1" t="s">
        <v>72</v>
      </c>
      <c r="U76" s="1"/>
      <c r="V76" s="1" t="s">
        <v>73</v>
      </c>
      <c r="W76" s="1" t="s">
        <v>74</v>
      </c>
      <c r="X76" s="1" t="s">
        <v>329</v>
      </c>
      <c r="Y76" s="1" t="s">
        <v>272</v>
      </c>
      <c r="Z76" s="1" t="s">
        <v>77</v>
      </c>
      <c r="AA76" s="1" t="s">
        <v>78</v>
      </c>
      <c r="AB76" s="1" t="s">
        <v>79</v>
      </c>
      <c r="AC76" s="1"/>
      <c r="AD76" s="1" t="s">
        <v>206</v>
      </c>
      <c r="AE76" s="1" t="s">
        <v>335</v>
      </c>
      <c r="AF76" s="1" t="s">
        <v>82</v>
      </c>
      <c r="AG76" s="1" t="s">
        <v>311</v>
      </c>
      <c r="AH76" s="1" t="s">
        <v>84</v>
      </c>
    </row>
    <row r="77" spans="1:34">
      <c r="A77" s="1" t="s">
        <v>493</v>
      </c>
      <c r="B77" s="1" t="s">
        <v>494</v>
      </c>
      <c r="C77" s="1" t="s">
        <v>495</v>
      </c>
      <c r="D77" s="1" t="s">
        <v>64</v>
      </c>
      <c r="E77" s="1" t="s">
        <v>65</v>
      </c>
      <c r="F77" s="1" t="s">
        <v>66</v>
      </c>
      <c r="G77" s="1" t="s">
        <v>316</v>
      </c>
      <c r="H77" s="1" t="s">
        <v>68</v>
      </c>
      <c r="I77" s="1" t="s">
        <v>69</v>
      </c>
      <c r="J77" s="1" t="s">
        <v>70</v>
      </c>
      <c r="K77" s="1"/>
      <c r="L77" s="1"/>
      <c r="M77" s="1">
        <v>1</v>
      </c>
      <c r="N77" s="13">
        <v>3500</v>
      </c>
      <c r="O77" s="13">
        <f>M77*N77</f>
        <v>3500</v>
      </c>
      <c r="P77" s="13">
        <v>1874.01</v>
      </c>
      <c r="Q77" s="13">
        <f>P77*20%</f>
        <v>374.80200000000002</v>
      </c>
      <c r="R77" s="13">
        <f>O77-P77</f>
        <v>1625.99</v>
      </c>
      <c r="S77" s="1" t="s">
        <v>71</v>
      </c>
      <c r="T77" s="1" t="s">
        <v>72</v>
      </c>
      <c r="U77" s="1"/>
      <c r="V77" s="1" t="s">
        <v>73</v>
      </c>
      <c r="W77" s="1" t="s">
        <v>74</v>
      </c>
      <c r="X77" s="1" t="s">
        <v>75</v>
      </c>
      <c r="Y77" s="1" t="s">
        <v>76</v>
      </c>
      <c r="Z77" s="1" t="s">
        <v>77</v>
      </c>
      <c r="AA77" s="1" t="s">
        <v>78</v>
      </c>
      <c r="AB77" s="1" t="s">
        <v>79</v>
      </c>
      <c r="AC77" s="1"/>
      <c r="AD77" s="1" t="s">
        <v>80</v>
      </c>
      <c r="AE77" s="1" t="s">
        <v>81</v>
      </c>
      <c r="AF77" s="1" t="s">
        <v>82</v>
      </c>
      <c r="AG77" s="1" t="s">
        <v>325</v>
      </c>
      <c r="AH77" s="1" t="s">
        <v>84</v>
      </c>
    </row>
    <row r="78" spans="1:34">
      <c r="A78" s="1" t="s">
        <v>496</v>
      </c>
      <c r="B78" s="1" t="s">
        <v>497</v>
      </c>
      <c r="C78" s="1" t="s">
        <v>498</v>
      </c>
      <c r="D78" s="1" t="s">
        <v>64</v>
      </c>
      <c r="E78" s="1" t="s">
        <v>65</v>
      </c>
      <c r="F78" s="1" t="s">
        <v>66</v>
      </c>
      <c r="G78" s="1" t="s">
        <v>330</v>
      </c>
      <c r="H78" s="1" t="s">
        <v>89</v>
      </c>
      <c r="I78" s="1" t="s">
        <v>90</v>
      </c>
      <c r="J78" s="1" t="s">
        <v>91</v>
      </c>
      <c r="K78" s="1"/>
      <c r="L78" s="1"/>
      <c r="M78" s="1">
        <v>4</v>
      </c>
      <c r="N78" s="13">
        <v>4600</v>
      </c>
      <c r="O78" s="13">
        <f>M78*N78</f>
        <v>18400</v>
      </c>
      <c r="P78" s="13">
        <v>10648.71</v>
      </c>
      <c r="Q78" s="13">
        <f>P78*20%</f>
        <v>2129.7419999999997</v>
      </c>
      <c r="R78" s="13">
        <f>O78-P78</f>
        <v>7751.2900000000009</v>
      </c>
      <c r="S78" s="1" t="s">
        <v>71</v>
      </c>
      <c r="T78" s="1" t="s">
        <v>72</v>
      </c>
      <c r="U78" s="1"/>
      <c r="V78" s="1" t="s">
        <v>73</v>
      </c>
      <c r="W78" s="1" t="s">
        <v>74</v>
      </c>
      <c r="X78" s="1" t="s">
        <v>75</v>
      </c>
      <c r="Y78" s="1" t="s">
        <v>76</v>
      </c>
      <c r="Z78" s="1" t="s">
        <v>77</v>
      </c>
      <c r="AA78" s="1" t="s">
        <v>78</v>
      </c>
      <c r="AB78" s="1" t="s">
        <v>79</v>
      </c>
      <c r="AC78" s="1"/>
      <c r="AD78" s="1" t="s">
        <v>80</v>
      </c>
      <c r="AE78" s="1" t="s">
        <v>81</v>
      </c>
      <c r="AF78" s="1" t="s">
        <v>82</v>
      </c>
      <c r="AG78" s="1" t="s">
        <v>336</v>
      </c>
      <c r="AH78" s="1" t="s">
        <v>84</v>
      </c>
    </row>
    <row r="79" spans="1:34">
      <c r="A79" s="1" t="s">
        <v>499</v>
      </c>
      <c r="B79" s="1" t="s">
        <v>500</v>
      </c>
      <c r="C79" s="1" t="s">
        <v>501</v>
      </c>
      <c r="D79" s="1" t="s">
        <v>64</v>
      </c>
      <c r="E79" s="1" t="s">
        <v>65</v>
      </c>
      <c r="F79" s="1" t="s">
        <v>96</v>
      </c>
      <c r="G79" s="1" t="s">
        <v>340</v>
      </c>
      <c r="H79" s="1" t="s">
        <v>98</v>
      </c>
      <c r="I79" s="1" t="s">
        <v>99</v>
      </c>
      <c r="J79" s="1" t="s">
        <v>100</v>
      </c>
      <c r="K79" s="1"/>
      <c r="L79" s="1"/>
      <c r="M79" s="1">
        <v>1</v>
      </c>
      <c r="N79" s="13">
        <v>8200</v>
      </c>
      <c r="O79" s="13">
        <f>M79*N79</f>
        <v>8200</v>
      </c>
      <c r="P79" s="13">
        <v>5117.5</v>
      </c>
      <c r="Q79" s="13">
        <f>P79*20%</f>
        <v>1023.5</v>
      </c>
      <c r="R79" s="13">
        <f>O79-P79</f>
        <v>3082.5</v>
      </c>
      <c r="S79" s="1" t="s">
        <v>71</v>
      </c>
      <c r="T79" s="1" t="s">
        <v>72</v>
      </c>
      <c r="U79" s="1"/>
      <c r="V79" s="1" t="s">
        <v>73</v>
      </c>
      <c r="W79" s="1" t="s">
        <v>74</v>
      </c>
      <c r="X79" s="1" t="s">
        <v>75</v>
      </c>
      <c r="Y79" s="1" t="s">
        <v>76</v>
      </c>
      <c r="Z79" s="1" t="s">
        <v>77</v>
      </c>
      <c r="AA79" s="1" t="s">
        <v>78</v>
      </c>
      <c r="AB79" s="1" t="s">
        <v>79</v>
      </c>
      <c r="AC79" s="1"/>
      <c r="AD79" s="1" t="s">
        <v>80</v>
      </c>
      <c r="AE79" s="1" t="s">
        <v>101</v>
      </c>
      <c r="AF79" s="1" t="s">
        <v>82</v>
      </c>
      <c r="AG79" s="1" t="s">
        <v>341</v>
      </c>
      <c r="AH79" s="1" t="s">
        <v>84</v>
      </c>
    </row>
    <row r="80" spans="1:34">
      <c r="A80" s="1" t="s">
        <v>502</v>
      </c>
      <c r="B80" s="1" t="s">
        <v>503</v>
      </c>
      <c r="C80" s="1" t="s">
        <v>504</v>
      </c>
      <c r="D80" s="1" t="s">
        <v>64</v>
      </c>
      <c r="E80" s="1" t="s">
        <v>65</v>
      </c>
      <c r="F80" s="1" t="s">
        <v>106</v>
      </c>
      <c r="G80" s="1" t="s">
        <v>67</v>
      </c>
      <c r="H80" s="1" t="s">
        <v>108</v>
      </c>
      <c r="I80" s="1" t="s">
        <v>109</v>
      </c>
      <c r="J80" s="1" t="s">
        <v>110</v>
      </c>
      <c r="K80" s="1"/>
      <c r="L80" s="1"/>
      <c r="M80" s="1">
        <v>1</v>
      </c>
      <c r="N80" s="13">
        <v>10250</v>
      </c>
      <c r="O80" s="13">
        <f>M80*N80</f>
        <v>10250</v>
      </c>
      <c r="P80" s="13">
        <v>6401.26</v>
      </c>
      <c r="Q80" s="13">
        <f>P80*20%</f>
        <v>1280.2520000000002</v>
      </c>
      <c r="R80" s="13">
        <f>O80-P80</f>
        <v>3848.74</v>
      </c>
      <c r="S80" s="1" t="s">
        <v>71</v>
      </c>
      <c r="T80" s="1" t="s">
        <v>72</v>
      </c>
      <c r="U80" s="1"/>
      <c r="V80" s="1" t="s">
        <v>73</v>
      </c>
      <c r="W80" s="1" t="s">
        <v>74</v>
      </c>
      <c r="X80" s="1" t="s">
        <v>111</v>
      </c>
      <c r="Y80" s="1" t="s">
        <v>112</v>
      </c>
      <c r="Z80" s="1" t="s">
        <v>77</v>
      </c>
      <c r="AA80" s="1" t="s">
        <v>78</v>
      </c>
      <c r="AB80" s="1" t="s">
        <v>79</v>
      </c>
      <c r="AC80" s="1"/>
      <c r="AD80" s="1" t="s">
        <v>113</v>
      </c>
      <c r="AE80" s="1" t="s">
        <v>81</v>
      </c>
      <c r="AF80" s="1" t="s">
        <v>82</v>
      </c>
      <c r="AG80" s="1" t="s">
        <v>83</v>
      </c>
      <c r="AH80" s="1" t="s">
        <v>84</v>
      </c>
    </row>
    <row r="81" spans="1:34">
      <c r="A81" s="1" t="s">
        <v>505</v>
      </c>
      <c r="B81" s="1" t="s">
        <v>506</v>
      </c>
      <c r="C81" s="1" t="s">
        <v>507</v>
      </c>
      <c r="D81" s="1" t="s">
        <v>64</v>
      </c>
      <c r="E81" s="1" t="s">
        <v>65</v>
      </c>
      <c r="F81" s="1" t="s">
        <v>106</v>
      </c>
      <c r="G81" s="1" t="s">
        <v>88</v>
      </c>
      <c r="H81" s="1" t="s">
        <v>119</v>
      </c>
      <c r="I81" s="1" t="s">
        <v>120</v>
      </c>
      <c r="J81" s="1" t="s">
        <v>110</v>
      </c>
      <c r="K81" s="1"/>
      <c r="L81" s="1"/>
      <c r="M81" s="1">
        <v>4</v>
      </c>
      <c r="N81" s="13">
        <v>1280</v>
      </c>
      <c r="O81" s="13">
        <f>M81*N81</f>
        <v>5120</v>
      </c>
      <c r="P81" s="13">
        <v>3330.97</v>
      </c>
      <c r="Q81" s="13">
        <f>P81*20%</f>
        <v>666.19399999999996</v>
      </c>
      <c r="R81" s="13">
        <f>O81-P81</f>
        <v>1789.0300000000002</v>
      </c>
      <c r="S81" s="1" t="s">
        <v>71</v>
      </c>
      <c r="T81" s="1" t="s">
        <v>72</v>
      </c>
      <c r="U81" s="1"/>
      <c r="V81" s="1" t="s">
        <v>73</v>
      </c>
      <c r="W81" s="1" t="s">
        <v>74</v>
      </c>
      <c r="X81" s="1" t="s">
        <v>111</v>
      </c>
      <c r="Y81" s="1" t="s">
        <v>112</v>
      </c>
      <c r="Z81" s="1" t="s">
        <v>77</v>
      </c>
      <c r="AA81" s="1" t="s">
        <v>78</v>
      </c>
      <c r="AB81" s="1" t="s">
        <v>79</v>
      </c>
      <c r="AC81" s="1"/>
      <c r="AD81" s="1" t="s">
        <v>113</v>
      </c>
      <c r="AE81" s="1" t="s">
        <v>81</v>
      </c>
      <c r="AF81" s="1" t="s">
        <v>82</v>
      </c>
      <c r="AG81" s="1" t="s">
        <v>92</v>
      </c>
      <c r="AH81" s="1" t="s">
        <v>84</v>
      </c>
    </row>
    <row r="82" spans="1:34">
      <c r="A82" s="1" t="s">
        <v>508</v>
      </c>
      <c r="B82" s="1" t="s">
        <v>509</v>
      </c>
      <c r="C82" s="1" t="s">
        <v>510</v>
      </c>
      <c r="D82" s="1" t="s">
        <v>64</v>
      </c>
      <c r="E82" s="1" t="s">
        <v>65</v>
      </c>
      <c r="F82" s="1" t="s">
        <v>125</v>
      </c>
      <c r="G82" s="1" t="s">
        <v>97</v>
      </c>
      <c r="H82" s="1" t="s">
        <v>127</v>
      </c>
      <c r="I82" s="1" t="s">
        <v>128</v>
      </c>
      <c r="J82" s="1" t="s">
        <v>129</v>
      </c>
      <c r="K82" s="1"/>
      <c r="L82" s="1"/>
      <c r="M82" s="1">
        <v>1</v>
      </c>
      <c r="N82" s="13">
        <v>2100</v>
      </c>
      <c r="O82" s="13">
        <f>M82*N82</f>
        <v>2100</v>
      </c>
      <c r="P82" s="13">
        <v>1096.31</v>
      </c>
      <c r="Q82" s="13">
        <f>P82*20%</f>
        <v>219.262</v>
      </c>
      <c r="R82" s="13">
        <f>O82-P82</f>
        <v>1003.69</v>
      </c>
      <c r="S82" s="1" t="s">
        <v>71</v>
      </c>
      <c r="T82" s="1" t="s">
        <v>72</v>
      </c>
      <c r="U82" s="1"/>
      <c r="V82" s="1" t="s">
        <v>73</v>
      </c>
      <c r="W82" s="1" t="s">
        <v>74</v>
      </c>
      <c r="X82" s="1" t="s">
        <v>111</v>
      </c>
      <c r="Y82" s="1" t="s">
        <v>130</v>
      </c>
      <c r="Z82" s="1" t="s">
        <v>77</v>
      </c>
      <c r="AA82" s="1" t="s">
        <v>78</v>
      </c>
      <c r="AB82" s="1" t="s">
        <v>79</v>
      </c>
      <c r="AC82" s="1"/>
      <c r="AD82" s="1" t="s">
        <v>80</v>
      </c>
      <c r="AE82" s="1" t="s">
        <v>131</v>
      </c>
      <c r="AF82" s="1" t="s">
        <v>82</v>
      </c>
      <c r="AG82" s="1" t="s">
        <v>102</v>
      </c>
      <c r="AH82" s="1" t="s">
        <v>84</v>
      </c>
    </row>
    <row r="83" spans="1:34">
      <c r="A83" s="1" t="s">
        <v>511</v>
      </c>
      <c r="B83" s="1" t="s">
        <v>512</v>
      </c>
      <c r="C83" s="1" t="s">
        <v>513</v>
      </c>
      <c r="D83" s="1" t="s">
        <v>64</v>
      </c>
      <c r="E83" s="1" t="s">
        <v>65</v>
      </c>
      <c r="F83" s="1" t="s">
        <v>136</v>
      </c>
      <c r="G83" s="1" t="s">
        <v>107</v>
      </c>
      <c r="H83" s="1" t="s">
        <v>138</v>
      </c>
      <c r="I83" s="1" t="s">
        <v>139</v>
      </c>
      <c r="J83" s="1" t="s">
        <v>140</v>
      </c>
      <c r="K83" s="1"/>
      <c r="L83" s="1"/>
      <c r="M83" s="1">
        <v>1</v>
      </c>
      <c r="N83" s="13">
        <v>4200</v>
      </c>
      <c r="O83" s="13">
        <f>M83*N83</f>
        <v>4200</v>
      </c>
      <c r="P83" s="13">
        <v>2133.81</v>
      </c>
      <c r="Q83" s="13">
        <f>P83*20%</f>
        <v>426.762</v>
      </c>
      <c r="R83" s="13">
        <f>O83-P83</f>
        <v>2066.19</v>
      </c>
      <c r="S83" s="1" t="s">
        <v>71</v>
      </c>
      <c r="T83" s="1" t="s">
        <v>72</v>
      </c>
      <c r="U83" s="1"/>
      <c r="V83" s="1" t="s">
        <v>73</v>
      </c>
      <c r="W83" s="1" t="s">
        <v>74</v>
      </c>
      <c r="X83" s="1" t="s">
        <v>141</v>
      </c>
      <c r="Y83" s="1" t="s">
        <v>142</v>
      </c>
      <c r="Z83" s="1" t="s">
        <v>77</v>
      </c>
      <c r="AA83" s="1" t="s">
        <v>78</v>
      </c>
      <c r="AB83" s="1" t="s">
        <v>79</v>
      </c>
      <c r="AC83" s="1"/>
      <c r="AD83" s="1" t="s">
        <v>143</v>
      </c>
      <c r="AE83" s="1" t="s">
        <v>131</v>
      </c>
      <c r="AF83" s="1" t="s">
        <v>82</v>
      </c>
      <c r="AG83" s="1" t="s">
        <v>114</v>
      </c>
      <c r="AH83" s="1" t="s">
        <v>84</v>
      </c>
    </row>
    <row r="84" spans="1:34">
      <c r="A84" s="1" t="s">
        <v>514</v>
      </c>
      <c r="B84" s="1" t="s">
        <v>515</v>
      </c>
      <c r="C84" s="1" t="s">
        <v>516</v>
      </c>
      <c r="D84" s="1" t="s">
        <v>64</v>
      </c>
      <c r="E84" s="1" t="s">
        <v>65</v>
      </c>
      <c r="F84" s="1" t="s">
        <v>148</v>
      </c>
      <c r="G84" s="1" t="s">
        <v>118</v>
      </c>
      <c r="H84" s="1" t="s">
        <v>150</v>
      </c>
      <c r="I84" s="1" t="s">
        <v>151</v>
      </c>
      <c r="J84" s="1" t="s">
        <v>152</v>
      </c>
      <c r="K84" s="1"/>
      <c r="L84" s="1"/>
      <c r="M84" s="1">
        <v>1</v>
      </c>
      <c r="N84" s="13">
        <v>20500</v>
      </c>
      <c r="O84" s="13">
        <f>M84*N84</f>
        <v>20500</v>
      </c>
      <c r="P84" s="13">
        <v>9582.67</v>
      </c>
      <c r="Q84" s="13">
        <f>P84*20%</f>
        <v>1916.5340000000001</v>
      </c>
      <c r="R84" s="13">
        <f>O84-P84</f>
        <v>10917.33</v>
      </c>
      <c r="S84" s="1" t="s">
        <v>71</v>
      </c>
      <c r="T84" s="1" t="s">
        <v>72</v>
      </c>
      <c r="U84" s="1"/>
      <c r="V84" s="1" t="s">
        <v>73</v>
      </c>
      <c r="W84" s="1" t="s">
        <v>74</v>
      </c>
      <c r="X84" s="1" t="s">
        <v>141</v>
      </c>
      <c r="Y84" s="1" t="s">
        <v>153</v>
      </c>
      <c r="Z84" s="1" t="s">
        <v>77</v>
      </c>
      <c r="AA84" s="1" t="s">
        <v>78</v>
      </c>
      <c r="AB84" s="1" t="s">
        <v>79</v>
      </c>
      <c r="AC84" s="1"/>
      <c r="AD84" s="1" t="s">
        <v>143</v>
      </c>
      <c r="AE84" s="1" t="s">
        <v>81</v>
      </c>
      <c r="AF84" s="1" t="s">
        <v>82</v>
      </c>
      <c r="AG84" s="1" t="s">
        <v>121</v>
      </c>
      <c r="AH84" s="1" t="s">
        <v>84</v>
      </c>
    </row>
    <row r="85" spans="1:34">
      <c r="A85" s="1" t="s">
        <v>517</v>
      </c>
      <c r="B85" s="1" t="s">
        <v>518</v>
      </c>
      <c r="C85" s="1" t="s">
        <v>519</v>
      </c>
      <c r="D85" s="1" t="s">
        <v>64</v>
      </c>
      <c r="E85" s="1" t="s">
        <v>65</v>
      </c>
      <c r="F85" s="1" t="s">
        <v>148</v>
      </c>
      <c r="G85" s="1" t="s">
        <v>126</v>
      </c>
      <c r="H85" s="1" t="s">
        <v>159</v>
      </c>
      <c r="I85" s="1" t="s">
        <v>160</v>
      </c>
      <c r="J85" s="1" t="s">
        <v>152</v>
      </c>
      <c r="K85" s="1" t="s">
        <v>161</v>
      </c>
      <c r="L85" s="1"/>
      <c r="M85" s="1">
        <v>1</v>
      </c>
      <c r="N85" s="13">
        <v>950</v>
      </c>
      <c r="O85" s="13">
        <f>M85*N85</f>
        <v>950</v>
      </c>
      <c r="P85" s="13">
        <v>399.92</v>
      </c>
      <c r="Q85" s="13">
        <f>P85*20%</f>
        <v>79.984000000000009</v>
      </c>
      <c r="R85" s="13">
        <f>O85-P85</f>
        <v>550.07999999999993</v>
      </c>
      <c r="S85" s="1" t="s">
        <v>71</v>
      </c>
      <c r="T85" s="1" t="s">
        <v>72</v>
      </c>
      <c r="U85" s="1"/>
      <c r="V85" s="1" t="s">
        <v>73</v>
      </c>
      <c r="W85" s="1" t="s">
        <v>74</v>
      </c>
      <c r="X85" s="1" t="s">
        <v>141</v>
      </c>
      <c r="Y85" s="1" t="s">
        <v>153</v>
      </c>
      <c r="Z85" s="1" t="s">
        <v>77</v>
      </c>
      <c r="AA85" s="1" t="s">
        <v>78</v>
      </c>
      <c r="AB85" s="1" t="s">
        <v>79</v>
      </c>
      <c r="AC85" s="1"/>
      <c r="AD85" s="1" t="s">
        <v>143</v>
      </c>
      <c r="AE85" s="1" t="s">
        <v>81</v>
      </c>
      <c r="AF85" s="1" t="s">
        <v>82</v>
      </c>
      <c r="AG85" s="1" t="s">
        <v>132</v>
      </c>
      <c r="AH85" s="1" t="s">
        <v>84</v>
      </c>
    </row>
    <row r="86" spans="1:34">
      <c r="A86" s="1" t="s">
        <v>520</v>
      </c>
      <c r="B86" s="1" t="s">
        <v>521</v>
      </c>
      <c r="C86" s="1" t="s">
        <v>522</v>
      </c>
      <c r="D86" s="1" t="s">
        <v>64</v>
      </c>
      <c r="E86" s="1" t="s">
        <v>65</v>
      </c>
      <c r="F86" s="1" t="s">
        <v>166</v>
      </c>
      <c r="G86" s="1" t="s">
        <v>137</v>
      </c>
      <c r="H86" s="1" t="s">
        <v>168</v>
      </c>
      <c r="I86" s="1" t="s">
        <v>169</v>
      </c>
      <c r="J86" s="1" t="s">
        <v>170</v>
      </c>
      <c r="K86" s="1" t="s">
        <v>171</v>
      </c>
      <c r="L86" s="1"/>
      <c r="M86" s="1">
        <v>3</v>
      </c>
      <c r="N86" s="13">
        <v>500</v>
      </c>
      <c r="O86" s="13">
        <f>M86*N86</f>
        <v>1500</v>
      </c>
      <c r="P86" s="13">
        <v>1024.1300000000001</v>
      </c>
      <c r="Q86" s="13">
        <f>P86*20%</f>
        <v>204.82600000000002</v>
      </c>
      <c r="R86" s="13">
        <f>O86-P86</f>
        <v>475.86999999999989</v>
      </c>
      <c r="S86" s="1" t="s">
        <v>71</v>
      </c>
      <c r="T86" s="1" t="s">
        <v>72</v>
      </c>
      <c r="U86" s="1"/>
      <c r="V86" s="1" t="s">
        <v>73</v>
      </c>
      <c r="W86" s="1" t="s">
        <v>74</v>
      </c>
      <c r="X86" s="1" t="s">
        <v>172</v>
      </c>
      <c r="Y86" s="1" t="s">
        <v>173</v>
      </c>
      <c r="Z86" s="1" t="s">
        <v>77</v>
      </c>
      <c r="AA86" s="1" t="s">
        <v>78</v>
      </c>
      <c r="AB86" s="1" t="s">
        <v>79</v>
      </c>
      <c r="AC86" s="1"/>
      <c r="AD86" s="1" t="s">
        <v>174</v>
      </c>
      <c r="AE86" s="1" t="s">
        <v>175</v>
      </c>
      <c r="AF86" s="1" t="s">
        <v>82</v>
      </c>
      <c r="AG86" s="1" t="s">
        <v>144</v>
      </c>
      <c r="AH86" s="1" t="s">
        <v>84</v>
      </c>
    </row>
    <row r="87" spans="1:34">
      <c r="A87" s="1" t="s">
        <v>523</v>
      </c>
      <c r="B87" s="1" t="s">
        <v>524</v>
      </c>
      <c r="C87" s="1" t="s">
        <v>525</v>
      </c>
      <c r="D87" s="1" t="s">
        <v>64</v>
      </c>
      <c r="E87" s="1" t="s">
        <v>65</v>
      </c>
      <c r="F87" s="1" t="s">
        <v>166</v>
      </c>
      <c r="G87" s="1" t="s">
        <v>149</v>
      </c>
      <c r="H87" s="1" t="s">
        <v>181</v>
      </c>
      <c r="I87" s="1" t="s">
        <v>182</v>
      </c>
      <c r="J87" s="1" t="s">
        <v>170</v>
      </c>
      <c r="K87" s="1" t="s">
        <v>183</v>
      </c>
      <c r="L87" s="1"/>
      <c r="M87" s="1">
        <v>2</v>
      </c>
      <c r="N87" s="13">
        <v>680</v>
      </c>
      <c r="O87" s="13">
        <f>M87*N87</f>
        <v>1360</v>
      </c>
      <c r="P87" s="13">
        <v>967.73</v>
      </c>
      <c r="Q87" s="13">
        <f>P87*20%</f>
        <v>193.54600000000002</v>
      </c>
      <c r="R87" s="13">
        <f>O87-P87</f>
        <v>392.27</v>
      </c>
      <c r="S87" s="1" t="s">
        <v>71</v>
      </c>
      <c r="T87" s="1" t="s">
        <v>72</v>
      </c>
      <c r="U87" s="1"/>
      <c r="V87" s="1" t="s">
        <v>73</v>
      </c>
      <c r="W87" s="1" t="s">
        <v>74</v>
      </c>
      <c r="X87" s="1" t="s">
        <v>172</v>
      </c>
      <c r="Y87" s="1" t="s">
        <v>173</v>
      </c>
      <c r="Z87" s="1" t="s">
        <v>77</v>
      </c>
      <c r="AA87" s="1" t="s">
        <v>78</v>
      </c>
      <c r="AB87" s="1" t="s">
        <v>79</v>
      </c>
      <c r="AC87" s="1"/>
      <c r="AD87" s="1" t="s">
        <v>174</v>
      </c>
      <c r="AE87" s="1" t="s">
        <v>175</v>
      </c>
      <c r="AF87" s="1" t="s">
        <v>82</v>
      </c>
      <c r="AG87" s="1" t="s">
        <v>154</v>
      </c>
      <c r="AH87" s="1" t="s">
        <v>84</v>
      </c>
    </row>
    <row r="88" spans="1:34">
      <c r="A88" s="1" t="s">
        <v>526</v>
      </c>
      <c r="B88" s="1" t="s">
        <v>527</v>
      </c>
      <c r="C88" s="1" t="s">
        <v>528</v>
      </c>
      <c r="D88" s="1" t="s">
        <v>64</v>
      </c>
      <c r="E88" s="1" t="s">
        <v>65</v>
      </c>
      <c r="F88" s="1" t="s">
        <v>166</v>
      </c>
      <c r="G88" s="1" t="s">
        <v>158</v>
      </c>
      <c r="H88" s="1" t="s">
        <v>189</v>
      </c>
      <c r="I88" s="1" t="s">
        <v>190</v>
      </c>
      <c r="J88" s="1" t="s">
        <v>191</v>
      </c>
      <c r="K88" s="1" t="s">
        <v>192</v>
      </c>
      <c r="L88" s="1"/>
      <c r="M88" s="1">
        <v>1</v>
      </c>
      <c r="N88" s="13">
        <v>90</v>
      </c>
      <c r="O88" s="13">
        <f>M88*N88</f>
        <v>90</v>
      </c>
      <c r="P88" s="13">
        <v>51.51</v>
      </c>
      <c r="Q88" s="13">
        <f>P88*20%</f>
        <v>10.302</v>
      </c>
      <c r="R88" s="13">
        <f>O88-P88</f>
        <v>38.49</v>
      </c>
      <c r="S88" s="1" t="s">
        <v>71</v>
      </c>
      <c r="T88" s="1" t="s">
        <v>72</v>
      </c>
      <c r="U88" s="1"/>
      <c r="V88" s="1" t="s">
        <v>73</v>
      </c>
      <c r="W88" s="1" t="s">
        <v>74</v>
      </c>
      <c r="X88" s="1" t="s">
        <v>172</v>
      </c>
      <c r="Y88" s="1" t="s">
        <v>173</v>
      </c>
      <c r="Z88" s="1" t="s">
        <v>77</v>
      </c>
      <c r="AA88" s="1" t="s">
        <v>78</v>
      </c>
      <c r="AB88" s="1" t="s">
        <v>79</v>
      </c>
      <c r="AC88" s="1"/>
      <c r="AD88" s="1" t="s">
        <v>80</v>
      </c>
      <c r="AE88" s="1" t="s">
        <v>193</v>
      </c>
      <c r="AF88" s="1" t="s">
        <v>82</v>
      </c>
      <c r="AG88" s="1" t="s">
        <v>162</v>
      </c>
      <c r="AH88" s="1" t="s">
        <v>84</v>
      </c>
    </row>
    <row r="89" spans="1:34">
      <c r="A89" s="1" t="s">
        <v>529</v>
      </c>
      <c r="B89" s="1" t="s">
        <v>530</v>
      </c>
      <c r="C89" s="1" t="s">
        <v>531</v>
      </c>
      <c r="D89" s="1" t="s">
        <v>64</v>
      </c>
      <c r="E89" s="1" t="s">
        <v>65</v>
      </c>
      <c r="F89" s="1" t="s">
        <v>198</v>
      </c>
      <c r="G89" s="1" t="s">
        <v>167</v>
      </c>
      <c r="H89" s="1" t="s">
        <v>200</v>
      </c>
      <c r="I89" s="1" t="s">
        <v>201</v>
      </c>
      <c r="J89" s="1" t="s">
        <v>202</v>
      </c>
      <c r="K89" s="1" t="s">
        <v>203</v>
      </c>
      <c r="L89" s="1"/>
      <c r="M89" s="1">
        <v>1</v>
      </c>
      <c r="N89" s="13">
        <v>155</v>
      </c>
      <c r="O89" s="13">
        <f>M89*N89</f>
        <v>155</v>
      </c>
      <c r="P89" s="13">
        <v>70.05</v>
      </c>
      <c r="Q89" s="13">
        <f>P89*20%</f>
        <v>14.01</v>
      </c>
      <c r="R89" s="13">
        <f>O89-P89</f>
        <v>84.95</v>
      </c>
      <c r="S89" s="1" t="s">
        <v>71</v>
      </c>
      <c r="T89" s="1" t="s">
        <v>72</v>
      </c>
      <c r="U89" s="1"/>
      <c r="V89" s="1" t="s">
        <v>73</v>
      </c>
      <c r="W89" s="1" t="s">
        <v>74</v>
      </c>
      <c r="X89" s="1" t="s">
        <v>204</v>
      </c>
      <c r="Y89" s="1" t="s">
        <v>205</v>
      </c>
      <c r="Z89" s="1" t="s">
        <v>77</v>
      </c>
      <c r="AA89" s="1" t="s">
        <v>78</v>
      </c>
      <c r="AB89" s="1" t="s">
        <v>79</v>
      </c>
      <c r="AC89" s="1"/>
      <c r="AD89" s="1" t="s">
        <v>206</v>
      </c>
      <c r="AE89" s="1" t="s">
        <v>207</v>
      </c>
      <c r="AF89" s="1" t="s">
        <v>82</v>
      </c>
      <c r="AG89" s="1" t="s">
        <v>176</v>
      </c>
      <c r="AH89" s="1" t="s">
        <v>84</v>
      </c>
    </row>
    <row r="90" spans="1:34">
      <c r="A90" s="1" t="s">
        <v>532</v>
      </c>
      <c r="B90" s="1" t="s">
        <v>533</v>
      </c>
      <c r="C90" s="1" t="s">
        <v>534</v>
      </c>
      <c r="D90" s="1" t="s">
        <v>64</v>
      </c>
      <c r="E90" s="1" t="s">
        <v>65</v>
      </c>
      <c r="F90" s="1" t="s">
        <v>198</v>
      </c>
      <c r="G90" s="1" t="s">
        <v>180</v>
      </c>
      <c r="H90" s="1" t="s">
        <v>213</v>
      </c>
      <c r="I90" s="1" t="s">
        <v>214</v>
      </c>
      <c r="J90" s="1" t="s">
        <v>215</v>
      </c>
      <c r="K90" s="1" t="s">
        <v>216</v>
      </c>
      <c r="L90" s="1"/>
      <c r="M90" s="1">
        <v>1</v>
      </c>
      <c r="N90" s="13">
        <v>245</v>
      </c>
      <c r="O90" s="13">
        <f>M90*N90</f>
        <v>245</v>
      </c>
      <c r="P90" s="13">
        <v>148.86000000000001</v>
      </c>
      <c r="Q90" s="13">
        <f>P90*20%</f>
        <v>29.772000000000006</v>
      </c>
      <c r="R90" s="13">
        <f>O90-P90</f>
        <v>96.139999999999986</v>
      </c>
      <c r="S90" s="1" t="s">
        <v>71</v>
      </c>
      <c r="T90" s="1" t="s">
        <v>72</v>
      </c>
      <c r="U90" s="1"/>
      <c r="V90" s="1" t="s">
        <v>73</v>
      </c>
      <c r="W90" s="1" t="s">
        <v>74</v>
      </c>
      <c r="X90" s="1" t="s">
        <v>204</v>
      </c>
      <c r="Y90" s="1" t="s">
        <v>205</v>
      </c>
      <c r="Z90" s="1" t="s">
        <v>77</v>
      </c>
      <c r="AA90" s="1" t="s">
        <v>78</v>
      </c>
      <c r="AB90" s="1" t="s">
        <v>79</v>
      </c>
      <c r="AC90" s="1"/>
      <c r="AD90" s="1" t="s">
        <v>206</v>
      </c>
      <c r="AE90" s="1" t="s">
        <v>217</v>
      </c>
      <c r="AF90" s="1" t="s">
        <v>82</v>
      </c>
      <c r="AG90" s="1" t="s">
        <v>184</v>
      </c>
      <c r="AH90" s="1" t="s">
        <v>84</v>
      </c>
    </row>
    <row r="91" spans="1:34">
      <c r="A91" s="1" t="s">
        <v>535</v>
      </c>
      <c r="B91" s="1" t="s">
        <v>536</v>
      </c>
      <c r="C91" s="1" t="s">
        <v>537</v>
      </c>
      <c r="D91" s="1" t="s">
        <v>64</v>
      </c>
      <c r="E91" s="1" t="s">
        <v>65</v>
      </c>
      <c r="F91" s="1" t="s">
        <v>198</v>
      </c>
      <c r="G91" s="1" t="s">
        <v>188</v>
      </c>
      <c r="H91" s="1" t="s">
        <v>223</v>
      </c>
      <c r="I91" s="1" t="s">
        <v>224</v>
      </c>
      <c r="J91" s="1" t="s">
        <v>225</v>
      </c>
      <c r="K91" s="1" t="s">
        <v>226</v>
      </c>
      <c r="L91" s="1"/>
      <c r="M91" s="1">
        <v>1</v>
      </c>
      <c r="N91" s="13">
        <v>125</v>
      </c>
      <c r="O91" s="13">
        <f>M91*N91</f>
        <v>125</v>
      </c>
      <c r="P91" s="13">
        <v>84.06</v>
      </c>
      <c r="Q91" s="13">
        <f>P91*20%</f>
        <v>16.812000000000001</v>
      </c>
      <c r="R91" s="13">
        <f>O91-P91</f>
        <v>40.94</v>
      </c>
      <c r="S91" s="1" t="s">
        <v>71</v>
      </c>
      <c r="T91" s="1" t="s">
        <v>72</v>
      </c>
      <c r="U91" s="1"/>
      <c r="V91" s="1" t="s">
        <v>73</v>
      </c>
      <c r="W91" s="1" t="s">
        <v>74</v>
      </c>
      <c r="X91" s="1" t="s">
        <v>204</v>
      </c>
      <c r="Y91" s="1" t="s">
        <v>205</v>
      </c>
      <c r="Z91" s="1" t="s">
        <v>354</v>
      </c>
      <c r="AA91" s="1" t="s">
        <v>355</v>
      </c>
      <c r="AB91" s="1" t="s">
        <v>322</v>
      </c>
      <c r="AC91" s="1" t="s">
        <v>538</v>
      </c>
      <c r="AD91" s="1" t="s">
        <v>206</v>
      </c>
      <c r="AE91" s="1" t="s">
        <v>227</v>
      </c>
      <c r="AF91" s="1" t="s">
        <v>82</v>
      </c>
      <c r="AG91" s="1" t="s">
        <v>194</v>
      </c>
      <c r="AH91" s="1" t="s">
        <v>84</v>
      </c>
    </row>
    <row r="92" spans="1:34">
      <c r="A92" s="1" t="s">
        <v>539</v>
      </c>
      <c r="B92" s="1" t="s">
        <v>540</v>
      </c>
      <c r="C92" s="1" t="s">
        <v>541</v>
      </c>
      <c r="D92" s="1" t="s">
        <v>64</v>
      </c>
      <c r="E92" s="1" t="s">
        <v>65</v>
      </c>
      <c r="F92" s="1" t="s">
        <v>232</v>
      </c>
      <c r="G92" s="1" t="s">
        <v>199</v>
      </c>
      <c r="H92" s="1" t="s">
        <v>234</v>
      </c>
      <c r="I92" s="1" t="s">
        <v>235</v>
      </c>
      <c r="J92" s="1" t="s">
        <v>236</v>
      </c>
      <c r="K92" s="1" t="s">
        <v>237</v>
      </c>
      <c r="L92" s="1"/>
      <c r="M92" s="1">
        <v>1</v>
      </c>
      <c r="N92" s="13">
        <v>185</v>
      </c>
      <c r="O92" s="13">
        <f>M92*N92</f>
        <v>185</v>
      </c>
      <c r="P92" s="13">
        <v>105.88</v>
      </c>
      <c r="Q92" s="13">
        <f>P92*20%</f>
        <v>21.176000000000002</v>
      </c>
      <c r="R92" s="13">
        <f>O92-P92</f>
        <v>79.12</v>
      </c>
      <c r="S92" s="1" t="s">
        <v>71</v>
      </c>
      <c r="T92" s="1" t="s">
        <v>72</v>
      </c>
      <c r="U92" s="1"/>
      <c r="V92" s="1" t="s">
        <v>73</v>
      </c>
      <c r="W92" s="1" t="s">
        <v>74</v>
      </c>
      <c r="X92" s="1" t="s">
        <v>238</v>
      </c>
      <c r="Y92" s="1" t="s">
        <v>239</v>
      </c>
      <c r="Z92" s="1" t="s">
        <v>77</v>
      </c>
      <c r="AA92" s="1" t="s">
        <v>78</v>
      </c>
      <c r="AB92" s="1" t="s">
        <v>79</v>
      </c>
      <c r="AC92" s="1"/>
      <c r="AD92" s="1" t="s">
        <v>206</v>
      </c>
      <c r="AE92" s="1" t="s">
        <v>240</v>
      </c>
      <c r="AF92" s="1" t="s">
        <v>82</v>
      </c>
      <c r="AG92" s="1" t="s">
        <v>208</v>
      </c>
      <c r="AH92" s="1" t="s">
        <v>84</v>
      </c>
    </row>
    <row r="93" spans="1:34">
      <c r="A93" s="1" t="s">
        <v>542</v>
      </c>
      <c r="B93" s="1" t="s">
        <v>543</v>
      </c>
      <c r="C93" s="1" t="s">
        <v>544</v>
      </c>
      <c r="D93" s="1" t="s">
        <v>64</v>
      </c>
      <c r="E93" s="1" t="s">
        <v>65</v>
      </c>
      <c r="F93" s="1" t="s">
        <v>232</v>
      </c>
      <c r="G93" s="1" t="s">
        <v>212</v>
      </c>
      <c r="H93" s="1" t="s">
        <v>246</v>
      </c>
      <c r="I93" s="1" t="s">
        <v>247</v>
      </c>
      <c r="J93" s="1" t="s">
        <v>236</v>
      </c>
      <c r="K93" s="1" t="s">
        <v>248</v>
      </c>
      <c r="L93" s="1"/>
      <c r="M93" s="1">
        <v>1</v>
      </c>
      <c r="N93" s="13">
        <v>410</v>
      </c>
      <c r="O93" s="13">
        <f>M93*N93</f>
        <v>410</v>
      </c>
      <c r="P93" s="13">
        <v>196.67</v>
      </c>
      <c r="Q93" s="13">
        <f>P93*20%</f>
        <v>39.334000000000003</v>
      </c>
      <c r="R93" s="13">
        <f>O93-P93</f>
        <v>213.33</v>
      </c>
      <c r="S93" s="1" t="s">
        <v>71</v>
      </c>
      <c r="T93" s="1" t="s">
        <v>72</v>
      </c>
      <c r="U93" s="1"/>
      <c r="V93" s="1" t="s">
        <v>73</v>
      </c>
      <c r="W93" s="1" t="s">
        <v>74</v>
      </c>
      <c r="X93" s="1" t="s">
        <v>238</v>
      </c>
      <c r="Y93" s="1" t="s">
        <v>239</v>
      </c>
      <c r="Z93" s="1" t="s">
        <v>77</v>
      </c>
      <c r="AA93" s="1" t="s">
        <v>78</v>
      </c>
      <c r="AB93" s="1" t="s">
        <v>79</v>
      </c>
      <c r="AC93" s="1"/>
      <c r="AD93" s="1" t="s">
        <v>206</v>
      </c>
      <c r="AE93" s="1" t="s">
        <v>249</v>
      </c>
      <c r="AF93" s="1" t="s">
        <v>82</v>
      </c>
      <c r="AG93" s="1" t="s">
        <v>218</v>
      </c>
      <c r="AH93" s="1" t="s">
        <v>84</v>
      </c>
    </row>
    <row r="94" spans="1:34">
      <c r="A94" s="1" t="s">
        <v>545</v>
      </c>
      <c r="B94" s="1" t="s">
        <v>546</v>
      </c>
      <c r="C94" s="1" t="s">
        <v>547</v>
      </c>
      <c r="D94" s="1" t="s">
        <v>64</v>
      </c>
      <c r="E94" s="1" t="s">
        <v>65</v>
      </c>
      <c r="F94" s="1" t="s">
        <v>254</v>
      </c>
      <c r="G94" s="1" t="s">
        <v>222</v>
      </c>
      <c r="H94" s="1" t="s">
        <v>256</v>
      </c>
      <c r="I94" s="1" t="s">
        <v>257</v>
      </c>
      <c r="J94" s="1" t="s">
        <v>258</v>
      </c>
      <c r="K94" s="1" t="s">
        <v>259</v>
      </c>
      <c r="L94" s="1"/>
      <c r="M94" s="1">
        <v>1</v>
      </c>
      <c r="N94" s="13">
        <v>190</v>
      </c>
      <c r="O94" s="13">
        <f>M94*N94</f>
        <v>190</v>
      </c>
      <c r="P94" s="13">
        <v>101.11</v>
      </c>
      <c r="Q94" s="13">
        <f>P94*20%</f>
        <v>20.222000000000001</v>
      </c>
      <c r="R94" s="13">
        <f>O94-P94</f>
        <v>88.89</v>
      </c>
      <c r="S94" s="1" t="s">
        <v>71</v>
      </c>
      <c r="T94" s="1" t="s">
        <v>72</v>
      </c>
      <c r="U94" s="1"/>
      <c r="V94" s="1" t="s">
        <v>73</v>
      </c>
      <c r="W94" s="1" t="s">
        <v>74</v>
      </c>
      <c r="X94" s="1" t="s">
        <v>254</v>
      </c>
      <c r="Y94" s="1" t="s">
        <v>260</v>
      </c>
      <c r="Z94" s="1" t="s">
        <v>77</v>
      </c>
      <c r="AA94" s="1" t="s">
        <v>78</v>
      </c>
      <c r="AB94" s="1" t="s">
        <v>79</v>
      </c>
      <c r="AC94" s="1"/>
      <c r="AD94" s="1" t="s">
        <v>206</v>
      </c>
      <c r="AE94" s="1" t="s">
        <v>261</v>
      </c>
      <c r="AF94" s="1" t="s">
        <v>82</v>
      </c>
      <c r="AG94" s="1" t="s">
        <v>228</v>
      </c>
      <c r="AH94" s="1" t="s">
        <v>84</v>
      </c>
    </row>
    <row r="95" spans="1:34">
      <c r="A95" s="1" t="s">
        <v>548</v>
      </c>
      <c r="B95" s="1" t="s">
        <v>549</v>
      </c>
      <c r="C95" s="1" t="s">
        <v>550</v>
      </c>
      <c r="D95" s="1" t="s">
        <v>64</v>
      </c>
      <c r="E95" s="1" t="s">
        <v>65</v>
      </c>
      <c r="F95" s="1" t="s">
        <v>266</v>
      </c>
      <c r="G95" s="1" t="s">
        <v>233</v>
      </c>
      <c r="H95" s="1" t="s">
        <v>268</v>
      </c>
      <c r="I95" s="1" t="s">
        <v>269</v>
      </c>
      <c r="J95" s="1" t="s">
        <v>270</v>
      </c>
      <c r="K95" s="1" t="s">
        <v>271</v>
      </c>
      <c r="L95" s="1"/>
      <c r="M95" s="1">
        <v>1</v>
      </c>
      <c r="N95" s="13">
        <v>245</v>
      </c>
      <c r="O95" s="13">
        <f>M95*N95</f>
        <v>245</v>
      </c>
      <c r="P95" s="13">
        <v>114.77</v>
      </c>
      <c r="Q95" s="13">
        <f>P95*20%</f>
        <v>22.954000000000001</v>
      </c>
      <c r="R95" s="13">
        <f>O95-P95</f>
        <v>130.23000000000002</v>
      </c>
      <c r="S95" s="1" t="s">
        <v>71</v>
      </c>
      <c r="T95" s="1" t="s">
        <v>72</v>
      </c>
      <c r="U95" s="1"/>
      <c r="V95" s="1" t="s">
        <v>73</v>
      </c>
      <c r="W95" s="1" t="s">
        <v>74</v>
      </c>
      <c r="X95" s="1" t="s">
        <v>266</v>
      </c>
      <c r="Y95" s="1" t="s">
        <v>272</v>
      </c>
      <c r="Z95" s="1" t="s">
        <v>77</v>
      </c>
      <c r="AA95" s="1" t="s">
        <v>78</v>
      </c>
      <c r="AB95" s="1" t="s">
        <v>79</v>
      </c>
      <c r="AC95" s="1"/>
      <c r="AD95" s="1" t="s">
        <v>206</v>
      </c>
      <c r="AE95" s="1" t="s">
        <v>273</v>
      </c>
      <c r="AF95" s="1" t="s">
        <v>82</v>
      </c>
      <c r="AG95" s="1" t="s">
        <v>241</v>
      </c>
      <c r="AH95" s="1" t="s">
        <v>84</v>
      </c>
    </row>
    <row r="96" spans="1:34">
      <c r="A96" s="1" t="s">
        <v>551</v>
      </c>
      <c r="B96" s="1" t="s">
        <v>552</v>
      </c>
      <c r="C96" s="1" t="s">
        <v>553</v>
      </c>
      <c r="D96" s="1" t="s">
        <v>64</v>
      </c>
      <c r="E96" s="1" t="s">
        <v>65</v>
      </c>
      <c r="F96" s="1" t="s">
        <v>278</v>
      </c>
      <c r="G96" s="1" t="s">
        <v>245</v>
      </c>
      <c r="H96" s="1" t="s">
        <v>280</v>
      </c>
      <c r="I96" s="1" t="s">
        <v>281</v>
      </c>
      <c r="J96" s="1" t="s">
        <v>282</v>
      </c>
      <c r="K96" s="1" t="s">
        <v>283</v>
      </c>
      <c r="L96" s="1"/>
      <c r="M96" s="1">
        <v>1</v>
      </c>
      <c r="N96" s="13">
        <v>710</v>
      </c>
      <c r="O96" s="13">
        <f>M96*N96</f>
        <v>710</v>
      </c>
      <c r="P96" s="13">
        <v>501.3</v>
      </c>
      <c r="Q96" s="13">
        <f>P96*20%</f>
        <v>100.26</v>
      </c>
      <c r="R96" s="13">
        <f>O96-P96</f>
        <v>208.7</v>
      </c>
      <c r="S96" s="1" t="s">
        <v>71</v>
      </c>
      <c r="T96" s="1" t="s">
        <v>72</v>
      </c>
      <c r="U96" s="1" t="s">
        <v>554</v>
      </c>
      <c r="V96" s="1" t="s">
        <v>73</v>
      </c>
      <c r="W96" s="1" t="s">
        <v>74</v>
      </c>
      <c r="X96" s="1" t="s">
        <v>285</v>
      </c>
      <c r="Y96" s="1" t="s">
        <v>286</v>
      </c>
      <c r="Z96" s="1" t="s">
        <v>77</v>
      </c>
      <c r="AA96" s="1" t="s">
        <v>78</v>
      </c>
      <c r="AB96" s="1" t="s">
        <v>322</v>
      </c>
      <c r="AC96" s="1" t="s">
        <v>555</v>
      </c>
      <c r="AD96" s="1" t="s">
        <v>287</v>
      </c>
      <c r="AE96" s="1" t="s">
        <v>288</v>
      </c>
      <c r="AF96" s="1" t="s">
        <v>82</v>
      </c>
      <c r="AG96" s="1" t="s">
        <v>250</v>
      </c>
      <c r="AH96" s="1" t="s">
        <v>84</v>
      </c>
    </row>
    <row r="97" spans="1:34">
      <c r="A97" s="1" t="s">
        <v>556</v>
      </c>
      <c r="B97" s="1" t="s">
        <v>557</v>
      </c>
      <c r="C97" s="1" t="s">
        <v>558</v>
      </c>
      <c r="D97" s="1" t="s">
        <v>64</v>
      </c>
      <c r="E97" s="1" t="s">
        <v>65</v>
      </c>
      <c r="F97" s="1" t="s">
        <v>278</v>
      </c>
      <c r="G97" s="1" t="s">
        <v>255</v>
      </c>
      <c r="H97" s="1" t="s">
        <v>294</v>
      </c>
      <c r="I97" s="1" t="s">
        <v>295</v>
      </c>
      <c r="J97" s="1" t="s">
        <v>282</v>
      </c>
      <c r="K97" s="1" t="s">
        <v>296</v>
      </c>
      <c r="L97" s="1"/>
      <c r="M97" s="1">
        <v>2</v>
      </c>
      <c r="N97" s="13">
        <v>305</v>
      </c>
      <c r="O97" s="13">
        <f>M97*N97</f>
        <v>610</v>
      </c>
      <c r="P97" s="13">
        <v>365.81</v>
      </c>
      <c r="Q97" s="13">
        <f>P97*20%</f>
        <v>73.162000000000006</v>
      </c>
      <c r="R97" s="13">
        <f>O97-P97</f>
        <v>244.19</v>
      </c>
      <c r="S97" s="1" t="s">
        <v>71</v>
      </c>
      <c r="T97" s="1" t="s">
        <v>72</v>
      </c>
      <c r="U97" s="1"/>
      <c r="V97" s="1" t="s">
        <v>73</v>
      </c>
      <c r="W97" s="1" t="s">
        <v>74</v>
      </c>
      <c r="X97" s="1" t="s">
        <v>285</v>
      </c>
      <c r="Y97" s="1" t="s">
        <v>286</v>
      </c>
      <c r="Z97" s="1" t="s">
        <v>77</v>
      </c>
      <c r="AA97" s="1" t="s">
        <v>78</v>
      </c>
      <c r="AB97" s="1" t="s">
        <v>79</v>
      </c>
      <c r="AC97" s="1"/>
      <c r="AD97" s="1" t="s">
        <v>297</v>
      </c>
      <c r="AE97" s="1" t="s">
        <v>298</v>
      </c>
      <c r="AF97" s="1" t="s">
        <v>82</v>
      </c>
      <c r="AG97" s="1" t="s">
        <v>262</v>
      </c>
      <c r="AH97" s="1" t="s">
        <v>84</v>
      </c>
    </row>
    <row r="98" spans="1:34">
      <c r="A98" s="1" t="s">
        <v>559</v>
      </c>
      <c r="B98" s="1" t="s">
        <v>560</v>
      </c>
      <c r="C98" s="1" t="s">
        <v>561</v>
      </c>
      <c r="D98" s="1" t="s">
        <v>64</v>
      </c>
      <c r="E98" s="1" t="s">
        <v>65</v>
      </c>
      <c r="F98" s="1" t="s">
        <v>303</v>
      </c>
      <c r="G98" s="1" t="s">
        <v>267</v>
      </c>
      <c r="H98" s="1" t="s">
        <v>305</v>
      </c>
      <c r="I98" s="1" t="s">
        <v>306</v>
      </c>
      <c r="J98" s="1" t="s">
        <v>307</v>
      </c>
      <c r="K98" s="1" t="s">
        <v>308</v>
      </c>
      <c r="L98" s="1"/>
      <c r="M98" s="1">
        <v>1</v>
      </c>
      <c r="N98" s="13">
        <v>725</v>
      </c>
      <c r="O98" s="13">
        <f>M98*N98</f>
        <v>725</v>
      </c>
      <c r="P98" s="13">
        <v>410.77</v>
      </c>
      <c r="Q98" s="13">
        <f>P98*20%</f>
        <v>82.153999999999996</v>
      </c>
      <c r="R98" s="13">
        <f>O98-P98</f>
        <v>314.23</v>
      </c>
      <c r="S98" s="1" t="s">
        <v>71</v>
      </c>
      <c r="T98" s="1" t="s">
        <v>72</v>
      </c>
      <c r="U98" s="1" t="s">
        <v>562</v>
      </c>
      <c r="V98" s="1" t="s">
        <v>73</v>
      </c>
      <c r="W98" s="1" t="s">
        <v>74</v>
      </c>
      <c r="X98" s="1" t="s">
        <v>285</v>
      </c>
      <c r="Y98" s="1" t="s">
        <v>286</v>
      </c>
      <c r="Z98" s="1" t="s">
        <v>77</v>
      </c>
      <c r="AA98" s="1" t="s">
        <v>78</v>
      </c>
      <c r="AB98" s="1" t="s">
        <v>79</v>
      </c>
      <c r="AC98" s="1"/>
      <c r="AD98" s="1" t="s">
        <v>287</v>
      </c>
      <c r="AE98" s="1" t="s">
        <v>310</v>
      </c>
      <c r="AF98" s="1" t="s">
        <v>82</v>
      </c>
      <c r="AG98" s="1" t="s">
        <v>274</v>
      </c>
      <c r="AH98" s="1" t="s">
        <v>84</v>
      </c>
    </row>
    <row r="99" spans="1:34">
      <c r="A99" s="1" t="s">
        <v>563</v>
      </c>
      <c r="B99" s="1" t="s">
        <v>564</v>
      </c>
      <c r="C99" s="1" t="s">
        <v>565</v>
      </c>
      <c r="D99" s="1" t="s">
        <v>64</v>
      </c>
      <c r="E99" s="1" t="s">
        <v>65</v>
      </c>
      <c r="F99" s="1" t="s">
        <v>315</v>
      </c>
      <c r="G99" s="1" t="s">
        <v>279</v>
      </c>
      <c r="H99" s="1" t="s">
        <v>317</v>
      </c>
      <c r="I99" s="1" t="s">
        <v>318</v>
      </c>
      <c r="J99" s="1" t="s">
        <v>319</v>
      </c>
      <c r="K99" s="1" t="s">
        <v>320</v>
      </c>
      <c r="L99" s="1"/>
      <c r="M99" s="1">
        <v>1</v>
      </c>
      <c r="N99" s="13">
        <v>325</v>
      </c>
      <c r="O99" s="13">
        <f>M99*N99</f>
        <v>325</v>
      </c>
      <c r="P99" s="13">
        <v>147.41</v>
      </c>
      <c r="Q99" s="13">
        <f>P99*20%</f>
        <v>29.481999999999999</v>
      </c>
      <c r="R99" s="13">
        <f>O99-P99</f>
        <v>177.59</v>
      </c>
      <c r="S99" s="1" t="s">
        <v>71</v>
      </c>
      <c r="T99" s="1" t="s">
        <v>72</v>
      </c>
      <c r="U99" s="1"/>
      <c r="V99" s="1" t="s">
        <v>73</v>
      </c>
      <c r="W99" s="1" t="s">
        <v>74</v>
      </c>
      <c r="X99" s="1" t="s">
        <v>321</v>
      </c>
      <c r="Y99" s="1" t="s">
        <v>286</v>
      </c>
      <c r="Z99" s="1" t="s">
        <v>77</v>
      </c>
      <c r="AA99" s="1" t="s">
        <v>78</v>
      </c>
      <c r="AB99" s="1" t="s">
        <v>79</v>
      </c>
      <c r="AC99" s="1"/>
      <c r="AD99" s="1" t="s">
        <v>80</v>
      </c>
      <c r="AE99" s="1" t="s">
        <v>324</v>
      </c>
      <c r="AF99" s="1" t="s">
        <v>82</v>
      </c>
      <c r="AG99" s="1" t="s">
        <v>289</v>
      </c>
      <c r="AH99" s="1" t="s">
        <v>84</v>
      </c>
    </row>
    <row r="100" spans="1:34">
      <c r="A100" s="1" t="s">
        <v>566</v>
      </c>
      <c r="B100" s="1" t="s">
        <v>567</v>
      </c>
      <c r="C100" s="1" t="s">
        <v>568</v>
      </c>
      <c r="D100" s="1" t="s">
        <v>64</v>
      </c>
      <c r="E100" s="1" t="s">
        <v>65</v>
      </c>
      <c r="F100" s="1" t="s">
        <v>329</v>
      </c>
      <c r="G100" s="1" t="s">
        <v>293</v>
      </c>
      <c r="H100" s="1" t="s">
        <v>331</v>
      </c>
      <c r="I100" s="1" t="s">
        <v>332</v>
      </c>
      <c r="J100" s="1" t="s">
        <v>333</v>
      </c>
      <c r="K100" s="1" t="s">
        <v>334</v>
      </c>
      <c r="L100" s="1"/>
      <c r="M100" s="1">
        <v>1</v>
      </c>
      <c r="N100" s="13">
        <v>1600</v>
      </c>
      <c r="O100" s="13">
        <f>M100*N100</f>
        <v>1600</v>
      </c>
      <c r="P100" s="13">
        <v>846.23</v>
      </c>
      <c r="Q100" s="13">
        <f>P100*20%</f>
        <v>169.24600000000001</v>
      </c>
      <c r="R100" s="13">
        <f>O100-P100</f>
        <v>753.77</v>
      </c>
      <c r="S100" s="1" t="s">
        <v>71</v>
      </c>
      <c r="T100" s="1" t="s">
        <v>72</v>
      </c>
      <c r="U100" s="1"/>
      <c r="V100" s="1" t="s">
        <v>73</v>
      </c>
      <c r="W100" s="1" t="s">
        <v>74</v>
      </c>
      <c r="X100" s="1" t="s">
        <v>329</v>
      </c>
      <c r="Y100" s="1" t="s">
        <v>272</v>
      </c>
      <c r="Z100" s="1" t="s">
        <v>77</v>
      </c>
      <c r="AA100" s="1" t="s">
        <v>78</v>
      </c>
      <c r="AB100" s="1" t="s">
        <v>79</v>
      </c>
      <c r="AC100" s="1"/>
      <c r="AD100" s="1" t="s">
        <v>206</v>
      </c>
      <c r="AE100" s="1" t="s">
        <v>335</v>
      </c>
      <c r="AF100" s="1" t="s">
        <v>82</v>
      </c>
      <c r="AG100" s="1" t="s">
        <v>299</v>
      </c>
      <c r="AH100" s="1" t="s">
        <v>84</v>
      </c>
    </row>
    <row r="101" spans="1:34">
      <c r="A101" s="1" t="s">
        <v>569</v>
      </c>
      <c r="B101" s="1" t="s">
        <v>570</v>
      </c>
      <c r="C101" s="1" t="s">
        <v>571</v>
      </c>
      <c r="D101" s="1" t="s">
        <v>64</v>
      </c>
      <c r="E101" s="1" t="s">
        <v>65</v>
      </c>
      <c r="F101" s="1" t="s">
        <v>66</v>
      </c>
      <c r="G101" s="1" t="s">
        <v>304</v>
      </c>
      <c r="H101" s="1" t="s">
        <v>68</v>
      </c>
      <c r="I101" s="1" t="s">
        <v>69</v>
      </c>
      <c r="J101" s="1" t="s">
        <v>70</v>
      </c>
      <c r="K101" s="1"/>
      <c r="L101" s="1"/>
      <c r="M101" s="1">
        <v>3</v>
      </c>
      <c r="N101" s="13">
        <v>3500</v>
      </c>
      <c r="O101" s="13">
        <f>M101*N101</f>
        <v>10500</v>
      </c>
      <c r="P101" s="13">
        <v>5164.2700000000004</v>
      </c>
      <c r="Q101" s="13">
        <f>P101*20%</f>
        <v>1032.854</v>
      </c>
      <c r="R101" s="13">
        <f>O101-P101</f>
        <v>5335.73</v>
      </c>
      <c r="S101" s="1" t="s">
        <v>71</v>
      </c>
      <c r="T101" s="1" t="s">
        <v>72</v>
      </c>
      <c r="U101" s="1"/>
      <c r="V101" s="1" t="s">
        <v>73</v>
      </c>
      <c r="W101" s="1" t="s">
        <v>74</v>
      </c>
      <c r="X101" s="1" t="s">
        <v>75</v>
      </c>
      <c r="Y101" s="1" t="s">
        <v>76</v>
      </c>
      <c r="Z101" s="1" t="s">
        <v>77</v>
      </c>
      <c r="AA101" s="1" t="s">
        <v>78</v>
      </c>
      <c r="AB101" s="1" t="s">
        <v>79</v>
      </c>
      <c r="AC101" s="1"/>
      <c r="AD101" s="1" t="s">
        <v>80</v>
      </c>
      <c r="AE101" s="1" t="s">
        <v>81</v>
      </c>
      <c r="AF101" s="1" t="s">
        <v>82</v>
      </c>
      <c r="AG101" s="1" t="s">
        <v>311</v>
      </c>
      <c r="AH101" s="1" t="s">
        <v>84</v>
      </c>
    </row>
    <row r="102" spans="1:34">
      <c r="A102" s="1" t="s">
        <v>572</v>
      </c>
      <c r="B102" s="1" t="s">
        <v>573</v>
      </c>
      <c r="C102" s="1" t="s">
        <v>574</v>
      </c>
      <c r="D102" s="1" t="s">
        <v>64</v>
      </c>
      <c r="E102" s="1" t="s">
        <v>65</v>
      </c>
      <c r="F102" s="1" t="s">
        <v>66</v>
      </c>
      <c r="G102" s="1" t="s">
        <v>316</v>
      </c>
      <c r="H102" s="1" t="s">
        <v>89</v>
      </c>
      <c r="I102" s="1" t="s">
        <v>90</v>
      </c>
      <c r="J102" s="1" t="s">
        <v>91</v>
      </c>
      <c r="K102" s="1"/>
      <c r="L102" s="1"/>
      <c r="M102" s="1">
        <v>2</v>
      </c>
      <c r="N102" s="13">
        <v>4600</v>
      </c>
      <c r="O102" s="13">
        <f>M102*N102</f>
        <v>9200</v>
      </c>
      <c r="P102" s="13">
        <v>6287.31</v>
      </c>
      <c r="Q102" s="13">
        <f>P102*20%</f>
        <v>1257.4620000000002</v>
      </c>
      <c r="R102" s="13">
        <f>O102-P102</f>
        <v>2912.6899999999996</v>
      </c>
      <c r="S102" s="1" t="s">
        <v>71</v>
      </c>
      <c r="T102" s="1" t="s">
        <v>72</v>
      </c>
      <c r="U102" s="1"/>
      <c r="V102" s="1" t="s">
        <v>73</v>
      </c>
      <c r="W102" s="1" t="s">
        <v>74</v>
      </c>
      <c r="X102" s="1" t="s">
        <v>75</v>
      </c>
      <c r="Y102" s="1" t="s">
        <v>76</v>
      </c>
      <c r="Z102" s="1" t="s">
        <v>77</v>
      </c>
      <c r="AA102" s="1" t="s">
        <v>78</v>
      </c>
      <c r="AB102" s="1" t="s">
        <v>79</v>
      </c>
      <c r="AC102" s="1"/>
      <c r="AD102" s="1" t="s">
        <v>80</v>
      </c>
      <c r="AE102" s="1" t="s">
        <v>81</v>
      </c>
      <c r="AF102" s="1" t="s">
        <v>82</v>
      </c>
      <c r="AG102" s="1" t="s">
        <v>325</v>
      </c>
      <c r="AH102" s="1" t="s">
        <v>84</v>
      </c>
    </row>
    <row r="103" spans="1:34">
      <c r="A103" s="1" t="s">
        <v>575</v>
      </c>
      <c r="B103" s="1" t="s">
        <v>576</v>
      </c>
      <c r="C103" s="1" t="s">
        <v>577</v>
      </c>
      <c r="D103" s="1" t="s">
        <v>64</v>
      </c>
      <c r="E103" s="1" t="s">
        <v>65</v>
      </c>
      <c r="F103" s="1" t="s">
        <v>96</v>
      </c>
      <c r="G103" s="1" t="s">
        <v>330</v>
      </c>
      <c r="H103" s="1" t="s">
        <v>98</v>
      </c>
      <c r="I103" s="1" t="s">
        <v>99</v>
      </c>
      <c r="J103" s="1" t="s">
        <v>100</v>
      </c>
      <c r="K103" s="1"/>
      <c r="L103" s="1"/>
      <c r="M103" s="1">
        <v>1</v>
      </c>
      <c r="N103" s="13">
        <v>8200</v>
      </c>
      <c r="O103" s="13">
        <f>M103*N103</f>
        <v>8200</v>
      </c>
      <c r="P103" s="13">
        <v>3654.71</v>
      </c>
      <c r="Q103" s="13">
        <f>P103*20%</f>
        <v>730.94200000000001</v>
      </c>
      <c r="R103" s="13">
        <f>O103-P103</f>
        <v>4545.29</v>
      </c>
      <c r="S103" s="1" t="s">
        <v>71</v>
      </c>
      <c r="T103" s="1" t="s">
        <v>72</v>
      </c>
      <c r="U103" s="1"/>
      <c r="V103" s="1" t="s">
        <v>73</v>
      </c>
      <c r="W103" s="1" t="s">
        <v>74</v>
      </c>
      <c r="X103" s="1" t="s">
        <v>75</v>
      </c>
      <c r="Y103" s="1" t="s">
        <v>76</v>
      </c>
      <c r="Z103" s="1" t="s">
        <v>77</v>
      </c>
      <c r="AA103" s="1" t="s">
        <v>78</v>
      </c>
      <c r="AB103" s="1" t="s">
        <v>79</v>
      </c>
      <c r="AC103" s="1"/>
      <c r="AD103" s="1" t="s">
        <v>80</v>
      </c>
      <c r="AE103" s="1" t="s">
        <v>101</v>
      </c>
      <c r="AF103" s="1" t="s">
        <v>82</v>
      </c>
      <c r="AG103" s="1" t="s">
        <v>336</v>
      </c>
      <c r="AH103" s="1" t="s">
        <v>84</v>
      </c>
    </row>
    <row r="104" spans="1:34">
      <c r="A104" s="1" t="s">
        <v>578</v>
      </c>
      <c r="B104" s="1" t="s">
        <v>579</v>
      </c>
      <c r="C104" s="1" t="s">
        <v>580</v>
      </c>
      <c r="D104" s="1" t="s">
        <v>64</v>
      </c>
      <c r="E104" s="1" t="s">
        <v>65</v>
      </c>
      <c r="F104" s="1" t="s">
        <v>106</v>
      </c>
      <c r="G104" s="1" t="s">
        <v>340</v>
      </c>
      <c r="H104" s="1" t="s">
        <v>108</v>
      </c>
      <c r="I104" s="1" t="s">
        <v>109</v>
      </c>
      <c r="J104" s="1" t="s">
        <v>110</v>
      </c>
      <c r="K104" s="1"/>
      <c r="L104" s="1"/>
      <c r="M104" s="1">
        <v>4</v>
      </c>
      <c r="N104" s="13">
        <v>10250</v>
      </c>
      <c r="O104" s="13">
        <f>M104*N104</f>
        <v>41000</v>
      </c>
      <c r="P104" s="13">
        <v>27257.09</v>
      </c>
      <c r="Q104" s="13">
        <f>P104*20%</f>
        <v>5451.4180000000006</v>
      </c>
      <c r="R104" s="13">
        <f>O104-P104</f>
        <v>13742.91</v>
      </c>
      <c r="S104" s="1" t="s">
        <v>71</v>
      </c>
      <c r="T104" s="1" t="s">
        <v>72</v>
      </c>
      <c r="U104" s="1"/>
      <c r="V104" s="1" t="s">
        <v>73</v>
      </c>
      <c r="W104" s="1" t="s">
        <v>74</v>
      </c>
      <c r="X104" s="1" t="s">
        <v>111</v>
      </c>
      <c r="Y104" s="1" t="s">
        <v>112</v>
      </c>
      <c r="Z104" s="1" t="s">
        <v>77</v>
      </c>
      <c r="AA104" s="1" t="s">
        <v>78</v>
      </c>
      <c r="AB104" s="1" t="s">
        <v>79</v>
      </c>
      <c r="AC104" s="1"/>
      <c r="AD104" s="1" t="s">
        <v>113</v>
      </c>
      <c r="AE104" s="1" t="s">
        <v>81</v>
      </c>
      <c r="AF104" s="1" t="s">
        <v>82</v>
      </c>
      <c r="AG104" s="1" t="s">
        <v>341</v>
      </c>
      <c r="AH104" s="1" t="s">
        <v>84</v>
      </c>
    </row>
    <row r="105" spans="1:34">
      <c r="A105" s="1" t="s">
        <v>581</v>
      </c>
      <c r="B105" s="1" t="s">
        <v>582</v>
      </c>
      <c r="C105" s="1" t="s">
        <v>583</v>
      </c>
      <c r="D105" s="1" t="s">
        <v>64</v>
      </c>
      <c r="E105" s="1" t="s">
        <v>65</v>
      </c>
      <c r="F105" s="1" t="s">
        <v>106</v>
      </c>
      <c r="G105" s="1" t="s">
        <v>67</v>
      </c>
      <c r="H105" s="1" t="s">
        <v>119</v>
      </c>
      <c r="I105" s="1" t="s">
        <v>120</v>
      </c>
      <c r="J105" s="1" t="s">
        <v>110</v>
      </c>
      <c r="K105" s="1"/>
      <c r="L105" s="1"/>
      <c r="M105" s="1">
        <v>3</v>
      </c>
      <c r="N105" s="13">
        <v>1280</v>
      </c>
      <c r="O105" s="13">
        <f>M105*N105</f>
        <v>3840</v>
      </c>
      <c r="P105" s="13">
        <v>1760.71</v>
      </c>
      <c r="Q105" s="13">
        <f>P105*20%</f>
        <v>352.14200000000005</v>
      </c>
      <c r="R105" s="13">
        <f>O105-P105</f>
        <v>2079.29</v>
      </c>
      <c r="S105" s="1" t="s">
        <v>71</v>
      </c>
      <c r="T105" s="1" t="s">
        <v>72</v>
      </c>
      <c r="U105" s="1"/>
      <c r="V105" s="1" t="s">
        <v>73</v>
      </c>
      <c r="W105" s="1" t="s">
        <v>74</v>
      </c>
      <c r="X105" s="1" t="s">
        <v>111</v>
      </c>
      <c r="Y105" s="1" t="s">
        <v>112</v>
      </c>
      <c r="Z105" s="1" t="s">
        <v>77</v>
      </c>
      <c r="AA105" s="1" t="s">
        <v>78</v>
      </c>
      <c r="AB105" s="1" t="s">
        <v>79</v>
      </c>
      <c r="AC105" s="1"/>
      <c r="AD105" s="1" t="s">
        <v>113</v>
      </c>
      <c r="AE105" s="1" t="s">
        <v>81</v>
      </c>
      <c r="AF105" s="1" t="s">
        <v>82</v>
      </c>
      <c r="AG105" s="1" t="s">
        <v>83</v>
      </c>
      <c r="AH105" s="1" t="s">
        <v>84</v>
      </c>
    </row>
    <row r="106" spans="1:34">
      <c r="A106" s="1" t="s">
        <v>584</v>
      </c>
      <c r="B106" s="1" t="s">
        <v>585</v>
      </c>
      <c r="C106" s="1" t="s">
        <v>586</v>
      </c>
      <c r="D106" s="1" t="s">
        <v>64</v>
      </c>
      <c r="E106" s="1" t="s">
        <v>65</v>
      </c>
      <c r="F106" s="1" t="s">
        <v>125</v>
      </c>
      <c r="G106" s="1" t="s">
        <v>88</v>
      </c>
      <c r="H106" s="1" t="s">
        <v>127</v>
      </c>
      <c r="I106" s="1" t="s">
        <v>128</v>
      </c>
      <c r="J106" s="1" t="s">
        <v>129</v>
      </c>
      <c r="K106" s="1"/>
      <c r="L106" s="1"/>
      <c r="M106" s="1">
        <v>1</v>
      </c>
      <c r="N106" s="13">
        <v>2100</v>
      </c>
      <c r="O106" s="13">
        <f>M106*N106</f>
        <v>2100</v>
      </c>
      <c r="P106" s="13">
        <v>1181.43</v>
      </c>
      <c r="Q106" s="13">
        <f>P106*20%</f>
        <v>236.28600000000003</v>
      </c>
      <c r="R106" s="13">
        <f>O106-P106</f>
        <v>918.56999999999994</v>
      </c>
      <c r="S106" s="1" t="s">
        <v>71</v>
      </c>
      <c r="T106" s="1" t="s">
        <v>72</v>
      </c>
      <c r="U106" s="1"/>
      <c r="V106" s="1" t="s">
        <v>73</v>
      </c>
      <c r="W106" s="1" t="s">
        <v>74</v>
      </c>
      <c r="X106" s="1" t="s">
        <v>111</v>
      </c>
      <c r="Y106" s="1" t="s">
        <v>130</v>
      </c>
      <c r="Z106" s="1" t="s">
        <v>77</v>
      </c>
      <c r="AA106" s="1" t="s">
        <v>78</v>
      </c>
      <c r="AB106" s="1" t="s">
        <v>79</v>
      </c>
      <c r="AC106" s="1"/>
      <c r="AD106" s="1" t="s">
        <v>80</v>
      </c>
      <c r="AE106" s="1" t="s">
        <v>131</v>
      </c>
      <c r="AF106" s="1" t="s">
        <v>82</v>
      </c>
      <c r="AG106" s="1" t="s">
        <v>92</v>
      </c>
      <c r="AH106" s="1" t="s">
        <v>84</v>
      </c>
    </row>
    <row r="107" spans="1:34">
      <c r="A107" s="1" t="s">
        <v>587</v>
      </c>
      <c r="B107" s="1" t="s">
        <v>588</v>
      </c>
      <c r="C107" s="1" t="s">
        <v>589</v>
      </c>
      <c r="D107" s="1" t="s">
        <v>64</v>
      </c>
      <c r="E107" s="1" t="s">
        <v>65</v>
      </c>
      <c r="F107" s="1" t="s">
        <v>136</v>
      </c>
      <c r="G107" s="1" t="s">
        <v>97</v>
      </c>
      <c r="H107" s="1" t="s">
        <v>138</v>
      </c>
      <c r="I107" s="1" t="s">
        <v>139</v>
      </c>
      <c r="J107" s="1" t="s">
        <v>140</v>
      </c>
      <c r="K107" s="1"/>
      <c r="L107" s="1"/>
      <c r="M107" s="1">
        <v>1</v>
      </c>
      <c r="N107" s="13">
        <v>4200</v>
      </c>
      <c r="O107" s="13">
        <f>M107*N107</f>
        <v>4200</v>
      </c>
      <c r="P107" s="13">
        <v>2456.75</v>
      </c>
      <c r="Q107" s="13">
        <f>P107*20%</f>
        <v>491.35</v>
      </c>
      <c r="R107" s="13">
        <f>O107-P107</f>
        <v>1743.25</v>
      </c>
      <c r="S107" s="1" t="s">
        <v>71</v>
      </c>
      <c r="T107" s="1" t="s">
        <v>72</v>
      </c>
      <c r="U107" s="1"/>
      <c r="V107" s="1" t="s">
        <v>73</v>
      </c>
      <c r="W107" s="1" t="s">
        <v>74</v>
      </c>
      <c r="X107" s="1" t="s">
        <v>141</v>
      </c>
      <c r="Y107" s="1" t="s">
        <v>142</v>
      </c>
      <c r="Z107" s="1" t="s">
        <v>77</v>
      </c>
      <c r="AA107" s="1" t="s">
        <v>78</v>
      </c>
      <c r="AB107" s="1" t="s">
        <v>79</v>
      </c>
      <c r="AC107" s="1"/>
      <c r="AD107" s="1" t="s">
        <v>143</v>
      </c>
      <c r="AE107" s="1" t="s">
        <v>131</v>
      </c>
      <c r="AF107" s="1" t="s">
        <v>82</v>
      </c>
      <c r="AG107" s="1" t="s">
        <v>102</v>
      </c>
      <c r="AH107" s="1" t="s">
        <v>84</v>
      </c>
    </row>
    <row r="108" spans="1:34">
      <c r="A108" s="1" t="s">
        <v>590</v>
      </c>
      <c r="B108" s="1" t="s">
        <v>591</v>
      </c>
      <c r="C108" s="1" t="s">
        <v>592</v>
      </c>
      <c r="D108" s="1" t="s">
        <v>64</v>
      </c>
      <c r="E108" s="1" t="s">
        <v>65</v>
      </c>
      <c r="F108" s="1" t="s">
        <v>148</v>
      </c>
      <c r="G108" s="1" t="s">
        <v>107</v>
      </c>
      <c r="H108" s="1" t="s">
        <v>150</v>
      </c>
      <c r="I108" s="1" t="s">
        <v>151</v>
      </c>
      <c r="J108" s="1" t="s">
        <v>152</v>
      </c>
      <c r="K108" s="1"/>
      <c r="L108" s="1"/>
      <c r="M108" s="1">
        <v>1</v>
      </c>
      <c r="N108" s="13">
        <v>20500</v>
      </c>
      <c r="O108" s="13">
        <f>M108*N108</f>
        <v>20500</v>
      </c>
      <c r="P108" s="13">
        <v>10240.1</v>
      </c>
      <c r="Q108" s="13">
        <f>P108*20%</f>
        <v>2048.02</v>
      </c>
      <c r="R108" s="13">
        <f>O108-P108</f>
        <v>10259.9</v>
      </c>
      <c r="S108" s="1" t="s">
        <v>71</v>
      </c>
      <c r="T108" s="1" t="s">
        <v>72</v>
      </c>
      <c r="U108" s="1"/>
      <c r="V108" s="1" t="s">
        <v>73</v>
      </c>
      <c r="W108" s="1" t="s">
        <v>74</v>
      </c>
      <c r="X108" s="1" t="s">
        <v>141</v>
      </c>
      <c r="Y108" s="1" t="s">
        <v>153</v>
      </c>
      <c r="Z108" s="1" t="s">
        <v>77</v>
      </c>
      <c r="AA108" s="1" t="s">
        <v>78</v>
      </c>
      <c r="AB108" s="1" t="s">
        <v>79</v>
      </c>
      <c r="AC108" s="1"/>
      <c r="AD108" s="1" t="s">
        <v>143</v>
      </c>
      <c r="AE108" s="1" t="s">
        <v>81</v>
      </c>
      <c r="AF108" s="1" t="s">
        <v>82</v>
      </c>
      <c r="AG108" s="1" t="s">
        <v>114</v>
      </c>
      <c r="AH108" s="1" t="s">
        <v>84</v>
      </c>
    </row>
    <row r="109" spans="1:34">
      <c r="A109" s="1" t="s">
        <v>593</v>
      </c>
      <c r="B109" s="1" t="s">
        <v>594</v>
      </c>
      <c r="C109" s="1" t="s">
        <v>595</v>
      </c>
      <c r="D109" s="1" t="s">
        <v>64</v>
      </c>
      <c r="E109" s="1" t="s">
        <v>65</v>
      </c>
      <c r="F109" s="1" t="s">
        <v>148</v>
      </c>
      <c r="G109" s="1" t="s">
        <v>118</v>
      </c>
      <c r="H109" s="1" t="s">
        <v>159</v>
      </c>
      <c r="I109" s="1" t="s">
        <v>160</v>
      </c>
      <c r="J109" s="1" t="s">
        <v>152</v>
      </c>
      <c r="K109" s="1" t="s">
        <v>161</v>
      </c>
      <c r="L109" s="1"/>
      <c r="M109" s="1">
        <v>1</v>
      </c>
      <c r="N109" s="13">
        <v>950</v>
      </c>
      <c r="O109" s="13">
        <f>M109*N109</f>
        <v>950</v>
      </c>
      <c r="P109" s="13">
        <v>647.64</v>
      </c>
      <c r="Q109" s="13">
        <f>P109*20%</f>
        <v>129.52799999999999</v>
      </c>
      <c r="R109" s="13">
        <f>O109-P109</f>
        <v>302.36</v>
      </c>
      <c r="S109" s="1" t="s">
        <v>71</v>
      </c>
      <c r="T109" s="1" t="s">
        <v>72</v>
      </c>
      <c r="U109" s="1"/>
      <c r="V109" s="1" t="s">
        <v>73</v>
      </c>
      <c r="W109" s="1" t="s">
        <v>74</v>
      </c>
      <c r="X109" s="1" t="s">
        <v>141</v>
      </c>
      <c r="Y109" s="1" t="s">
        <v>153</v>
      </c>
      <c r="Z109" s="1" t="s">
        <v>77</v>
      </c>
      <c r="AA109" s="1" t="s">
        <v>78</v>
      </c>
      <c r="AB109" s="1" t="s">
        <v>79</v>
      </c>
      <c r="AC109" s="1"/>
      <c r="AD109" s="1" t="s">
        <v>143</v>
      </c>
      <c r="AE109" s="1" t="s">
        <v>81</v>
      </c>
      <c r="AF109" s="1" t="s">
        <v>82</v>
      </c>
      <c r="AG109" s="1" t="s">
        <v>121</v>
      </c>
      <c r="AH109" s="1" t="s">
        <v>84</v>
      </c>
    </row>
    <row r="110" spans="1:34">
      <c r="A110" s="1" t="s">
        <v>596</v>
      </c>
      <c r="B110" s="1" t="s">
        <v>597</v>
      </c>
      <c r="C110" s="1" t="s">
        <v>598</v>
      </c>
      <c r="D110" s="1" t="s">
        <v>64</v>
      </c>
      <c r="E110" s="1" t="s">
        <v>65</v>
      </c>
      <c r="F110" s="1" t="s">
        <v>166</v>
      </c>
      <c r="G110" s="1" t="s">
        <v>126</v>
      </c>
      <c r="H110" s="1" t="s">
        <v>168</v>
      </c>
      <c r="I110" s="1" t="s">
        <v>169</v>
      </c>
      <c r="J110" s="1" t="s">
        <v>170</v>
      </c>
      <c r="K110" s="1" t="s">
        <v>171</v>
      </c>
      <c r="L110" s="1"/>
      <c r="M110" s="1">
        <v>2</v>
      </c>
      <c r="N110" s="13">
        <v>500</v>
      </c>
      <c r="O110" s="13">
        <f>M110*N110</f>
        <v>1000</v>
      </c>
      <c r="P110" s="13">
        <v>709.31</v>
      </c>
      <c r="Q110" s="13">
        <f>P110*20%</f>
        <v>141.86199999999999</v>
      </c>
      <c r="R110" s="13">
        <f>O110-P110</f>
        <v>290.69000000000005</v>
      </c>
      <c r="S110" s="1" t="s">
        <v>71</v>
      </c>
      <c r="T110" s="1" t="s">
        <v>72</v>
      </c>
      <c r="U110" s="1"/>
      <c r="V110" s="1" t="s">
        <v>73</v>
      </c>
      <c r="W110" s="1" t="s">
        <v>74</v>
      </c>
      <c r="X110" s="1" t="s">
        <v>172</v>
      </c>
      <c r="Y110" s="1" t="s">
        <v>173</v>
      </c>
      <c r="Z110" s="1" t="s">
        <v>77</v>
      </c>
      <c r="AA110" s="1" t="s">
        <v>78</v>
      </c>
      <c r="AB110" s="1" t="s">
        <v>79</v>
      </c>
      <c r="AC110" s="1"/>
      <c r="AD110" s="1" t="s">
        <v>174</v>
      </c>
      <c r="AE110" s="1" t="s">
        <v>175</v>
      </c>
      <c r="AF110" s="1" t="s">
        <v>82</v>
      </c>
      <c r="AG110" s="1" t="s">
        <v>132</v>
      </c>
      <c r="AH110" s="1" t="s">
        <v>84</v>
      </c>
    </row>
    <row r="111" spans="1:34">
      <c r="A111" s="1" t="s">
        <v>599</v>
      </c>
      <c r="B111" s="1" t="s">
        <v>600</v>
      </c>
      <c r="C111" s="1" t="s">
        <v>601</v>
      </c>
      <c r="D111" s="1" t="s">
        <v>64</v>
      </c>
      <c r="E111" s="1" t="s">
        <v>65</v>
      </c>
      <c r="F111" s="1" t="s">
        <v>166</v>
      </c>
      <c r="G111" s="1" t="s">
        <v>137</v>
      </c>
      <c r="H111" s="1" t="s">
        <v>181</v>
      </c>
      <c r="I111" s="1" t="s">
        <v>182</v>
      </c>
      <c r="J111" s="1" t="s">
        <v>170</v>
      </c>
      <c r="K111" s="1" t="s">
        <v>183</v>
      </c>
      <c r="L111" s="1"/>
      <c r="M111" s="1">
        <v>3</v>
      </c>
      <c r="N111" s="13">
        <v>680</v>
      </c>
      <c r="O111" s="13">
        <f>M111*N111</f>
        <v>2040</v>
      </c>
      <c r="P111" s="13">
        <v>1319.02</v>
      </c>
      <c r="Q111" s="13">
        <f>P111*20%</f>
        <v>263.80400000000003</v>
      </c>
      <c r="R111" s="13">
        <f>O111-P111</f>
        <v>720.98</v>
      </c>
      <c r="S111" s="1" t="s">
        <v>71</v>
      </c>
      <c r="T111" s="1" t="s">
        <v>72</v>
      </c>
      <c r="U111" s="1"/>
      <c r="V111" s="1" t="s">
        <v>73</v>
      </c>
      <c r="W111" s="1" t="s">
        <v>74</v>
      </c>
      <c r="X111" s="1" t="s">
        <v>172</v>
      </c>
      <c r="Y111" s="1" t="s">
        <v>173</v>
      </c>
      <c r="Z111" s="1" t="s">
        <v>77</v>
      </c>
      <c r="AA111" s="1" t="s">
        <v>78</v>
      </c>
      <c r="AB111" s="1" t="s">
        <v>79</v>
      </c>
      <c r="AC111" s="1"/>
      <c r="AD111" s="1" t="s">
        <v>174</v>
      </c>
      <c r="AE111" s="1" t="s">
        <v>175</v>
      </c>
      <c r="AF111" s="1" t="s">
        <v>82</v>
      </c>
      <c r="AG111" s="1" t="s">
        <v>144</v>
      </c>
      <c r="AH111" s="1" t="s">
        <v>84</v>
      </c>
    </row>
    <row r="112" spans="1:34">
      <c r="A112" s="1" t="s">
        <v>602</v>
      </c>
      <c r="B112" s="1" t="s">
        <v>603</v>
      </c>
      <c r="C112" s="1" t="s">
        <v>604</v>
      </c>
      <c r="D112" s="1" t="s">
        <v>64</v>
      </c>
      <c r="E112" s="1" t="s">
        <v>65</v>
      </c>
      <c r="F112" s="1" t="s">
        <v>166</v>
      </c>
      <c r="G112" s="1" t="s">
        <v>149</v>
      </c>
      <c r="H112" s="1" t="s">
        <v>189</v>
      </c>
      <c r="I112" s="1" t="s">
        <v>190</v>
      </c>
      <c r="J112" s="1" t="s">
        <v>191</v>
      </c>
      <c r="K112" s="1" t="s">
        <v>192</v>
      </c>
      <c r="L112" s="1"/>
      <c r="M112" s="1">
        <v>3</v>
      </c>
      <c r="N112" s="13">
        <v>90</v>
      </c>
      <c r="O112" s="13">
        <f>M112*N112</f>
        <v>270</v>
      </c>
      <c r="P112" s="13">
        <v>129.69</v>
      </c>
      <c r="Q112" s="13">
        <f>P112*20%</f>
        <v>25.938000000000002</v>
      </c>
      <c r="R112" s="13">
        <f>O112-P112</f>
        <v>140.31</v>
      </c>
      <c r="S112" s="1" t="s">
        <v>71</v>
      </c>
      <c r="T112" s="1" t="s">
        <v>72</v>
      </c>
      <c r="U112" s="1"/>
      <c r="V112" s="1" t="s">
        <v>73</v>
      </c>
      <c r="W112" s="1" t="s">
        <v>74</v>
      </c>
      <c r="X112" s="1" t="s">
        <v>172</v>
      </c>
      <c r="Y112" s="1" t="s">
        <v>173</v>
      </c>
      <c r="Z112" s="1" t="s">
        <v>77</v>
      </c>
      <c r="AA112" s="1" t="s">
        <v>78</v>
      </c>
      <c r="AB112" s="1" t="s">
        <v>79</v>
      </c>
      <c r="AC112" s="1"/>
      <c r="AD112" s="1" t="s">
        <v>80</v>
      </c>
      <c r="AE112" s="1" t="s">
        <v>193</v>
      </c>
      <c r="AF112" s="1" t="s">
        <v>82</v>
      </c>
      <c r="AG112" s="1" t="s">
        <v>154</v>
      </c>
      <c r="AH112" s="1" t="s">
        <v>84</v>
      </c>
    </row>
    <row r="113" spans="1:34">
      <c r="A113" s="1" t="s">
        <v>605</v>
      </c>
      <c r="B113" s="1" t="s">
        <v>606</v>
      </c>
      <c r="C113" s="1" t="s">
        <v>607</v>
      </c>
      <c r="D113" s="1" t="s">
        <v>64</v>
      </c>
      <c r="E113" s="1" t="s">
        <v>65</v>
      </c>
      <c r="F113" s="1" t="s">
        <v>198</v>
      </c>
      <c r="G113" s="1" t="s">
        <v>158</v>
      </c>
      <c r="H113" s="1" t="s">
        <v>200</v>
      </c>
      <c r="I113" s="1" t="s">
        <v>201</v>
      </c>
      <c r="J113" s="1" t="s">
        <v>202</v>
      </c>
      <c r="K113" s="1" t="s">
        <v>203</v>
      </c>
      <c r="L113" s="1"/>
      <c r="M113" s="1">
        <v>1</v>
      </c>
      <c r="N113" s="13">
        <v>155</v>
      </c>
      <c r="O113" s="13">
        <f>M113*N113</f>
        <v>155</v>
      </c>
      <c r="P113" s="13">
        <v>79.59</v>
      </c>
      <c r="Q113" s="13">
        <f>P113*20%</f>
        <v>15.918000000000001</v>
      </c>
      <c r="R113" s="13">
        <f>O113-P113</f>
        <v>75.41</v>
      </c>
      <c r="S113" s="1" t="s">
        <v>71</v>
      </c>
      <c r="T113" s="1" t="s">
        <v>72</v>
      </c>
      <c r="U113" s="1"/>
      <c r="V113" s="1" t="s">
        <v>73</v>
      </c>
      <c r="W113" s="1" t="s">
        <v>74</v>
      </c>
      <c r="X113" s="1" t="s">
        <v>204</v>
      </c>
      <c r="Y113" s="1" t="s">
        <v>205</v>
      </c>
      <c r="Z113" s="1" t="s">
        <v>77</v>
      </c>
      <c r="AA113" s="1" t="s">
        <v>78</v>
      </c>
      <c r="AB113" s="1" t="s">
        <v>79</v>
      </c>
      <c r="AC113" s="1"/>
      <c r="AD113" s="1" t="s">
        <v>206</v>
      </c>
      <c r="AE113" s="1" t="s">
        <v>207</v>
      </c>
      <c r="AF113" s="1" t="s">
        <v>82</v>
      </c>
      <c r="AG113" s="1" t="s">
        <v>162</v>
      </c>
      <c r="AH113" s="1" t="s">
        <v>84</v>
      </c>
    </row>
    <row r="114" spans="1:34">
      <c r="A114" s="1" t="s">
        <v>608</v>
      </c>
      <c r="B114" s="1" t="s">
        <v>609</v>
      </c>
      <c r="C114" s="1" t="s">
        <v>610</v>
      </c>
      <c r="D114" s="1" t="s">
        <v>64</v>
      </c>
      <c r="E114" s="1" t="s">
        <v>65</v>
      </c>
      <c r="F114" s="1" t="s">
        <v>198</v>
      </c>
      <c r="G114" s="1" t="s">
        <v>167</v>
      </c>
      <c r="H114" s="1" t="s">
        <v>213</v>
      </c>
      <c r="I114" s="1" t="s">
        <v>214</v>
      </c>
      <c r="J114" s="1" t="s">
        <v>215</v>
      </c>
      <c r="K114" s="1" t="s">
        <v>216</v>
      </c>
      <c r="L114" s="1"/>
      <c r="M114" s="1">
        <v>1</v>
      </c>
      <c r="N114" s="13">
        <v>245</v>
      </c>
      <c r="O114" s="13">
        <f>M114*N114</f>
        <v>245</v>
      </c>
      <c r="P114" s="13">
        <v>176.04</v>
      </c>
      <c r="Q114" s="13">
        <f>P114*20%</f>
        <v>35.207999999999998</v>
      </c>
      <c r="R114" s="13">
        <f>O114-P114</f>
        <v>68.960000000000008</v>
      </c>
      <c r="S114" s="1" t="s">
        <v>71</v>
      </c>
      <c r="T114" s="1" t="s">
        <v>72</v>
      </c>
      <c r="U114" s="1"/>
      <c r="V114" s="1" t="s">
        <v>73</v>
      </c>
      <c r="W114" s="1" t="s">
        <v>74</v>
      </c>
      <c r="X114" s="1" t="s">
        <v>204</v>
      </c>
      <c r="Y114" s="1" t="s">
        <v>205</v>
      </c>
      <c r="Z114" s="1" t="s">
        <v>77</v>
      </c>
      <c r="AA114" s="1" t="s">
        <v>78</v>
      </c>
      <c r="AB114" s="1" t="s">
        <v>79</v>
      </c>
      <c r="AC114" s="1"/>
      <c r="AD114" s="1" t="s">
        <v>206</v>
      </c>
      <c r="AE114" s="1" t="s">
        <v>217</v>
      </c>
      <c r="AF114" s="1" t="s">
        <v>82</v>
      </c>
      <c r="AG114" s="1" t="s">
        <v>176</v>
      </c>
      <c r="AH114" s="1" t="s">
        <v>84</v>
      </c>
    </row>
    <row r="116" spans="1:34">
      <c r="M116" s="19" t="s">
        <v>26</v>
      </c>
      <c r="O116" s="17">
        <f>SUM(O5:O114)</f>
        <v>501420</v>
      </c>
      <c r="P116" s="17">
        <f>SUM(P5:P114)</f>
        <v>277845.55000000005</v>
      </c>
      <c r="Q116" s="17">
        <f>SUM(Q5:Q114)</f>
        <v>55569.110000000015</v>
      </c>
      <c r="R116" s="17">
        <f>SUM(R5:R114)</f>
        <v>223574.44999999998</v>
      </c>
    </row>
  </sheetData>
  <mergeCells count="2">
    <mergeCell ref="A2:AH2"/>
    <mergeCell ref="A1:AH1"/>
  </mergeCells>
  <conditionalFormatting sqref="AB5:AB114">
    <cfRule type="expression" dxfId="5" priority="1">
      <formula>AB5="Review"</formula>
    </cfRule>
  </conditionalFormatting>
  <conditionalFormatting sqref="Z5:Z114">
    <cfRule type="expression" dxfId="4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6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" customWidth="1"/>
    <col min="2" max="3" width="18" customWidth="1"/>
    <col min="4" max="4" width="14" customWidth="1"/>
    <col min="5" max="5" width="22" customWidth="1"/>
    <col min="6" max="6" width="24" customWidth="1"/>
    <col min="7" max="7" width="14" customWidth="1"/>
    <col min="8" max="8" width="17" customWidth="1"/>
    <col min="9" max="9" width="38" customWidth="1"/>
    <col min="10" max="10" width="12" customWidth="1"/>
    <col min="11" max="11" width="14" customWidth="1"/>
    <col min="12" max="13" width="10" customWidth="1"/>
    <col min="14" max="14" width="16" customWidth="1"/>
    <col min="15" max="15" width="18" customWidth="1"/>
    <col min="16" max="16" width="20" customWidth="1"/>
    <col min="17" max="17" width="22" customWidth="1"/>
    <col min="18" max="18" width="23" customWidth="1"/>
    <col min="19" max="20" width="16" customWidth="1"/>
    <col min="21" max="21" width="18" customWidth="1"/>
    <col min="22" max="23" width="24" customWidth="1"/>
    <col min="24" max="24" width="18" customWidth="1"/>
    <col min="25" max="25" width="25" customWidth="1"/>
    <col min="26" max="26" width="15" customWidth="1"/>
    <col min="27" max="27" width="20" customWidth="1"/>
    <col min="28" max="28" width="17" customWidth="1"/>
    <col min="29" max="29" width="18" customWidth="1"/>
    <col min="30" max="30" width="28" customWidth="1"/>
    <col min="31" max="31" width="18" customWidth="1"/>
    <col min="32" max="32" width="14" customWidth="1"/>
    <col min="33" max="33" width="21" customWidth="1"/>
    <col min="34" max="34" width="28" customWidth="1"/>
  </cols>
  <sheetData>
    <row r="1" spans="1:34" ht="27.95" customHeight="1">
      <c r="A1" s="23" t="s">
        <v>611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</row>
    <row r="2" spans="1:34" ht="30" customHeight="1">
      <c r="A2" s="22" t="s">
        <v>612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</row>
    <row r="4" spans="1:34" ht="42" customHeight="1">
      <c r="A4" s="18" t="s">
        <v>29</v>
      </c>
      <c r="B4" s="18" t="s">
        <v>30</v>
      </c>
      <c r="C4" s="18" t="s">
        <v>31</v>
      </c>
      <c r="D4" s="18" t="s">
        <v>32</v>
      </c>
      <c r="E4" s="18" t="s">
        <v>33</v>
      </c>
      <c r="F4" s="18" t="s">
        <v>34</v>
      </c>
      <c r="G4" s="18" t="s">
        <v>35</v>
      </c>
      <c r="H4" s="18" t="s">
        <v>36</v>
      </c>
      <c r="I4" s="18" t="s">
        <v>37</v>
      </c>
      <c r="J4" s="18" t="s">
        <v>38</v>
      </c>
      <c r="K4" s="18" t="s">
        <v>39</v>
      </c>
      <c r="L4" s="18" t="s">
        <v>40</v>
      </c>
      <c r="M4" s="18" t="s">
        <v>41</v>
      </c>
      <c r="N4" s="18" t="s">
        <v>42</v>
      </c>
      <c r="O4" s="18" t="s">
        <v>43</v>
      </c>
      <c r="P4" s="18" t="s">
        <v>19</v>
      </c>
      <c r="Q4" s="18" t="s">
        <v>20</v>
      </c>
      <c r="R4" s="18" t="s">
        <v>44</v>
      </c>
      <c r="S4" s="18" t="s">
        <v>45</v>
      </c>
      <c r="T4" s="18" t="s">
        <v>46</v>
      </c>
      <c r="U4" s="18" t="s">
        <v>47</v>
      </c>
      <c r="V4" s="18" t="s">
        <v>48</v>
      </c>
      <c r="W4" s="18" t="s">
        <v>49</v>
      </c>
      <c r="X4" s="18" t="s">
        <v>50</v>
      </c>
      <c r="Y4" s="18" t="s">
        <v>51</v>
      </c>
      <c r="Z4" s="18" t="s">
        <v>52</v>
      </c>
      <c r="AA4" s="18" t="s">
        <v>53</v>
      </c>
      <c r="AB4" s="18" t="s">
        <v>54</v>
      </c>
      <c r="AC4" s="18" t="s">
        <v>55</v>
      </c>
      <c r="AD4" s="18" t="s">
        <v>56</v>
      </c>
      <c r="AE4" s="18" t="s">
        <v>57</v>
      </c>
      <c r="AF4" s="18" t="s">
        <v>58</v>
      </c>
      <c r="AG4" s="18" t="s">
        <v>59</v>
      </c>
      <c r="AH4" s="18" t="s">
        <v>60</v>
      </c>
    </row>
    <row r="5" spans="1:34">
      <c r="A5" s="1" t="s">
        <v>613</v>
      </c>
      <c r="B5" s="1" t="s">
        <v>614</v>
      </c>
      <c r="C5" s="1" t="s">
        <v>615</v>
      </c>
      <c r="D5" s="1" t="s">
        <v>616</v>
      </c>
      <c r="E5" s="1" t="s">
        <v>65</v>
      </c>
      <c r="F5" s="1" t="s">
        <v>617</v>
      </c>
      <c r="G5" s="1" t="s">
        <v>67</v>
      </c>
      <c r="H5" s="1" t="s">
        <v>618</v>
      </c>
      <c r="I5" s="1" t="s">
        <v>619</v>
      </c>
      <c r="J5" s="1" t="s">
        <v>620</v>
      </c>
      <c r="K5" s="1" t="s">
        <v>621</v>
      </c>
      <c r="L5" s="1"/>
      <c r="M5" s="1">
        <v>1</v>
      </c>
      <c r="N5" s="13">
        <v>360</v>
      </c>
      <c r="O5" s="13">
        <f>M5*N5</f>
        <v>360</v>
      </c>
      <c r="P5" s="13">
        <v>221.39</v>
      </c>
      <c r="Q5" s="13">
        <f>P5*20%</f>
        <v>44.277999999999999</v>
      </c>
      <c r="R5" s="13">
        <f>O5-P5</f>
        <v>138.61000000000001</v>
      </c>
      <c r="S5" s="1" t="s">
        <v>71</v>
      </c>
      <c r="T5" s="1" t="s">
        <v>72</v>
      </c>
      <c r="U5" s="1"/>
      <c r="V5" s="1" t="s">
        <v>73</v>
      </c>
      <c r="W5" s="1" t="s">
        <v>74</v>
      </c>
      <c r="X5" s="1" t="s">
        <v>622</v>
      </c>
      <c r="Y5" s="1" t="s">
        <v>623</v>
      </c>
      <c r="Z5" s="1" t="s">
        <v>77</v>
      </c>
      <c r="AA5" s="1" t="s">
        <v>78</v>
      </c>
      <c r="AB5" s="1" t="s">
        <v>79</v>
      </c>
      <c r="AC5" s="1"/>
      <c r="AD5" s="1" t="s">
        <v>624</v>
      </c>
      <c r="AE5" s="1" t="s">
        <v>625</v>
      </c>
      <c r="AF5" s="1" t="s">
        <v>626</v>
      </c>
      <c r="AG5" s="1" t="s">
        <v>83</v>
      </c>
      <c r="AH5" s="1" t="s">
        <v>84</v>
      </c>
    </row>
    <row r="6" spans="1:34">
      <c r="A6" s="1" t="s">
        <v>627</v>
      </c>
      <c r="B6" s="1" t="s">
        <v>628</v>
      </c>
      <c r="C6" s="1" t="s">
        <v>629</v>
      </c>
      <c r="D6" s="1" t="s">
        <v>616</v>
      </c>
      <c r="E6" s="1" t="s">
        <v>65</v>
      </c>
      <c r="F6" s="1" t="s">
        <v>617</v>
      </c>
      <c r="G6" s="1" t="s">
        <v>88</v>
      </c>
      <c r="H6" s="1" t="s">
        <v>630</v>
      </c>
      <c r="I6" s="1" t="s">
        <v>631</v>
      </c>
      <c r="J6" s="1" t="s">
        <v>620</v>
      </c>
      <c r="K6" s="1" t="s">
        <v>632</v>
      </c>
      <c r="L6" s="1"/>
      <c r="M6" s="1">
        <v>1</v>
      </c>
      <c r="N6" s="13">
        <v>670</v>
      </c>
      <c r="O6" s="13">
        <f>M6*N6</f>
        <v>670</v>
      </c>
      <c r="P6" s="13">
        <v>369.46</v>
      </c>
      <c r="Q6" s="13">
        <f>P6*20%</f>
        <v>73.891999999999996</v>
      </c>
      <c r="R6" s="13">
        <f>O6-P6</f>
        <v>300.54000000000002</v>
      </c>
      <c r="S6" s="1" t="s">
        <v>71</v>
      </c>
      <c r="T6" s="1" t="s">
        <v>72</v>
      </c>
      <c r="U6" s="1"/>
      <c r="V6" s="1" t="s">
        <v>73</v>
      </c>
      <c r="W6" s="1" t="s">
        <v>74</v>
      </c>
      <c r="X6" s="1" t="s">
        <v>622</v>
      </c>
      <c r="Y6" s="1" t="s">
        <v>623</v>
      </c>
      <c r="Z6" s="1" t="s">
        <v>77</v>
      </c>
      <c r="AA6" s="1" t="s">
        <v>78</v>
      </c>
      <c r="AB6" s="1" t="s">
        <v>79</v>
      </c>
      <c r="AC6" s="1"/>
      <c r="AD6" s="1" t="s">
        <v>624</v>
      </c>
      <c r="AE6" s="1" t="s">
        <v>633</v>
      </c>
      <c r="AF6" s="1" t="s">
        <v>626</v>
      </c>
      <c r="AG6" s="1" t="s">
        <v>92</v>
      </c>
      <c r="AH6" s="1" t="s">
        <v>84</v>
      </c>
    </row>
    <row r="7" spans="1:34">
      <c r="A7" s="1" t="s">
        <v>634</v>
      </c>
      <c r="B7" s="1" t="s">
        <v>635</v>
      </c>
      <c r="C7" s="1" t="s">
        <v>636</v>
      </c>
      <c r="D7" s="1" t="s">
        <v>616</v>
      </c>
      <c r="E7" s="1" t="s">
        <v>65</v>
      </c>
      <c r="F7" s="1" t="s">
        <v>617</v>
      </c>
      <c r="G7" s="1" t="s">
        <v>97</v>
      </c>
      <c r="H7" s="1" t="s">
        <v>637</v>
      </c>
      <c r="I7" s="1" t="s">
        <v>638</v>
      </c>
      <c r="J7" s="1" t="s">
        <v>620</v>
      </c>
      <c r="K7" s="1" t="s">
        <v>639</v>
      </c>
      <c r="L7" s="1"/>
      <c r="M7" s="1">
        <v>1</v>
      </c>
      <c r="N7" s="13">
        <v>1280</v>
      </c>
      <c r="O7" s="13">
        <f>M7*N7</f>
        <v>1280</v>
      </c>
      <c r="P7" s="13">
        <v>736.35</v>
      </c>
      <c r="Q7" s="13">
        <f>P7*20%</f>
        <v>147.27000000000001</v>
      </c>
      <c r="R7" s="13">
        <f>O7-P7</f>
        <v>543.65</v>
      </c>
      <c r="S7" s="1" t="s">
        <v>71</v>
      </c>
      <c r="T7" s="1" t="s">
        <v>72</v>
      </c>
      <c r="U7" s="1"/>
      <c r="V7" s="1" t="s">
        <v>73</v>
      </c>
      <c r="W7" s="1" t="s">
        <v>74</v>
      </c>
      <c r="X7" s="1" t="s">
        <v>622</v>
      </c>
      <c r="Y7" s="1" t="s">
        <v>623</v>
      </c>
      <c r="Z7" s="1" t="s">
        <v>77</v>
      </c>
      <c r="AA7" s="1" t="s">
        <v>78</v>
      </c>
      <c r="AB7" s="1" t="s">
        <v>79</v>
      </c>
      <c r="AC7" s="1"/>
      <c r="AD7" s="1" t="s">
        <v>624</v>
      </c>
      <c r="AE7" s="1" t="s">
        <v>640</v>
      </c>
      <c r="AF7" s="1" t="s">
        <v>626</v>
      </c>
      <c r="AG7" s="1" t="s">
        <v>102</v>
      </c>
      <c r="AH7" s="1" t="s">
        <v>84</v>
      </c>
    </row>
    <row r="8" spans="1:34">
      <c r="A8" s="1" t="s">
        <v>641</v>
      </c>
      <c r="B8" s="1" t="s">
        <v>642</v>
      </c>
      <c r="C8" s="1" t="s">
        <v>643</v>
      </c>
      <c r="D8" s="1" t="s">
        <v>616</v>
      </c>
      <c r="E8" s="1" t="s">
        <v>65</v>
      </c>
      <c r="F8" s="1" t="s">
        <v>617</v>
      </c>
      <c r="G8" s="1" t="s">
        <v>107</v>
      </c>
      <c r="H8" s="1" t="s">
        <v>644</v>
      </c>
      <c r="I8" s="1" t="s">
        <v>645</v>
      </c>
      <c r="J8" s="1" t="s">
        <v>620</v>
      </c>
      <c r="K8" s="1" t="s">
        <v>646</v>
      </c>
      <c r="L8" s="1"/>
      <c r="M8" s="1">
        <v>1</v>
      </c>
      <c r="N8" s="13">
        <v>2350</v>
      </c>
      <c r="O8" s="13">
        <f>M8*N8</f>
        <v>2350</v>
      </c>
      <c r="P8" s="13">
        <v>1072.31</v>
      </c>
      <c r="Q8" s="13">
        <f>P8*20%</f>
        <v>214.46199999999999</v>
      </c>
      <c r="R8" s="13">
        <f>O8-P8</f>
        <v>1277.69</v>
      </c>
      <c r="S8" s="1" t="s">
        <v>71</v>
      </c>
      <c r="T8" s="1" t="s">
        <v>72</v>
      </c>
      <c r="U8" s="1"/>
      <c r="V8" s="1" t="s">
        <v>73</v>
      </c>
      <c r="W8" s="1" t="s">
        <v>74</v>
      </c>
      <c r="X8" s="1" t="s">
        <v>622</v>
      </c>
      <c r="Y8" s="1" t="s">
        <v>623</v>
      </c>
      <c r="Z8" s="1" t="s">
        <v>77</v>
      </c>
      <c r="AA8" s="1" t="s">
        <v>78</v>
      </c>
      <c r="AB8" s="1" t="s">
        <v>79</v>
      </c>
      <c r="AC8" s="1"/>
      <c r="AD8" s="1" t="s">
        <v>624</v>
      </c>
      <c r="AE8" s="1" t="s">
        <v>240</v>
      </c>
      <c r="AF8" s="1" t="s">
        <v>626</v>
      </c>
      <c r="AG8" s="1" t="s">
        <v>114</v>
      </c>
      <c r="AH8" s="1" t="s">
        <v>84</v>
      </c>
    </row>
    <row r="9" spans="1:34">
      <c r="A9" s="1" t="s">
        <v>647</v>
      </c>
      <c r="B9" s="1" t="s">
        <v>648</v>
      </c>
      <c r="C9" s="1" t="s">
        <v>649</v>
      </c>
      <c r="D9" s="1" t="s">
        <v>616</v>
      </c>
      <c r="E9" s="1" t="s">
        <v>65</v>
      </c>
      <c r="F9" s="1" t="s">
        <v>617</v>
      </c>
      <c r="G9" s="1" t="s">
        <v>118</v>
      </c>
      <c r="H9" s="1" t="s">
        <v>650</v>
      </c>
      <c r="I9" s="1" t="s">
        <v>651</v>
      </c>
      <c r="J9" s="1" t="s">
        <v>620</v>
      </c>
      <c r="K9" s="1" t="s">
        <v>652</v>
      </c>
      <c r="L9" s="1"/>
      <c r="M9" s="1">
        <v>1</v>
      </c>
      <c r="N9" s="13">
        <v>4300</v>
      </c>
      <c r="O9" s="13">
        <f>M9*N9</f>
        <v>4300</v>
      </c>
      <c r="P9" s="13">
        <v>2095.86</v>
      </c>
      <c r="Q9" s="13">
        <f>P9*20%</f>
        <v>419.17200000000003</v>
      </c>
      <c r="R9" s="13">
        <f>O9-P9</f>
        <v>2204.14</v>
      </c>
      <c r="S9" s="1" t="s">
        <v>71</v>
      </c>
      <c r="T9" s="1" t="s">
        <v>72</v>
      </c>
      <c r="U9" s="1"/>
      <c r="V9" s="1" t="s">
        <v>73</v>
      </c>
      <c r="W9" s="1" t="s">
        <v>74</v>
      </c>
      <c r="X9" s="1" t="s">
        <v>622</v>
      </c>
      <c r="Y9" s="1" t="s">
        <v>623</v>
      </c>
      <c r="Z9" s="1" t="s">
        <v>77</v>
      </c>
      <c r="AA9" s="1" t="s">
        <v>78</v>
      </c>
      <c r="AB9" s="1" t="s">
        <v>79</v>
      </c>
      <c r="AC9" s="1"/>
      <c r="AD9" s="1" t="s">
        <v>624</v>
      </c>
      <c r="AE9" s="1" t="s">
        <v>261</v>
      </c>
      <c r="AF9" s="1" t="s">
        <v>626</v>
      </c>
      <c r="AG9" s="1" t="s">
        <v>121</v>
      </c>
      <c r="AH9" s="1" t="s">
        <v>84</v>
      </c>
    </row>
    <row r="10" spans="1:34">
      <c r="A10" s="1" t="s">
        <v>653</v>
      </c>
      <c r="B10" s="1" t="s">
        <v>654</v>
      </c>
      <c r="C10" s="1" t="s">
        <v>655</v>
      </c>
      <c r="D10" s="1" t="s">
        <v>616</v>
      </c>
      <c r="E10" s="1" t="s">
        <v>65</v>
      </c>
      <c r="F10" s="1" t="s">
        <v>656</v>
      </c>
      <c r="G10" s="1" t="s">
        <v>126</v>
      </c>
      <c r="H10" s="1" t="s">
        <v>657</v>
      </c>
      <c r="I10" s="1" t="s">
        <v>658</v>
      </c>
      <c r="J10" s="1" t="s">
        <v>659</v>
      </c>
      <c r="K10" s="1" t="s">
        <v>660</v>
      </c>
      <c r="L10" s="1"/>
      <c r="M10" s="1">
        <v>1</v>
      </c>
      <c r="N10" s="13">
        <v>215</v>
      </c>
      <c r="O10" s="13">
        <f>M10*N10</f>
        <v>215</v>
      </c>
      <c r="P10" s="13">
        <v>112.11</v>
      </c>
      <c r="Q10" s="13">
        <f>P10*20%</f>
        <v>22.422000000000001</v>
      </c>
      <c r="R10" s="13">
        <f>O10-P10</f>
        <v>102.89</v>
      </c>
      <c r="S10" s="1" t="s">
        <v>71</v>
      </c>
      <c r="T10" s="1" t="s">
        <v>72</v>
      </c>
      <c r="U10" s="1"/>
      <c r="V10" s="1" t="s">
        <v>73</v>
      </c>
      <c r="W10" s="1" t="s">
        <v>74</v>
      </c>
      <c r="X10" s="1" t="s">
        <v>661</v>
      </c>
      <c r="Y10" s="1" t="s">
        <v>662</v>
      </c>
      <c r="Z10" s="1" t="s">
        <v>77</v>
      </c>
      <c r="AA10" s="1" t="s">
        <v>78</v>
      </c>
      <c r="AB10" s="1" t="s">
        <v>79</v>
      </c>
      <c r="AC10" s="1"/>
      <c r="AD10" s="1" t="s">
        <v>663</v>
      </c>
      <c r="AE10" s="1" t="s">
        <v>664</v>
      </c>
      <c r="AF10" s="1" t="s">
        <v>626</v>
      </c>
      <c r="AG10" s="1" t="s">
        <v>132</v>
      </c>
      <c r="AH10" s="1" t="s">
        <v>84</v>
      </c>
    </row>
    <row r="11" spans="1:34">
      <c r="A11" s="1" t="s">
        <v>665</v>
      </c>
      <c r="B11" s="1" t="s">
        <v>666</v>
      </c>
      <c r="C11" s="1" t="s">
        <v>667</v>
      </c>
      <c r="D11" s="1" t="s">
        <v>616</v>
      </c>
      <c r="E11" s="1" t="s">
        <v>65</v>
      </c>
      <c r="F11" s="1" t="s">
        <v>656</v>
      </c>
      <c r="G11" s="1" t="s">
        <v>137</v>
      </c>
      <c r="H11" s="1" t="s">
        <v>668</v>
      </c>
      <c r="I11" s="1" t="s">
        <v>669</v>
      </c>
      <c r="J11" s="1" t="s">
        <v>659</v>
      </c>
      <c r="K11" s="1" t="s">
        <v>670</v>
      </c>
      <c r="L11" s="1"/>
      <c r="M11" s="1">
        <v>1</v>
      </c>
      <c r="N11" s="13">
        <v>315</v>
      </c>
      <c r="O11" s="13">
        <f>M11*N11</f>
        <v>315</v>
      </c>
      <c r="P11" s="13">
        <v>187.9</v>
      </c>
      <c r="Q11" s="13">
        <f>P11*20%</f>
        <v>37.580000000000005</v>
      </c>
      <c r="R11" s="13">
        <f>O11-P11</f>
        <v>127.1</v>
      </c>
      <c r="S11" s="1" t="s">
        <v>71</v>
      </c>
      <c r="T11" s="1" t="s">
        <v>72</v>
      </c>
      <c r="U11" s="1"/>
      <c r="V11" s="1" t="s">
        <v>73</v>
      </c>
      <c r="W11" s="1" t="s">
        <v>74</v>
      </c>
      <c r="X11" s="1" t="s">
        <v>661</v>
      </c>
      <c r="Y11" s="1" t="s">
        <v>662</v>
      </c>
      <c r="Z11" s="1" t="s">
        <v>77</v>
      </c>
      <c r="AA11" s="1" t="s">
        <v>78</v>
      </c>
      <c r="AB11" s="1" t="s">
        <v>79</v>
      </c>
      <c r="AC11" s="1"/>
      <c r="AD11" s="1" t="s">
        <v>663</v>
      </c>
      <c r="AE11" s="1" t="s">
        <v>217</v>
      </c>
      <c r="AF11" s="1" t="s">
        <v>626</v>
      </c>
      <c r="AG11" s="1" t="s">
        <v>144</v>
      </c>
      <c r="AH11" s="1" t="s">
        <v>84</v>
      </c>
    </row>
    <row r="12" spans="1:34">
      <c r="A12" s="1" t="s">
        <v>671</v>
      </c>
      <c r="B12" s="1" t="s">
        <v>672</v>
      </c>
      <c r="C12" s="1" t="s">
        <v>673</v>
      </c>
      <c r="D12" s="1" t="s">
        <v>616</v>
      </c>
      <c r="E12" s="1" t="s">
        <v>65</v>
      </c>
      <c r="F12" s="1" t="s">
        <v>656</v>
      </c>
      <c r="G12" s="1" t="s">
        <v>149</v>
      </c>
      <c r="H12" s="1" t="s">
        <v>674</v>
      </c>
      <c r="I12" s="1" t="s">
        <v>675</v>
      </c>
      <c r="J12" s="1" t="s">
        <v>659</v>
      </c>
      <c r="K12" s="1" t="s">
        <v>676</v>
      </c>
      <c r="L12" s="1"/>
      <c r="M12" s="1">
        <v>1</v>
      </c>
      <c r="N12" s="13">
        <v>410</v>
      </c>
      <c r="O12" s="13">
        <f>M12*N12</f>
        <v>410</v>
      </c>
      <c r="P12" s="13">
        <v>200.5</v>
      </c>
      <c r="Q12" s="13">
        <f>P12*20%</f>
        <v>40.1</v>
      </c>
      <c r="R12" s="13">
        <f>O12-P12</f>
        <v>209.5</v>
      </c>
      <c r="S12" s="1" t="s">
        <v>71</v>
      </c>
      <c r="T12" s="1" t="s">
        <v>72</v>
      </c>
      <c r="U12" s="1"/>
      <c r="V12" s="1" t="s">
        <v>73</v>
      </c>
      <c r="W12" s="1" t="s">
        <v>74</v>
      </c>
      <c r="X12" s="1" t="s">
        <v>661</v>
      </c>
      <c r="Y12" s="1" t="s">
        <v>662</v>
      </c>
      <c r="Z12" s="1" t="s">
        <v>77</v>
      </c>
      <c r="AA12" s="1" t="s">
        <v>78</v>
      </c>
      <c r="AB12" s="1" t="s">
        <v>79</v>
      </c>
      <c r="AC12" s="1"/>
      <c r="AD12" s="1" t="s">
        <v>663</v>
      </c>
      <c r="AE12" s="1" t="s">
        <v>677</v>
      </c>
      <c r="AF12" s="1" t="s">
        <v>626</v>
      </c>
      <c r="AG12" s="1" t="s">
        <v>154</v>
      </c>
      <c r="AH12" s="1" t="s">
        <v>84</v>
      </c>
    </row>
    <row r="13" spans="1:34">
      <c r="A13" s="1" t="s">
        <v>678</v>
      </c>
      <c r="B13" s="1" t="s">
        <v>679</v>
      </c>
      <c r="C13" s="1" t="s">
        <v>680</v>
      </c>
      <c r="D13" s="1" t="s">
        <v>616</v>
      </c>
      <c r="E13" s="1" t="s">
        <v>65</v>
      </c>
      <c r="F13" s="1" t="s">
        <v>656</v>
      </c>
      <c r="G13" s="1" t="s">
        <v>158</v>
      </c>
      <c r="H13" s="1" t="s">
        <v>681</v>
      </c>
      <c r="I13" s="1" t="s">
        <v>682</v>
      </c>
      <c r="J13" s="1" t="s">
        <v>659</v>
      </c>
      <c r="K13" s="1" t="s">
        <v>683</v>
      </c>
      <c r="L13" s="1"/>
      <c r="M13" s="1">
        <v>1</v>
      </c>
      <c r="N13" s="13">
        <v>570</v>
      </c>
      <c r="O13" s="13">
        <f>M13*N13</f>
        <v>570</v>
      </c>
      <c r="P13" s="13">
        <v>277.06</v>
      </c>
      <c r="Q13" s="13">
        <f>P13*20%</f>
        <v>55.412000000000006</v>
      </c>
      <c r="R13" s="13">
        <f>O13-P13</f>
        <v>292.94</v>
      </c>
      <c r="S13" s="1" t="s">
        <v>71</v>
      </c>
      <c r="T13" s="1" t="s">
        <v>72</v>
      </c>
      <c r="U13" s="1"/>
      <c r="V13" s="1" t="s">
        <v>73</v>
      </c>
      <c r="W13" s="1" t="s">
        <v>74</v>
      </c>
      <c r="X13" s="1" t="s">
        <v>661</v>
      </c>
      <c r="Y13" s="1" t="s">
        <v>662</v>
      </c>
      <c r="Z13" s="1" t="s">
        <v>77</v>
      </c>
      <c r="AA13" s="1" t="s">
        <v>78</v>
      </c>
      <c r="AB13" s="1" t="s">
        <v>79</v>
      </c>
      <c r="AC13" s="1"/>
      <c r="AD13" s="1" t="s">
        <v>663</v>
      </c>
      <c r="AE13" s="1" t="s">
        <v>684</v>
      </c>
      <c r="AF13" s="1" t="s">
        <v>626</v>
      </c>
      <c r="AG13" s="1" t="s">
        <v>162</v>
      </c>
      <c r="AH13" s="1" t="s">
        <v>84</v>
      </c>
    </row>
    <row r="14" spans="1:34">
      <c r="A14" s="1" t="s">
        <v>685</v>
      </c>
      <c r="B14" s="1" t="s">
        <v>686</v>
      </c>
      <c r="C14" s="1" t="s">
        <v>687</v>
      </c>
      <c r="D14" s="1" t="s">
        <v>616</v>
      </c>
      <c r="E14" s="1" t="s">
        <v>65</v>
      </c>
      <c r="F14" s="1" t="s">
        <v>232</v>
      </c>
      <c r="G14" s="1" t="s">
        <v>167</v>
      </c>
      <c r="H14" s="1" t="s">
        <v>688</v>
      </c>
      <c r="I14" s="1" t="s">
        <v>235</v>
      </c>
      <c r="J14" s="1" t="s">
        <v>236</v>
      </c>
      <c r="K14" s="1" t="s">
        <v>237</v>
      </c>
      <c r="L14" s="1"/>
      <c r="M14" s="1">
        <v>1</v>
      </c>
      <c r="N14" s="13">
        <v>185</v>
      </c>
      <c r="O14" s="13">
        <f>M14*N14</f>
        <v>185</v>
      </c>
      <c r="P14" s="13">
        <v>81.64</v>
      </c>
      <c r="Q14" s="13">
        <f>P14*20%</f>
        <v>16.327999999999999</v>
      </c>
      <c r="R14" s="13">
        <f>O14-P14</f>
        <v>103.36</v>
      </c>
      <c r="S14" s="1" t="s">
        <v>71</v>
      </c>
      <c r="T14" s="1" t="s">
        <v>72</v>
      </c>
      <c r="U14" s="1"/>
      <c r="V14" s="1" t="s">
        <v>73</v>
      </c>
      <c r="W14" s="1" t="s">
        <v>74</v>
      </c>
      <c r="X14" s="1" t="s">
        <v>238</v>
      </c>
      <c r="Y14" s="1" t="s">
        <v>239</v>
      </c>
      <c r="Z14" s="1" t="s">
        <v>77</v>
      </c>
      <c r="AA14" s="1" t="s">
        <v>78</v>
      </c>
      <c r="AB14" s="1" t="s">
        <v>79</v>
      </c>
      <c r="AC14" s="1"/>
      <c r="AD14" s="1" t="s">
        <v>206</v>
      </c>
      <c r="AE14" s="1" t="s">
        <v>689</v>
      </c>
      <c r="AF14" s="1" t="s">
        <v>626</v>
      </c>
      <c r="AG14" s="1" t="s">
        <v>176</v>
      </c>
      <c r="AH14" s="1" t="s">
        <v>84</v>
      </c>
    </row>
    <row r="15" spans="1:34">
      <c r="A15" s="1" t="s">
        <v>690</v>
      </c>
      <c r="B15" s="1" t="s">
        <v>691</v>
      </c>
      <c r="C15" s="1" t="s">
        <v>692</v>
      </c>
      <c r="D15" s="1" t="s">
        <v>616</v>
      </c>
      <c r="E15" s="1" t="s">
        <v>65</v>
      </c>
      <c r="F15" s="1" t="s">
        <v>232</v>
      </c>
      <c r="G15" s="1" t="s">
        <v>180</v>
      </c>
      <c r="H15" s="1" t="s">
        <v>693</v>
      </c>
      <c r="I15" s="1" t="s">
        <v>694</v>
      </c>
      <c r="J15" s="1" t="s">
        <v>695</v>
      </c>
      <c r="K15" s="1" t="s">
        <v>696</v>
      </c>
      <c r="L15" s="1"/>
      <c r="M15" s="1">
        <v>1</v>
      </c>
      <c r="N15" s="13">
        <v>1900</v>
      </c>
      <c r="O15" s="13">
        <f>M15*N15</f>
        <v>1900</v>
      </c>
      <c r="P15" s="13">
        <v>1157.73</v>
      </c>
      <c r="Q15" s="13">
        <f>P15*20%</f>
        <v>231.54600000000002</v>
      </c>
      <c r="R15" s="13">
        <f>O15-P15</f>
        <v>742.27</v>
      </c>
      <c r="S15" s="1" t="s">
        <v>71</v>
      </c>
      <c r="T15" s="1" t="s">
        <v>72</v>
      </c>
      <c r="U15" s="1" t="s">
        <v>697</v>
      </c>
      <c r="V15" s="1" t="s">
        <v>73</v>
      </c>
      <c r="W15" s="1" t="s">
        <v>74</v>
      </c>
      <c r="X15" s="1" t="s">
        <v>238</v>
      </c>
      <c r="Y15" s="1" t="s">
        <v>239</v>
      </c>
      <c r="Z15" s="1" t="s">
        <v>77</v>
      </c>
      <c r="AA15" s="1" t="s">
        <v>78</v>
      </c>
      <c r="AB15" s="1" t="s">
        <v>79</v>
      </c>
      <c r="AC15" s="1"/>
      <c r="AD15" s="1" t="s">
        <v>698</v>
      </c>
      <c r="AE15" s="1" t="s">
        <v>633</v>
      </c>
      <c r="AF15" s="1" t="s">
        <v>626</v>
      </c>
      <c r="AG15" s="1" t="s">
        <v>184</v>
      </c>
      <c r="AH15" s="1" t="s">
        <v>84</v>
      </c>
    </row>
    <row r="16" spans="1:34">
      <c r="A16" s="1" t="s">
        <v>699</v>
      </c>
      <c r="B16" s="1" t="s">
        <v>700</v>
      </c>
      <c r="C16" s="1" t="s">
        <v>701</v>
      </c>
      <c r="D16" s="1" t="s">
        <v>616</v>
      </c>
      <c r="E16" s="1" t="s">
        <v>65</v>
      </c>
      <c r="F16" s="1" t="s">
        <v>232</v>
      </c>
      <c r="G16" s="1" t="s">
        <v>188</v>
      </c>
      <c r="H16" s="1" t="s">
        <v>702</v>
      </c>
      <c r="I16" s="1" t="s">
        <v>703</v>
      </c>
      <c r="J16" s="1" t="s">
        <v>695</v>
      </c>
      <c r="K16" s="1" t="s">
        <v>704</v>
      </c>
      <c r="L16" s="1"/>
      <c r="M16" s="1">
        <v>1</v>
      </c>
      <c r="N16" s="13">
        <v>2500</v>
      </c>
      <c r="O16" s="13">
        <f>M16*N16</f>
        <v>2500</v>
      </c>
      <c r="P16" s="13">
        <v>1221.71</v>
      </c>
      <c r="Q16" s="13">
        <f>P16*20%</f>
        <v>244.34200000000001</v>
      </c>
      <c r="R16" s="13">
        <f>O16-P16</f>
        <v>1278.29</v>
      </c>
      <c r="S16" s="1" t="s">
        <v>71</v>
      </c>
      <c r="T16" s="1" t="s">
        <v>72</v>
      </c>
      <c r="U16" s="1" t="s">
        <v>705</v>
      </c>
      <c r="V16" s="1" t="s">
        <v>73</v>
      </c>
      <c r="W16" s="1" t="s">
        <v>74</v>
      </c>
      <c r="X16" s="1" t="s">
        <v>238</v>
      </c>
      <c r="Y16" s="1" t="s">
        <v>239</v>
      </c>
      <c r="Z16" s="1" t="s">
        <v>77</v>
      </c>
      <c r="AA16" s="1" t="s">
        <v>78</v>
      </c>
      <c r="AB16" s="1" t="s">
        <v>79</v>
      </c>
      <c r="AC16" s="1"/>
      <c r="AD16" s="1" t="s">
        <v>698</v>
      </c>
      <c r="AE16" s="1" t="s">
        <v>706</v>
      </c>
      <c r="AF16" s="1" t="s">
        <v>626</v>
      </c>
      <c r="AG16" s="1" t="s">
        <v>194</v>
      </c>
      <c r="AH16" s="1" t="s">
        <v>84</v>
      </c>
    </row>
    <row r="17" spans="1:34">
      <c r="A17" s="1" t="s">
        <v>707</v>
      </c>
      <c r="B17" s="1" t="s">
        <v>708</v>
      </c>
      <c r="C17" s="1" t="s">
        <v>709</v>
      </c>
      <c r="D17" s="1" t="s">
        <v>616</v>
      </c>
      <c r="E17" s="1" t="s">
        <v>65</v>
      </c>
      <c r="F17" s="1" t="s">
        <v>232</v>
      </c>
      <c r="G17" s="1" t="s">
        <v>199</v>
      </c>
      <c r="H17" s="1" t="s">
        <v>710</v>
      </c>
      <c r="I17" s="1" t="s">
        <v>711</v>
      </c>
      <c r="J17" s="1" t="s">
        <v>712</v>
      </c>
      <c r="K17" s="1" t="s">
        <v>713</v>
      </c>
      <c r="L17" s="1"/>
      <c r="M17" s="1">
        <v>1</v>
      </c>
      <c r="N17" s="13">
        <v>3250</v>
      </c>
      <c r="O17" s="13">
        <f>M17*N17</f>
        <v>3250</v>
      </c>
      <c r="P17" s="13">
        <v>2247.7800000000002</v>
      </c>
      <c r="Q17" s="13">
        <f>P17*20%</f>
        <v>449.55600000000004</v>
      </c>
      <c r="R17" s="13">
        <f>O17-P17</f>
        <v>1002.2199999999998</v>
      </c>
      <c r="S17" s="1" t="s">
        <v>71</v>
      </c>
      <c r="T17" s="1" t="s">
        <v>72</v>
      </c>
      <c r="U17" s="1" t="s">
        <v>714</v>
      </c>
      <c r="V17" s="1" t="s">
        <v>73</v>
      </c>
      <c r="W17" s="1" t="s">
        <v>74</v>
      </c>
      <c r="X17" s="1" t="s">
        <v>238</v>
      </c>
      <c r="Y17" s="1" t="s">
        <v>239</v>
      </c>
      <c r="Z17" s="1" t="s">
        <v>77</v>
      </c>
      <c r="AA17" s="1" t="s">
        <v>78</v>
      </c>
      <c r="AB17" s="1" t="s">
        <v>79</v>
      </c>
      <c r="AC17" s="1"/>
      <c r="AD17" s="1" t="s">
        <v>698</v>
      </c>
      <c r="AE17" s="1" t="s">
        <v>715</v>
      </c>
      <c r="AF17" s="1" t="s">
        <v>626</v>
      </c>
      <c r="AG17" s="1" t="s">
        <v>208</v>
      </c>
      <c r="AH17" s="1" t="s">
        <v>84</v>
      </c>
    </row>
    <row r="18" spans="1:34">
      <c r="A18" s="1" t="s">
        <v>716</v>
      </c>
      <c r="B18" s="1" t="s">
        <v>717</v>
      </c>
      <c r="C18" s="1" t="s">
        <v>718</v>
      </c>
      <c r="D18" s="1" t="s">
        <v>616</v>
      </c>
      <c r="E18" s="1" t="s">
        <v>65</v>
      </c>
      <c r="F18" s="1" t="s">
        <v>232</v>
      </c>
      <c r="G18" s="1" t="s">
        <v>212</v>
      </c>
      <c r="H18" s="1" t="s">
        <v>719</v>
      </c>
      <c r="I18" s="1" t="s">
        <v>720</v>
      </c>
      <c r="J18" s="1" t="s">
        <v>721</v>
      </c>
      <c r="K18" s="1" t="s">
        <v>722</v>
      </c>
      <c r="L18" s="1"/>
      <c r="M18" s="1">
        <v>1</v>
      </c>
      <c r="N18" s="13">
        <v>875</v>
      </c>
      <c r="O18" s="13">
        <f>M18*N18</f>
        <v>875</v>
      </c>
      <c r="P18" s="13">
        <v>593.15</v>
      </c>
      <c r="Q18" s="13">
        <f>P18*20%</f>
        <v>118.63</v>
      </c>
      <c r="R18" s="13">
        <f>O18-P18</f>
        <v>281.85000000000002</v>
      </c>
      <c r="S18" s="1" t="s">
        <v>71</v>
      </c>
      <c r="T18" s="1" t="s">
        <v>72</v>
      </c>
      <c r="U18" s="1"/>
      <c r="V18" s="1" t="s">
        <v>73</v>
      </c>
      <c r="W18" s="1" t="s">
        <v>74</v>
      </c>
      <c r="X18" s="1" t="s">
        <v>238</v>
      </c>
      <c r="Y18" s="1" t="s">
        <v>239</v>
      </c>
      <c r="Z18" s="1" t="s">
        <v>77</v>
      </c>
      <c r="AA18" s="1" t="s">
        <v>78</v>
      </c>
      <c r="AB18" s="1" t="s">
        <v>79</v>
      </c>
      <c r="AC18" s="1"/>
      <c r="AD18" s="1" t="s">
        <v>206</v>
      </c>
      <c r="AE18" s="1" t="s">
        <v>723</v>
      </c>
      <c r="AF18" s="1" t="s">
        <v>626</v>
      </c>
      <c r="AG18" s="1" t="s">
        <v>218</v>
      </c>
      <c r="AH18" s="1" t="s">
        <v>84</v>
      </c>
    </row>
    <row r="19" spans="1:34">
      <c r="A19" s="1" t="s">
        <v>724</v>
      </c>
      <c r="B19" s="1" t="s">
        <v>725</v>
      </c>
      <c r="C19" s="1" t="s">
        <v>726</v>
      </c>
      <c r="D19" s="1" t="s">
        <v>616</v>
      </c>
      <c r="E19" s="1" t="s">
        <v>65</v>
      </c>
      <c r="F19" s="1" t="s">
        <v>727</v>
      </c>
      <c r="G19" s="1" t="s">
        <v>222</v>
      </c>
      <c r="H19" s="1" t="s">
        <v>728</v>
      </c>
      <c r="I19" s="1" t="s">
        <v>729</v>
      </c>
      <c r="J19" s="1" t="s">
        <v>730</v>
      </c>
      <c r="K19" s="1" t="s">
        <v>731</v>
      </c>
      <c r="L19" s="1"/>
      <c r="M19" s="1">
        <v>1</v>
      </c>
      <c r="N19" s="13">
        <v>535</v>
      </c>
      <c r="O19" s="13">
        <f>M19*N19</f>
        <v>535</v>
      </c>
      <c r="P19" s="13">
        <v>236.07</v>
      </c>
      <c r="Q19" s="13">
        <f>P19*20%</f>
        <v>47.213999999999999</v>
      </c>
      <c r="R19" s="13">
        <f>O19-P19</f>
        <v>298.93</v>
      </c>
      <c r="S19" s="1" t="s">
        <v>71</v>
      </c>
      <c r="T19" s="1" t="s">
        <v>72</v>
      </c>
      <c r="U19" s="1"/>
      <c r="V19" s="1" t="s">
        <v>73</v>
      </c>
      <c r="W19" s="1" t="s">
        <v>74</v>
      </c>
      <c r="X19" s="1" t="s">
        <v>238</v>
      </c>
      <c r="Y19" s="1" t="s">
        <v>239</v>
      </c>
      <c r="Z19" s="1" t="s">
        <v>77</v>
      </c>
      <c r="AA19" s="1" t="s">
        <v>78</v>
      </c>
      <c r="AB19" s="1" t="s">
        <v>79</v>
      </c>
      <c r="AC19" s="1"/>
      <c r="AD19" s="1" t="s">
        <v>732</v>
      </c>
      <c r="AE19" s="1" t="s">
        <v>733</v>
      </c>
      <c r="AF19" s="1" t="s">
        <v>626</v>
      </c>
      <c r="AG19" s="1" t="s">
        <v>228</v>
      </c>
      <c r="AH19" s="1" t="s">
        <v>84</v>
      </c>
    </row>
    <row r="20" spans="1:34">
      <c r="A20" s="1" t="s">
        <v>734</v>
      </c>
      <c r="B20" s="1" t="s">
        <v>735</v>
      </c>
      <c r="C20" s="1" t="s">
        <v>736</v>
      </c>
      <c r="D20" s="1" t="s">
        <v>616</v>
      </c>
      <c r="E20" s="1" t="s">
        <v>65</v>
      </c>
      <c r="F20" s="1" t="s">
        <v>198</v>
      </c>
      <c r="G20" s="1" t="s">
        <v>233</v>
      </c>
      <c r="H20" s="1" t="s">
        <v>737</v>
      </c>
      <c r="I20" s="1" t="s">
        <v>201</v>
      </c>
      <c r="J20" s="1" t="s">
        <v>202</v>
      </c>
      <c r="K20" s="1" t="s">
        <v>203</v>
      </c>
      <c r="L20" s="1"/>
      <c r="M20" s="1">
        <v>1</v>
      </c>
      <c r="N20" s="13">
        <v>155</v>
      </c>
      <c r="O20" s="13">
        <f>M20*N20</f>
        <v>155</v>
      </c>
      <c r="P20" s="13">
        <v>76.17</v>
      </c>
      <c r="Q20" s="13">
        <f>P20*20%</f>
        <v>15.234000000000002</v>
      </c>
      <c r="R20" s="13">
        <f>O20-P20</f>
        <v>78.83</v>
      </c>
      <c r="S20" s="1" t="s">
        <v>71</v>
      </c>
      <c r="T20" s="1" t="s">
        <v>72</v>
      </c>
      <c r="U20" s="1"/>
      <c r="V20" s="1" t="s">
        <v>73</v>
      </c>
      <c r="W20" s="1" t="s">
        <v>74</v>
      </c>
      <c r="X20" s="1" t="s">
        <v>204</v>
      </c>
      <c r="Y20" s="1" t="s">
        <v>205</v>
      </c>
      <c r="Z20" s="1" t="s">
        <v>77</v>
      </c>
      <c r="AA20" s="1" t="s">
        <v>78</v>
      </c>
      <c r="AB20" s="1" t="s">
        <v>79</v>
      </c>
      <c r="AC20" s="1"/>
      <c r="AD20" s="1" t="s">
        <v>206</v>
      </c>
      <c r="AE20" s="1" t="s">
        <v>738</v>
      </c>
      <c r="AF20" s="1" t="s">
        <v>626</v>
      </c>
      <c r="AG20" s="1" t="s">
        <v>241</v>
      </c>
      <c r="AH20" s="1" t="s">
        <v>84</v>
      </c>
    </row>
    <row r="21" spans="1:34">
      <c r="A21" s="1" t="s">
        <v>739</v>
      </c>
      <c r="B21" s="1" t="s">
        <v>740</v>
      </c>
      <c r="C21" s="1" t="s">
        <v>741</v>
      </c>
      <c r="D21" s="1" t="s">
        <v>616</v>
      </c>
      <c r="E21" s="1" t="s">
        <v>65</v>
      </c>
      <c r="F21" s="1" t="s">
        <v>198</v>
      </c>
      <c r="G21" s="1" t="s">
        <v>245</v>
      </c>
      <c r="H21" s="1" t="s">
        <v>742</v>
      </c>
      <c r="I21" s="1" t="s">
        <v>743</v>
      </c>
      <c r="J21" s="1" t="s">
        <v>215</v>
      </c>
      <c r="K21" s="1" t="s">
        <v>744</v>
      </c>
      <c r="L21" s="1"/>
      <c r="M21" s="1">
        <v>1</v>
      </c>
      <c r="N21" s="13">
        <v>185</v>
      </c>
      <c r="O21" s="13">
        <f>M21*N21</f>
        <v>185</v>
      </c>
      <c r="P21" s="13">
        <v>114.83</v>
      </c>
      <c r="Q21" s="13">
        <f>P21*20%</f>
        <v>22.966000000000001</v>
      </c>
      <c r="R21" s="13">
        <f>O21-P21</f>
        <v>70.17</v>
      </c>
      <c r="S21" s="1" t="s">
        <v>71</v>
      </c>
      <c r="T21" s="1" t="s">
        <v>72</v>
      </c>
      <c r="U21" s="1"/>
      <c r="V21" s="1" t="s">
        <v>73</v>
      </c>
      <c r="W21" s="1" t="s">
        <v>74</v>
      </c>
      <c r="X21" s="1" t="s">
        <v>204</v>
      </c>
      <c r="Y21" s="1" t="s">
        <v>205</v>
      </c>
      <c r="Z21" s="1" t="s">
        <v>77</v>
      </c>
      <c r="AA21" s="1" t="s">
        <v>78</v>
      </c>
      <c r="AB21" s="1" t="s">
        <v>79</v>
      </c>
      <c r="AC21" s="1"/>
      <c r="AD21" s="1" t="s">
        <v>206</v>
      </c>
      <c r="AE21" s="1" t="s">
        <v>664</v>
      </c>
      <c r="AF21" s="1" t="s">
        <v>626</v>
      </c>
      <c r="AG21" s="1" t="s">
        <v>250</v>
      </c>
      <c r="AH21" s="1" t="s">
        <v>84</v>
      </c>
    </row>
    <row r="22" spans="1:34">
      <c r="A22" s="1" t="s">
        <v>745</v>
      </c>
      <c r="B22" s="1" t="s">
        <v>746</v>
      </c>
      <c r="C22" s="1" t="s">
        <v>747</v>
      </c>
      <c r="D22" s="1" t="s">
        <v>616</v>
      </c>
      <c r="E22" s="1" t="s">
        <v>65</v>
      </c>
      <c r="F22" s="1" t="s">
        <v>198</v>
      </c>
      <c r="G22" s="1" t="s">
        <v>255</v>
      </c>
      <c r="H22" s="1" t="s">
        <v>748</v>
      </c>
      <c r="I22" s="1" t="s">
        <v>749</v>
      </c>
      <c r="J22" s="1" t="s">
        <v>215</v>
      </c>
      <c r="K22" s="1" t="s">
        <v>750</v>
      </c>
      <c r="L22" s="1"/>
      <c r="M22" s="1">
        <v>1</v>
      </c>
      <c r="N22" s="13">
        <v>110</v>
      </c>
      <c r="O22" s="13">
        <f>M22*N22</f>
        <v>110</v>
      </c>
      <c r="P22" s="13">
        <v>53.27</v>
      </c>
      <c r="Q22" s="13">
        <f>P22*20%</f>
        <v>10.654000000000002</v>
      </c>
      <c r="R22" s="13">
        <f>O22-P22</f>
        <v>56.73</v>
      </c>
      <c r="S22" s="1" t="s">
        <v>71</v>
      </c>
      <c r="T22" s="1" t="s">
        <v>72</v>
      </c>
      <c r="U22" s="1"/>
      <c r="V22" s="1" t="s">
        <v>73</v>
      </c>
      <c r="W22" s="1" t="s">
        <v>74</v>
      </c>
      <c r="X22" s="1" t="s">
        <v>204</v>
      </c>
      <c r="Y22" s="1" t="s">
        <v>205</v>
      </c>
      <c r="Z22" s="1" t="s">
        <v>77</v>
      </c>
      <c r="AA22" s="1" t="s">
        <v>78</v>
      </c>
      <c r="AB22" s="1" t="s">
        <v>79</v>
      </c>
      <c r="AC22" s="1"/>
      <c r="AD22" s="1" t="s">
        <v>206</v>
      </c>
      <c r="AE22" s="1" t="s">
        <v>217</v>
      </c>
      <c r="AF22" s="1" t="s">
        <v>626</v>
      </c>
      <c r="AG22" s="1" t="s">
        <v>262</v>
      </c>
      <c r="AH22" s="1" t="s">
        <v>84</v>
      </c>
    </row>
    <row r="23" spans="1:34">
      <c r="A23" s="1" t="s">
        <v>751</v>
      </c>
      <c r="B23" s="1" t="s">
        <v>752</v>
      </c>
      <c r="C23" s="1" t="s">
        <v>753</v>
      </c>
      <c r="D23" s="1" t="s">
        <v>616</v>
      </c>
      <c r="E23" s="1" t="s">
        <v>65</v>
      </c>
      <c r="F23" s="1" t="s">
        <v>198</v>
      </c>
      <c r="G23" s="1" t="s">
        <v>267</v>
      </c>
      <c r="H23" s="1" t="s">
        <v>754</v>
      </c>
      <c r="I23" s="1" t="s">
        <v>755</v>
      </c>
      <c r="J23" s="1" t="s">
        <v>215</v>
      </c>
      <c r="K23" s="1" t="s">
        <v>756</v>
      </c>
      <c r="L23" s="1"/>
      <c r="M23" s="1">
        <v>1</v>
      </c>
      <c r="N23" s="13">
        <v>215</v>
      </c>
      <c r="O23" s="13">
        <f>M23*N23</f>
        <v>215</v>
      </c>
      <c r="P23" s="13">
        <v>98.83</v>
      </c>
      <c r="Q23" s="13">
        <f>P23*20%</f>
        <v>19.766000000000002</v>
      </c>
      <c r="R23" s="13">
        <f>O23-P23</f>
        <v>116.17</v>
      </c>
      <c r="S23" s="1" t="s">
        <v>71</v>
      </c>
      <c r="T23" s="1" t="s">
        <v>72</v>
      </c>
      <c r="U23" s="1"/>
      <c r="V23" s="1" t="s">
        <v>73</v>
      </c>
      <c r="W23" s="1" t="s">
        <v>74</v>
      </c>
      <c r="X23" s="1" t="s">
        <v>204</v>
      </c>
      <c r="Y23" s="1" t="s">
        <v>205</v>
      </c>
      <c r="Z23" s="1" t="s">
        <v>77</v>
      </c>
      <c r="AA23" s="1" t="s">
        <v>78</v>
      </c>
      <c r="AB23" s="1" t="s">
        <v>79</v>
      </c>
      <c r="AC23" s="1"/>
      <c r="AD23" s="1" t="s">
        <v>206</v>
      </c>
      <c r="AE23" s="1" t="s">
        <v>757</v>
      </c>
      <c r="AF23" s="1" t="s">
        <v>626</v>
      </c>
      <c r="AG23" s="1" t="s">
        <v>274</v>
      </c>
      <c r="AH23" s="1" t="s">
        <v>84</v>
      </c>
    </row>
    <row r="24" spans="1:34">
      <c r="A24" s="1" t="s">
        <v>758</v>
      </c>
      <c r="B24" s="1" t="s">
        <v>759</v>
      </c>
      <c r="C24" s="1" t="s">
        <v>760</v>
      </c>
      <c r="D24" s="1" t="s">
        <v>616</v>
      </c>
      <c r="E24" s="1" t="s">
        <v>65</v>
      </c>
      <c r="F24" s="1" t="s">
        <v>254</v>
      </c>
      <c r="G24" s="1" t="s">
        <v>279</v>
      </c>
      <c r="H24" s="1" t="s">
        <v>761</v>
      </c>
      <c r="I24" s="1" t="s">
        <v>762</v>
      </c>
      <c r="J24" s="1" t="s">
        <v>763</v>
      </c>
      <c r="K24" s="1" t="s">
        <v>764</v>
      </c>
      <c r="L24" s="1"/>
      <c r="M24" s="1">
        <v>1</v>
      </c>
      <c r="N24" s="13">
        <v>1550</v>
      </c>
      <c r="O24" s="13">
        <f>M24*N24</f>
        <v>1550</v>
      </c>
      <c r="P24" s="13">
        <v>1086.01</v>
      </c>
      <c r="Q24" s="13">
        <f>P24*20%</f>
        <v>217.202</v>
      </c>
      <c r="R24" s="13">
        <f>O24-P24</f>
        <v>463.99</v>
      </c>
      <c r="S24" s="1" t="s">
        <v>71</v>
      </c>
      <c r="T24" s="1" t="s">
        <v>72</v>
      </c>
      <c r="U24" s="1" t="s">
        <v>284</v>
      </c>
      <c r="V24" s="1" t="s">
        <v>73</v>
      </c>
      <c r="W24" s="1" t="s">
        <v>74</v>
      </c>
      <c r="X24" s="1" t="s">
        <v>254</v>
      </c>
      <c r="Y24" s="1" t="s">
        <v>260</v>
      </c>
      <c r="Z24" s="1" t="s">
        <v>77</v>
      </c>
      <c r="AA24" s="1" t="s">
        <v>78</v>
      </c>
      <c r="AB24" s="1" t="s">
        <v>79</v>
      </c>
      <c r="AC24" s="1"/>
      <c r="AD24" s="1" t="s">
        <v>698</v>
      </c>
      <c r="AE24" s="1" t="s">
        <v>765</v>
      </c>
      <c r="AF24" s="1" t="s">
        <v>626</v>
      </c>
      <c r="AG24" s="1" t="s">
        <v>289</v>
      </c>
      <c r="AH24" s="1" t="s">
        <v>84</v>
      </c>
    </row>
    <row r="25" spans="1:34">
      <c r="A25" s="1" t="s">
        <v>766</v>
      </c>
      <c r="B25" s="1" t="s">
        <v>767</v>
      </c>
      <c r="C25" s="1" t="s">
        <v>768</v>
      </c>
      <c r="D25" s="1" t="s">
        <v>616</v>
      </c>
      <c r="E25" s="1" t="s">
        <v>65</v>
      </c>
      <c r="F25" s="1" t="s">
        <v>254</v>
      </c>
      <c r="G25" s="1" t="s">
        <v>293</v>
      </c>
      <c r="H25" s="1" t="s">
        <v>769</v>
      </c>
      <c r="I25" s="1" t="s">
        <v>770</v>
      </c>
      <c r="J25" s="1" t="s">
        <v>771</v>
      </c>
      <c r="K25" s="1" t="s">
        <v>772</v>
      </c>
      <c r="L25" s="1"/>
      <c r="M25" s="1">
        <v>1</v>
      </c>
      <c r="N25" s="13">
        <v>1150</v>
      </c>
      <c r="O25" s="13">
        <f>M25*N25</f>
        <v>1150</v>
      </c>
      <c r="P25" s="13">
        <v>680.01</v>
      </c>
      <c r="Q25" s="13">
        <f>P25*20%</f>
        <v>136.00200000000001</v>
      </c>
      <c r="R25" s="13">
        <f>O25-P25</f>
        <v>469.99</v>
      </c>
      <c r="S25" s="1" t="s">
        <v>71</v>
      </c>
      <c r="T25" s="1" t="s">
        <v>72</v>
      </c>
      <c r="U25" s="1" t="s">
        <v>773</v>
      </c>
      <c r="V25" s="1" t="s">
        <v>73</v>
      </c>
      <c r="W25" s="1" t="s">
        <v>74</v>
      </c>
      <c r="X25" s="1" t="s">
        <v>254</v>
      </c>
      <c r="Y25" s="1" t="s">
        <v>260</v>
      </c>
      <c r="Z25" s="1" t="s">
        <v>77</v>
      </c>
      <c r="AA25" s="1" t="s">
        <v>78</v>
      </c>
      <c r="AB25" s="1" t="s">
        <v>79</v>
      </c>
      <c r="AC25" s="1"/>
      <c r="AD25" s="1" t="s">
        <v>698</v>
      </c>
      <c r="AE25" s="1" t="s">
        <v>261</v>
      </c>
      <c r="AF25" s="1" t="s">
        <v>626</v>
      </c>
      <c r="AG25" s="1" t="s">
        <v>299</v>
      </c>
      <c r="AH25" s="1" t="s">
        <v>84</v>
      </c>
    </row>
    <row r="26" spans="1:34">
      <c r="A26" s="1" t="s">
        <v>774</v>
      </c>
      <c r="B26" s="1" t="s">
        <v>775</v>
      </c>
      <c r="C26" s="1" t="s">
        <v>776</v>
      </c>
      <c r="D26" s="1" t="s">
        <v>616</v>
      </c>
      <c r="E26" s="1" t="s">
        <v>65</v>
      </c>
      <c r="F26" s="1" t="s">
        <v>777</v>
      </c>
      <c r="G26" s="1" t="s">
        <v>304</v>
      </c>
      <c r="H26" s="1" t="s">
        <v>778</v>
      </c>
      <c r="I26" s="1" t="s">
        <v>779</v>
      </c>
      <c r="J26" s="1" t="s">
        <v>780</v>
      </c>
      <c r="K26" s="1" t="s">
        <v>781</v>
      </c>
      <c r="L26" s="1"/>
      <c r="M26" s="1">
        <v>1</v>
      </c>
      <c r="N26" s="13">
        <v>3900</v>
      </c>
      <c r="O26" s="13">
        <f>M26*N26</f>
        <v>3900</v>
      </c>
      <c r="P26" s="13">
        <v>2191.0300000000002</v>
      </c>
      <c r="Q26" s="13">
        <f>P26*20%</f>
        <v>438.20600000000007</v>
      </c>
      <c r="R26" s="13">
        <f>O26-P26</f>
        <v>1708.9699999999998</v>
      </c>
      <c r="S26" s="1" t="s">
        <v>71</v>
      </c>
      <c r="T26" s="1" t="s">
        <v>72</v>
      </c>
      <c r="U26" s="1" t="s">
        <v>309</v>
      </c>
      <c r="V26" s="1" t="s">
        <v>73</v>
      </c>
      <c r="W26" s="1" t="s">
        <v>74</v>
      </c>
      <c r="X26" s="1" t="s">
        <v>777</v>
      </c>
      <c r="Y26" s="1" t="s">
        <v>782</v>
      </c>
      <c r="Z26" s="1" t="s">
        <v>77</v>
      </c>
      <c r="AA26" s="1" t="s">
        <v>78</v>
      </c>
      <c r="AB26" s="1" t="s">
        <v>79</v>
      </c>
      <c r="AC26" s="1"/>
      <c r="AD26" s="1" t="s">
        <v>698</v>
      </c>
      <c r="AE26" s="1" t="s">
        <v>783</v>
      </c>
      <c r="AF26" s="1" t="s">
        <v>626</v>
      </c>
      <c r="AG26" s="1" t="s">
        <v>311</v>
      </c>
      <c r="AH26" s="1" t="s">
        <v>84</v>
      </c>
    </row>
    <row r="27" spans="1:34">
      <c r="A27" s="1" t="s">
        <v>784</v>
      </c>
      <c r="B27" s="1" t="s">
        <v>785</v>
      </c>
      <c r="C27" s="1" t="s">
        <v>786</v>
      </c>
      <c r="D27" s="1" t="s">
        <v>616</v>
      </c>
      <c r="E27" s="1" t="s">
        <v>65</v>
      </c>
      <c r="F27" s="1" t="s">
        <v>777</v>
      </c>
      <c r="G27" s="1" t="s">
        <v>316</v>
      </c>
      <c r="H27" s="1" t="s">
        <v>787</v>
      </c>
      <c r="I27" s="1" t="s">
        <v>788</v>
      </c>
      <c r="J27" s="1" t="s">
        <v>780</v>
      </c>
      <c r="K27" s="1" t="s">
        <v>789</v>
      </c>
      <c r="L27" s="1"/>
      <c r="M27" s="1">
        <v>1</v>
      </c>
      <c r="N27" s="13">
        <v>3300</v>
      </c>
      <c r="O27" s="13">
        <f>M27*N27</f>
        <v>3300</v>
      </c>
      <c r="P27" s="13">
        <v>2162.77</v>
      </c>
      <c r="Q27" s="13">
        <f>P27*20%</f>
        <v>432.55400000000003</v>
      </c>
      <c r="R27" s="13">
        <f>O27-P27</f>
        <v>1137.23</v>
      </c>
      <c r="S27" s="1" t="s">
        <v>71</v>
      </c>
      <c r="T27" s="1" t="s">
        <v>72</v>
      </c>
      <c r="U27" s="1" t="s">
        <v>790</v>
      </c>
      <c r="V27" s="1" t="s">
        <v>73</v>
      </c>
      <c r="W27" s="1" t="s">
        <v>74</v>
      </c>
      <c r="X27" s="1" t="s">
        <v>777</v>
      </c>
      <c r="Y27" s="1" t="s">
        <v>782</v>
      </c>
      <c r="Z27" s="1" t="s">
        <v>77</v>
      </c>
      <c r="AA27" s="1" t="s">
        <v>78</v>
      </c>
      <c r="AB27" s="1" t="s">
        <v>322</v>
      </c>
      <c r="AC27" s="1" t="s">
        <v>791</v>
      </c>
      <c r="AD27" s="1" t="s">
        <v>698</v>
      </c>
      <c r="AE27" s="1" t="s">
        <v>792</v>
      </c>
      <c r="AF27" s="1" t="s">
        <v>626</v>
      </c>
      <c r="AG27" s="1" t="s">
        <v>325</v>
      </c>
      <c r="AH27" s="1" t="s">
        <v>84</v>
      </c>
    </row>
    <row r="28" spans="1:34">
      <c r="A28" s="1" t="s">
        <v>793</v>
      </c>
      <c r="B28" s="1" t="s">
        <v>794</v>
      </c>
      <c r="C28" s="1" t="s">
        <v>795</v>
      </c>
      <c r="D28" s="1" t="s">
        <v>616</v>
      </c>
      <c r="E28" s="1" t="s">
        <v>65</v>
      </c>
      <c r="F28" s="1" t="s">
        <v>278</v>
      </c>
      <c r="G28" s="1" t="s">
        <v>330</v>
      </c>
      <c r="H28" s="1" t="s">
        <v>796</v>
      </c>
      <c r="I28" s="1" t="s">
        <v>797</v>
      </c>
      <c r="J28" s="1" t="s">
        <v>282</v>
      </c>
      <c r="K28" s="1" t="s">
        <v>798</v>
      </c>
      <c r="L28" s="1"/>
      <c r="M28" s="1">
        <v>1</v>
      </c>
      <c r="N28" s="13">
        <v>860</v>
      </c>
      <c r="O28" s="13">
        <f>M28*N28</f>
        <v>860</v>
      </c>
      <c r="P28" s="13">
        <v>569.53</v>
      </c>
      <c r="Q28" s="13">
        <f>P28*20%</f>
        <v>113.90600000000001</v>
      </c>
      <c r="R28" s="13">
        <f>O28-P28</f>
        <v>290.47000000000003</v>
      </c>
      <c r="S28" s="1" t="s">
        <v>71</v>
      </c>
      <c r="T28" s="1" t="s">
        <v>72</v>
      </c>
      <c r="U28" s="1" t="s">
        <v>799</v>
      </c>
      <c r="V28" s="1" t="s">
        <v>73</v>
      </c>
      <c r="W28" s="1" t="s">
        <v>74</v>
      </c>
      <c r="X28" s="1" t="s">
        <v>285</v>
      </c>
      <c r="Y28" s="1" t="s">
        <v>286</v>
      </c>
      <c r="Z28" s="1" t="s">
        <v>77</v>
      </c>
      <c r="AA28" s="1" t="s">
        <v>78</v>
      </c>
      <c r="AB28" s="1" t="s">
        <v>79</v>
      </c>
      <c r="AC28" s="1"/>
      <c r="AD28" s="1" t="s">
        <v>287</v>
      </c>
      <c r="AE28" s="1" t="s">
        <v>800</v>
      </c>
      <c r="AF28" s="1" t="s">
        <v>626</v>
      </c>
      <c r="AG28" s="1" t="s">
        <v>336</v>
      </c>
      <c r="AH28" s="1" t="s">
        <v>84</v>
      </c>
    </row>
    <row r="29" spans="1:34">
      <c r="A29" s="1" t="s">
        <v>801</v>
      </c>
      <c r="B29" s="1" t="s">
        <v>802</v>
      </c>
      <c r="C29" s="1" t="s">
        <v>803</v>
      </c>
      <c r="D29" s="1" t="s">
        <v>616</v>
      </c>
      <c r="E29" s="1" t="s">
        <v>65</v>
      </c>
      <c r="F29" s="1" t="s">
        <v>278</v>
      </c>
      <c r="G29" s="1" t="s">
        <v>340</v>
      </c>
      <c r="H29" s="1" t="s">
        <v>804</v>
      </c>
      <c r="I29" s="1" t="s">
        <v>295</v>
      </c>
      <c r="J29" s="1" t="s">
        <v>282</v>
      </c>
      <c r="K29" s="1" t="s">
        <v>296</v>
      </c>
      <c r="L29" s="1"/>
      <c r="M29" s="1">
        <v>3</v>
      </c>
      <c r="N29" s="13">
        <v>305</v>
      </c>
      <c r="O29" s="13">
        <f>M29*N29</f>
        <v>915</v>
      </c>
      <c r="P29" s="13">
        <v>410.19</v>
      </c>
      <c r="Q29" s="13">
        <f>P29*20%</f>
        <v>82.038000000000011</v>
      </c>
      <c r="R29" s="13">
        <f>O29-P29</f>
        <v>504.81</v>
      </c>
      <c r="S29" s="1" t="s">
        <v>71</v>
      </c>
      <c r="T29" s="1" t="s">
        <v>72</v>
      </c>
      <c r="U29" s="1"/>
      <c r="V29" s="1" t="s">
        <v>73</v>
      </c>
      <c r="W29" s="1" t="s">
        <v>74</v>
      </c>
      <c r="X29" s="1" t="s">
        <v>285</v>
      </c>
      <c r="Y29" s="1" t="s">
        <v>286</v>
      </c>
      <c r="Z29" s="1" t="s">
        <v>77</v>
      </c>
      <c r="AA29" s="1" t="s">
        <v>78</v>
      </c>
      <c r="AB29" s="1" t="s">
        <v>79</v>
      </c>
      <c r="AC29" s="1"/>
      <c r="AD29" s="1" t="s">
        <v>297</v>
      </c>
      <c r="AE29" s="1" t="s">
        <v>800</v>
      </c>
      <c r="AF29" s="1" t="s">
        <v>626</v>
      </c>
      <c r="AG29" s="1" t="s">
        <v>341</v>
      </c>
      <c r="AH29" s="1" t="s">
        <v>84</v>
      </c>
    </row>
    <row r="30" spans="1:34">
      <c r="A30" s="1" t="s">
        <v>805</v>
      </c>
      <c r="B30" s="1" t="s">
        <v>806</v>
      </c>
      <c r="C30" s="1" t="s">
        <v>807</v>
      </c>
      <c r="D30" s="1" t="s">
        <v>616</v>
      </c>
      <c r="E30" s="1" t="s">
        <v>65</v>
      </c>
      <c r="F30" s="1" t="s">
        <v>808</v>
      </c>
      <c r="G30" s="1" t="s">
        <v>67</v>
      </c>
      <c r="H30" s="1" t="s">
        <v>809</v>
      </c>
      <c r="I30" s="1" t="s">
        <v>810</v>
      </c>
      <c r="J30" s="1" t="s">
        <v>811</v>
      </c>
      <c r="K30" s="1" t="s">
        <v>812</v>
      </c>
      <c r="L30" s="1"/>
      <c r="M30" s="1">
        <v>1</v>
      </c>
      <c r="N30" s="13">
        <v>780</v>
      </c>
      <c r="O30" s="13">
        <f>M30*N30</f>
        <v>780</v>
      </c>
      <c r="P30" s="13">
        <v>481.8</v>
      </c>
      <c r="Q30" s="13">
        <f>P30*20%</f>
        <v>96.360000000000014</v>
      </c>
      <c r="R30" s="13">
        <f>O30-P30</f>
        <v>298.2</v>
      </c>
      <c r="S30" s="1" t="s">
        <v>71</v>
      </c>
      <c r="T30" s="1" t="s">
        <v>72</v>
      </c>
      <c r="U30" s="1" t="s">
        <v>813</v>
      </c>
      <c r="V30" s="1" t="s">
        <v>73</v>
      </c>
      <c r="W30" s="1" t="s">
        <v>74</v>
      </c>
      <c r="X30" s="1" t="s">
        <v>808</v>
      </c>
      <c r="Y30" s="1" t="s">
        <v>814</v>
      </c>
      <c r="Z30" s="1" t="s">
        <v>77</v>
      </c>
      <c r="AA30" s="1" t="s">
        <v>78</v>
      </c>
      <c r="AB30" s="1" t="s">
        <v>79</v>
      </c>
      <c r="AC30" s="1"/>
      <c r="AD30" s="1" t="s">
        <v>815</v>
      </c>
      <c r="AE30" s="1" t="s">
        <v>816</v>
      </c>
      <c r="AF30" s="1" t="s">
        <v>626</v>
      </c>
      <c r="AG30" s="1" t="s">
        <v>83</v>
      </c>
      <c r="AH30" s="1" t="s">
        <v>84</v>
      </c>
    </row>
    <row r="31" spans="1:34">
      <c r="A31" s="1" t="s">
        <v>817</v>
      </c>
      <c r="B31" s="1" t="s">
        <v>818</v>
      </c>
      <c r="C31" s="1" t="s">
        <v>819</v>
      </c>
      <c r="D31" s="1" t="s">
        <v>616</v>
      </c>
      <c r="E31" s="1" t="s">
        <v>65</v>
      </c>
      <c r="F31" s="1" t="s">
        <v>820</v>
      </c>
      <c r="G31" s="1" t="s">
        <v>88</v>
      </c>
      <c r="H31" s="1" t="s">
        <v>821</v>
      </c>
      <c r="I31" s="1" t="s">
        <v>822</v>
      </c>
      <c r="J31" s="1" t="s">
        <v>823</v>
      </c>
      <c r="K31" s="1" t="s">
        <v>824</v>
      </c>
      <c r="L31" s="1"/>
      <c r="M31" s="1">
        <v>1</v>
      </c>
      <c r="N31" s="13">
        <v>1850</v>
      </c>
      <c r="O31" s="13">
        <f>M31*N31</f>
        <v>1850</v>
      </c>
      <c r="P31" s="13">
        <v>973.64</v>
      </c>
      <c r="Q31" s="13">
        <f>P31*20%</f>
        <v>194.72800000000001</v>
      </c>
      <c r="R31" s="13">
        <f>O31-P31</f>
        <v>876.36</v>
      </c>
      <c r="S31" s="1" t="s">
        <v>71</v>
      </c>
      <c r="T31" s="1" t="s">
        <v>72</v>
      </c>
      <c r="U31" s="1" t="s">
        <v>825</v>
      </c>
      <c r="V31" s="1" t="s">
        <v>73</v>
      </c>
      <c r="W31" s="1" t="s">
        <v>74</v>
      </c>
      <c r="X31" s="1" t="s">
        <v>808</v>
      </c>
      <c r="Y31" s="1" t="s">
        <v>814</v>
      </c>
      <c r="Z31" s="1" t="s">
        <v>77</v>
      </c>
      <c r="AA31" s="1" t="s">
        <v>78</v>
      </c>
      <c r="AB31" s="1" t="s">
        <v>79</v>
      </c>
      <c r="AC31" s="1"/>
      <c r="AD31" s="1" t="s">
        <v>815</v>
      </c>
      <c r="AE31" s="1" t="s">
        <v>826</v>
      </c>
      <c r="AF31" s="1" t="s">
        <v>626</v>
      </c>
      <c r="AG31" s="1" t="s">
        <v>92</v>
      </c>
      <c r="AH31" s="1" t="s">
        <v>84</v>
      </c>
    </row>
    <row r="32" spans="1:34">
      <c r="A32" s="1" t="s">
        <v>827</v>
      </c>
      <c r="B32" s="1" t="s">
        <v>828</v>
      </c>
      <c r="C32" s="1" t="s">
        <v>829</v>
      </c>
      <c r="D32" s="1" t="s">
        <v>616</v>
      </c>
      <c r="E32" s="1" t="s">
        <v>65</v>
      </c>
      <c r="F32" s="1" t="s">
        <v>830</v>
      </c>
      <c r="G32" s="1" t="s">
        <v>97</v>
      </c>
      <c r="H32" s="1" t="s">
        <v>831</v>
      </c>
      <c r="I32" s="1" t="s">
        <v>832</v>
      </c>
      <c r="J32" s="1" t="s">
        <v>833</v>
      </c>
      <c r="K32" s="1" t="s">
        <v>834</v>
      </c>
      <c r="L32" s="1"/>
      <c r="M32" s="1">
        <v>1</v>
      </c>
      <c r="N32" s="13">
        <v>285</v>
      </c>
      <c r="O32" s="13">
        <f>M32*N32</f>
        <v>285</v>
      </c>
      <c r="P32" s="13">
        <v>154.85</v>
      </c>
      <c r="Q32" s="13">
        <f>P32*20%</f>
        <v>30.97</v>
      </c>
      <c r="R32" s="13">
        <f>O32-P32</f>
        <v>130.15</v>
      </c>
      <c r="S32" s="1" t="s">
        <v>71</v>
      </c>
      <c r="T32" s="1" t="s">
        <v>72</v>
      </c>
      <c r="U32" s="1"/>
      <c r="V32" s="1" t="s">
        <v>73</v>
      </c>
      <c r="W32" s="1" t="s">
        <v>74</v>
      </c>
      <c r="X32" s="1" t="s">
        <v>830</v>
      </c>
      <c r="Y32" s="1" t="s">
        <v>286</v>
      </c>
      <c r="Z32" s="1" t="s">
        <v>77</v>
      </c>
      <c r="AA32" s="1" t="s">
        <v>78</v>
      </c>
      <c r="AB32" s="1" t="s">
        <v>79</v>
      </c>
      <c r="AC32" s="1"/>
      <c r="AD32" s="1" t="s">
        <v>835</v>
      </c>
      <c r="AE32" s="1" t="s">
        <v>836</v>
      </c>
      <c r="AF32" s="1" t="s">
        <v>626</v>
      </c>
      <c r="AG32" s="1" t="s">
        <v>102</v>
      </c>
      <c r="AH32" s="1" t="s">
        <v>84</v>
      </c>
    </row>
    <row r="33" spans="1:34">
      <c r="A33" s="1" t="s">
        <v>837</v>
      </c>
      <c r="B33" s="1" t="s">
        <v>838</v>
      </c>
      <c r="C33" s="1" t="s">
        <v>839</v>
      </c>
      <c r="D33" s="1" t="s">
        <v>616</v>
      </c>
      <c r="E33" s="1" t="s">
        <v>65</v>
      </c>
      <c r="F33" s="1" t="s">
        <v>617</v>
      </c>
      <c r="G33" s="1" t="s">
        <v>107</v>
      </c>
      <c r="H33" s="1" t="s">
        <v>618</v>
      </c>
      <c r="I33" s="1" t="s">
        <v>619</v>
      </c>
      <c r="J33" s="1" t="s">
        <v>620</v>
      </c>
      <c r="K33" s="1" t="s">
        <v>621</v>
      </c>
      <c r="L33" s="1"/>
      <c r="M33" s="1">
        <v>1</v>
      </c>
      <c r="N33" s="13">
        <v>360</v>
      </c>
      <c r="O33" s="13">
        <f>M33*N33</f>
        <v>360</v>
      </c>
      <c r="P33" s="13">
        <v>244.49</v>
      </c>
      <c r="Q33" s="13">
        <f>P33*20%</f>
        <v>48.898000000000003</v>
      </c>
      <c r="R33" s="13">
        <f>O33-P33</f>
        <v>115.50999999999999</v>
      </c>
      <c r="S33" s="1" t="s">
        <v>71</v>
      </c>
      <c r="T33" s="1" t="s">
        <v>72</v>
      </c>
      <c r="U33" s="1"/>
      <c r="V33" s="1" t="s">
        <v>73</v>
      </c>
      <c r="W33" s="1" t="s">
        <v>74</v>
      </c>
      <c r="X33" s="1" t="s">
        <v>622</v>
      </c>
      <c r="Y33" s="1" t="s">
        <v>623</v>
      </c>
      <c r="Z33" s="1" t="s">
        <v>354</v>
      </c>
      <c r="AA33" s="1" t="s">
        <v>355</v>
      </c>
      <c r="AB33" s="1" t="s">
        <v>322</v>
      </c>
      <c r="AC33" s="1" t="s">
        <v>840</v>
      </c>
      <c r="AD33" s="1" t="s">
        <v>624</v>
      </c>
      <c r="AE33" s="1" t="s">
        <v>625</v>
      </c>
      <c r="AF33" s="1" t="s">
        <v>626</v>
      </c>
      <c r="AG33" s="1" t="s">
        <v>114</v>
      </c>
      <c r="AH33" s="1" t="s">
        <v>84</v>
      </c>
    </row>
    <row r="34" spans="1:34">
      <c r="A34" s="1" t="s">
        <v>841</v>
      </c>
      <c r="B34" s="1" t="s">
        <v>842</v>
      </c>
      <c r="C34" s="1" t="s">
        <v>843</v>
      </c>
      <c r="D34" s="1" t="s">
        <v>616</v>
      </c>
      <c r="E34" s="1" t="s">
        <v>65</v>
      </c>
      <c r="F34" s="1" t="s">
        <v>617</v>
      </c>
      <c r="G34" s="1" t="s">
        <v>118</v>
      </c>
      <c r="H34" s="1" t="s">
        <v>630</v>
      </c>
      <c r="I34" s="1" t="s">
        <v>631</v>
      </c>
      <c r="J34" s="1" t="s">
        <v>620</v>
      </c>
      <c r="K34" s="1" t="s">
        <v>632</v>
      </c>
      <c r="L34" s="1"/>
      <c r="M34" s="1">
        <v>1</v>
      </c>
      <c r="N34" s="13">
        <v>670</v>
      </c>
      <c r="O34" s="13">
        <f>M34*N34</f>
        <v>670</v>
      </c>
      <c r="P34" s="13">
        <v>292.29000000000002</v>
      </c>
      <c r="Q34" s="13">
        <f>P34*20%</f>
        <v>58.458000000000006</v>
      </c>
      <c r="R34" s="13">
        <f>O34-P34</f>
        <v>377.71</v>
      </c>
      <c r="S34" s="1" t="s">
        <v>71</v>
      </c>
      <c r="T34" s="1" t="s">
        <v>72</v>
      </c>
      <c r="U34" s="1"/>
      <c r="V34" s="1" t="s">
        <v>73</v>
      </c>
      <c r="W34" s="1" t="s">
        <v>74</v>
      </c>
      <c r="X34" s="1" t="s">
        <v>622</v>
      </c>
      <c r="Y34" s="1" t="s">
        <v>623</v>
      </c>
      <c r="Z34" s="1" t="s">
        <v>77</v>
      </c>
      <c r="AA34" s="1" t="s">
        <v>78</v>
      </c>
      <c r="AB34" s="1" t="s">
        <v>79</v>
      </c>
      <c r="AC34" s="1"/>
      <c r="AD34" s="1" t="s">
        <v>624</v>
      </c>
      <c r="AE34" s="1" t="s">
        <v>633</v>
      </c>
      <c r="AF34" s="1" t="s">
        <v>626</v>
      </c>
      <c r="AG34" s="1" t="s">
        <v>121</v>
      </c>
      <c r="AH34" s="1" t="s">
        <v>84</v>
      </c>
    </row>
    <row r="35" spans="1:34">
      <c r="A35" s="1" t="s">
        <v>844</v>
      </c>
      <c r="B35" s="1" t="s">
        <v>845</v>
      </c>
      <c r="C35" s="1" t="s">
        <v>846</v>
      </c>
      <c r="D35" s="1" t="s">
        <v>616</v>
      </c>
      <c r="E35" s="1" t="s">
        <v>65</v>
      </c>
      <c r="F35" s="1" t="s">
        <v>617</v>
      </c>
      <c r="G35" s="1" t="s">
        <v>126</v>
      </c>
      <c r="H35" s="1" t="s">
        <v>637</v>
      </c>
      <c r="I35" s="1" t="s">
        <v>638</v>
      </c>
      <c r="J35" s="1" t="s">
        <v>620</v>
      </c>
      <c r="K35" s="1" t="s">
        <v>639</v>
      </c>
      <c r="L35" s="1"/>
      <c r="M35" s="1">
        <v>1</v>
      </c>
      <c r="N35" s="13">
        <v>1280</v>
      </c>
      <c r="O35" s="13">
        <f>M35*N35</f>
        <v>1280</v>
      </c>
      <c r="P35" s="13">
        <v>788.53</v>
      </c>
      <c r="Q35" s="13">
        <f>P35*20%</f>
        <v>157.70600000000002</v>
      </c>
      <c r="R35" s="13">
        <f>O35-P35</f>
        <v>491.47</v>
      </c>
      <c r="S35" s="1" t="s">
        <v>71</v>
      </c>
      <c r="T35" s="1" t="s">
        <v>72</v>
      </c>
      <c r="U35" s="1"/>
      <c r="V35" s="1" t="s">
        <v>73</v>
      </c>
      <c r="W35" s="1" t="s">
        <v>74</v>
      </c>
      <c r="X35" s="1" t="s">
        <v>622</v>
      </c>
      <c r="Y35" s="1" t="s">
        <v>623</v>
      </c>
      <c r="Z35" s="1" t="s">
        <v>77</v>
      </c>
      <c r="AA35" s="1" t="s">
        <v>78</v>
      </c>
      <c r="AB35" s="1" t="s">
        <v>79</v>
      </c>
      <c r="AC35" s="1"/>
      <c r="AD35" s="1" t="s">
        <v>624</v>
      </c>
      <c r="AE35" s="1" t="s">
        <v>640</v>
      </c>
      <c r="AF35" s="1" t="s">
        <v>626</v>
      </c>
      <c r="AG35" s="1" t="s">
        <v>132</v>
      </c>
      <c r="AH35" s="1" t="s">
        <v>84</v>
      </c>
    </row>
    <row r="36" spans="1:34">
      <c r="A36" s="1" t="s">
        <v>847</v>
      </c>
      <c r="B36" s="1" t="s">
        <v>848</v>
      </c>
      <c r="C36" s="1" t="s">
        <v>849</v>
      </c>
      <c r="D36" s="1" t="s">
        <v>616</v>
      </c>
      <c r="E36" s="1" t="s">
        <v>65</v>
      </c>
      <c r="F36" s="1" t="s">
        <v>617</v>
      </c>
      <c r="G36" s="1" t="s">
        <v>137</v>
      </c>
      <c r="H36" s="1" t="s">
        <v>644</v>
      </c>
      <c r="I36" s="1" t="s">
        <v>645</v>
      </c>
      <c r="J36" s="1" t="s">
        <v>620</v>
      </c>
      <c r="K36" s="1" t="s">
        <v>646</v>
      </c>
      <c r="L36" s="1"/>
      <c r="M36" s="1">
        <v>1</v>
      </c>
      <c r="N36" s="13">
        <v>2350</v>
      </c>
      <c r="O36" s="13">
        <f>M36*N36</f>
        <v>2350</v>
      </c>
      <c r="P36" s="13">
        <v>1442.56</v>
      </c>
      <c r="Q36" s="13">
        <f>P36*20%</f>
        <v>288.512</v>
      </c>
      <c r="R36" s="13">
        <f>O36-P36</f>
        <v>907.44</v>
      </c>
      <c r="S36" s="1" t="s">
        <v>71</v>
      </c>
      <c r="T36" s="1" t="s">
        <v>72</v>
      </c>
      <c r="U36" s="1"/>
      <c r="V36" s="1" t="s">
        <v>73</v>
      </c>
      <c r="W36" s="1" t="s">
        <v>74</v>
      </c>
      <c r="X36" s="1" t="s">
        <v>622</v>
      </c>
      <c r="Y36" s="1" t="s">
        <v>623</v>
      </c>
      <c r="Z36" s="1" t="s">
        <v>77</v>
      </c>
      <c r="AA36" s="1" t="s">
        <v>78</v>
      </c>
      <c r="AB36" s="1" t="s">
        <v>79</v>
      </c>
      <c r="AC36" s="1"/>
      <c r="AD36" s="1" t="s">
        <v>624</v>
      </c>
      <c r="AE36" s="1" t="s">
        <v>240</v>
      </c>
      <c r="AF36" s="1" t="s">
        <v>626</v>
      </c>
      <c r="AG36" s="1" t="s">
        <v>144</v>
      </c>
      <c r="AH36" s="1" t="s">
        <v>84</v>
      </c>
    </row>
    <row r="37" spans="1:34">
      <c r="A37" s="1" t="s">
        <v>850</v>
      </c>
      <c r="B37" s="1" t="s">
        <v>851</v>
      </c>
      <c r="C37" s="1" t="s">
        <v>852</v>
      </c>
      <c r="D37" s="1" t="s">
        <v>616</v>
      </c>
      <c r="E37" s="1" t="s">
        <v>65</v>
      </c>
      <c r="F37" s="1" t="s">
        <v>617</v>
      </c>
      <c r="G37" s="1" t="s">
        <v>149</v>
      </c>
      <c r="H37" s="1" t="s">
        <v>650</v>
      </c>
      <c r="I37" s="1" t="s">
        <v>651</v>
      </c>
      <c r="J37" s="1" t="s">
        <v>620</v>
      </c>
      <c r="K37" s="1" t="s">
        <v>652</v>
      </c>
      <c r="L37" s="1"/>
      <c r="M37" s="1">
        <v>1</v>
      </c>
      <c r="N37" s="13">
        <v>4300</v>
      </c>
      <c r="O37" s="13">
        <f>M37*N37</f>
        <v>4300</v>
      </c>
      <c r="P37" s="13">
        <v>1884.19</v>
      </c>
      <c r="Q37" s="13">
        <f>P37*20%</f>
        <v>376.83800000000002</v>
      </c>
      <c r="R37" s="13">
        <f>O37-P37</f>
        <v>2415.81</v>
      </c>
      <c r="S37" s="1" t="s">
        <v>71</v>
      </c>
      <c r="T37" s="1" t="s">
        <v>72</v>
      </c>
      <c r="U37" s="1"/>
      <c r="V37" s="1" t="s">
        <v>73</v>
      </c>
      <c r="W37" s="1" t="s">
        <v>74</v>
      </c>
      <c r="X37" s="1" t="s">
        <v>622</v>
      </c>
      <c r="Y37" s="1" t="s">
        <v>623</v>
      </c>
      <c r="Z37" s="1" t="s">
        <v>77</v>
      </c>
      <c r="AA37" s="1" t="s">
        <v>78</v>
      </c>
      <c r="AB37" s="1" t="s">
        <v>79</v>
      </c>
      <c r="AC37" s="1"/>
      <c r="AD37" s="1" t="s">
        <v>624</v>
      </c>
      <c r="AE37" s="1" t="s">
        <v>261</v>
      </c>
      <c r="AF37" s="1" t="s">
        <v>626</v>
      </c>
      <c r="AG37" s="1" t="s">
        <v>154</v>
      </c>
      <c r="AH37" s="1" t="s">
        <v>84</v>
      </c>
    </row>
    <row r="38" spans="1:34">
      <c r="A38" s="1" t="s">
        <v>853</v>
      </c>
      <c r="B38" s="1" t="s">
        <v>854</v>
      </c>
      <c r="C38" s="1" t="s">
        <v>855</v>
      </c>
      <c r="D38" s="1" t="s">
        <v>616</v>
      </c>
      <c r="E38" s="1" t="s">
        <v>65</v>
      </c>
      <c r="F38" s="1" t="s">
        <v>656</v>
      </c>
      <c r="G38" s="1" t="s">
        <v>158</v>
      </c>
      <c r="H38" s="1" t="s">
        <v>657</v>
      </c>
      <c r="I38" s="1" t="s">
        <v>658</v>
      </c>
      <c r="J38" s="1" t="s">
        <v>659</v>
      </c>
      <c r="K38" s="1" t="s">
        <v>660</v>
      </c>
      <c r="L38" s="1"/>
      <c r="M38" s="1">
        <v>1</v>
      </c>
      <c r="N38" s="13">
        <v>215</v>
      </c>
      <c r="O38" s="13">
        <f>M38*N38</f>
        <v>215</v>
      </c>
      <c r="P38" s="13">
        <v>137.27000000000001</v>
      </c>
      <c r="Q38" s="13">
        <f>P38*20%</f>
        <v>27.454000000000004</v>
      </c>
      <c r="R38" s="13">
        <f>O38-P38</f>
        <v>77.72999999999999</v>
      </c>
      <c r="S38" s="1" t="s">
        <v>71</v>
      </c>
      <c r="T38" s="1" t="s">
        <v>72</v>
      </c>
      <c r="U38" s="1"/>
      <c r="V38" s="1" t="s">
        <v>73</v>
      </c>
      <c r="W38" s="1" t="s">
        <v>74</v>
      </c>
      <c r="X38" s="1" t="s">
        <v>661</v>
      </c>
      <c r="Y38" s="1" t="s">
        <v>662</v>
      </c>
      <c r="Z38" s="1" t="s">
        <v>77</v>
      </c>
      <c r="AA38" s="1" t="s">
        <v>78</v>
      </c>
      <c r="AB38" s="1" t="s">
        <v>79</v>
      </c>
      <c r="AC38" s="1"/>
      <c r="AD38" s="1" t="s">
        <v>663</v>
      </c>
      <c r="AE38" s="1" t="s">
        <v>664</v>
      </c>
      <c r="AF38" s="1" t="s">
        <v>626</v>
      </c>
      <c r="AG38" s="1" t="s">
        <v>162</v>
      </c>
      <c r="AH38" s="1" t="s">
        <v>84</v>
      </c>
    </row>
    <row r="39" spans="1:34">
      <c r="A39" s="1" t="s">
        <v>856</v>
      </c>
      <c r="B39" s="1" t="s">
        <v>857</v>
      </c>
      <c r="C39" s="1" t="s">
        <v>858</v>
      </c>
      <c r="D39" s="1" t="s">
        <v>616</v>
      </c>
      <c r="E39" s="1" t="s">
        <v>65</v>
      </c>
      <c r="F39" s="1" t="s">
        <v>656</v>
      </c>
      <c r="G39" s="1" t="s">
        <v>167</v>
      </c>
      <c r="H39" s="1" t="s">
        <v>668</v>
      </c>
      <c r="I39" s="1" t="s">
        <v>669</v>
      </c>
      <c r="J39" s="1" t="s">
        <v>659</v>
      </c>
      <c r="K39" s="1" t="s">
        <v>670</v>
      </c>
      <c r="L39" s="1"/>
      <c r="M39" s="1">
        <v>1</v>
      </c>
      <c r="N39" s="13">
        <v>315</v>
      </c>
      <c r="O39" s="13">
        <f>M39*N39</f>
        <v>315</v>
      </c>
      <c r="P39" s="13">
        <v>207.96</v>
      </c>
      <c r="Q39" s="13">
        <f>P39*20%</f>
        <v>41.592000000000006</v>
      </c>
      <c r="R39" s="13">
        <f>O39-P39</f>
        <v>107.03999999999999</v>
      </c>
      <c r="S39" s="1" t="s">
        <v>71</v>
      </c>
      <c r="T39" s="1" t="s">
        <v>72</v>
      </c>
      <c r="U39" s="1"/>
      <c r="V39" s="1" t="s">
        <v>73</v>
      </c>
      <c r="W39" s="1" t="s">
        <v>74</v>
      </c>
      <c r="X39" s="1" t="s">
        <v>661</v>
      </c>
      <c r="Y39" s="1" t="s">
        <v>662</v>
      </c>
      <c r="Z39" s="1" t="s">
        <v>77</v>
      </c>
      <c r="AA39" s="1" t="s">
        <v>78</v>
      </c>
      <c r="AB39" s="1" t="s">
        <v>79</v>
      </c>
      <c r="AC39" s="1"/>
      <c r="AD39" s="1" t="s">
        <v>663</v>
      </c>
      <c r="AE39" s="1" t="s">
        <v>217</v>
      </c>
      <c r="AF39" s="1" t="s">
        <v>626</v>
      </c>
      <c r="AG39" s="1" t="s">
        <v>176</v>
      </c>
      <c r="AH39" s="1" t="s">
        <v>84</v>
      </c>
    </row>
    <row r="40" spans="1:34">
      <c r="A40" s="1" t="s">
        <v>859</v>
      </c>
      <c r="B40" s="1" t="s">
        <v>860</v>
      </c>
      <c r="C40" s="1" t="s">
        <v>861</v>
      </c>
      <c r="D40" s="1" t="s">
        <v>616</v>
      </c>
      <c r="E40" s="1" t="s">
        <v>65</v>
      </c>
      <c r="F40" s="1" t="s">
        <v>656</v>
      </c>
      <c r="G40" s="1" t="s">
        <v>180</v>
      </c>
      <c r="H40" s="1" t="s">
        <v>674</v>
      </c>
      <c r="I40" s="1" t="s">
        <v>675</v>
      </c>
      <c r="J40" s="1" t="s">
        <v>659</v>
      </c>
      <c r="K40" s="1" t="s">
        <v>676</v>
      </c>
      <c r="L40" s="1"/>
      <c r="M40" s="1">
        <v>1</v>
      </c>
      <c r="N40" s="13">
        <v>410</v>
      </c>
      <c r="O40" s="13">
        <f>M40*N40</f>
        <v>410</v>
      </c>
      <c r="P40" s="13">
        <v>185.64</v>
      </c>
      <c r="Q40" s="13">
        <f>P40*20%</f>
        <v>37.128</v>
      </c>
      <c r="R40" s="13">
        <f>O40-P40</f>
        <v>224.36</v>
      </c>
      <c r="S40" s="1" t="s">
        <v>71</v>
      </c>
      <c r="T40" s="1" t="s">
        <v>72</v>
      </c>
      <c r="U40" s="1"/>
      <c r="V40" s="1" t="s">
        <v>73</v>
      </c>
      <c r="W40" s="1" t="s">
        <v>74</v>
      </c>
      <c r="X40" s="1" t="s">
        <v>661</v>
      </c>
      <c r="Y40" s="1" t="s">
        <v>662</v>
      </c>
      <c r="Z40" s="1" t="s">
        <v>77</v>
      </c>
      <c r="AA40" s="1" t="s">
        <v>78</v>
      </c>
      <c r="AB40" s="1" t="s">
        <v>79</v>
      </c>
      <c r="AC40" s="1"/>
      <c r="AD40" s="1" t="s">
        <v>663</v>
      </c>
      <c r="AE40" s="1" t="s">
        <v>677</v>
      </c>
      <c r="AF40" s="1" t="s">
        <v>626</v>
      </c>
      <c r="AG40" s="1" t="s">
        <v>184</v>
      </c>
      <c r="AH40" s="1" t="s">
        <v>84</v>
      </c>
    </row>
    <row r="41" spans="1:34">
      <c r="A41" s="1" t="s">
        <v>862</v>
      </c>
      <c r="B41" s="1" t="s">
        <v>863</v>
      </c>
      <c r="C41" s="1" t="s">
        <v>864</v>
      </c>
      <c r="D41" s="1" t="s">
        <v>616</v>
      </c>
      <c r="E41" s="1" t="s">
        <v>65</v>
      </c>
      <c r="F41" s="1" t="s">
        <v>656</v>
      </c>
      <c r="G41" s="1" t="s">
        <v>188</v>
      </c>
      <c r="H41" s="1" t="s">
        <v>681</v>
      </c>
      <c r="I41" s="1" t="s">
        <v>682</v>
      </c>
      <c r="J41" s="1" t="s">
        <v>659</v>
      </c>
      <c r="K41" s="1" t="s">
        <v>683</v>
      </c>
      <c r="L41" s="1"/>
      <c r="M41" s="1">
        <v>1</v>
      </c>
      <c r="N41" s="13">
        <v>570</v>
      </c>
      <c r="O41" s="13">
        <f>M41*N41</f>
        <v>570</v>
      </c>
      <c r="P41" s="13">
        <v>272.16000000000003</v>
      </c>
      <c r="Q41" s="13">
        <f>P41*20%</f>
        <v>54.432000000000009</v>
      </c>
      <c r="R41" s="13">
        <f>O41-P41</f>
        <v>297.83999999999997</v>
      </c>
      <c r="S41" s="1" t="s">
        <v>71</v>
      </c>
      <c r="T41" s="1" t="s">
        <v>72</v>
      </c>
      <c r="U41" s="1"/>
      <c r="V41" s="1" t="s">
        <v>73</v>
      </c>
      <c r="W41" s="1" t="s">
        <v>74</v>
      </c>
      <c r="X41" s="1" t="s">
        <v>661</v>
      </c>
      <c r="Y41" s="1" t="s">
        <v>662</v>
      </c>
      <c r="Z41" s="1" t="s">
        <v>77</v>
      </c>
      <c r="AA41" s="1" t="s">
        <v>78</v>
      </c>
      <c r="AB41" s="1" t="s">
        <v>79</v>
      </c>
      <c r="AC41" s="1"/>
      <c r="AD41" s="1" t="s">
        <v>663</v>
      </c>
      <c r="AE41" s="1" t="s">
        <v>684</v>
      </c>
      <c r="AF41" s="1" t="s">
        <v>626</v>
      </c>
      <c r="AG41" s="1" t="s">
        <v>194</v>
      </c>
      <c r="AH41" s="1" t="s">
        <v>84</v>
      </c>
    </row>
    <row r="42" spans="1:34">
      <c r="A42" s="1" t="s">
        <v>865</v>
      </c>
      <c r="B42" s="1" t="s">
        <v>866</v>
      </c>
      <c r="C42" s="1" t="s">
        <v>867</v>
      </c>
      <c r="D42" s="1" t="s">
        <v>616</v>
      </c>
      <c r="E42" s="1" t="s">
        <v>65</v>
      </c>
      <c r="F42" s="1" t="s">
        <v>232</v>
      </c>
      <c r="G42" s="1" t="s">
        <v>199</v>
      </c>
      <c r="H42" s="1" t="s">
        <v>688</v>
      </c>
      <c r="I42" s="1" t="s">
        <v>235</v>
      </c>
      <c r="J42" s="1" t="s">
        <v>236</v>
      </c>
      <c r="K42" s="1" t="s">
        <v>237</v>
      </c>
      <c r="L42" s="1"/>
      <c r="M42" s="1">
        <v>1</v>
      </c>
      <c r="N42" s="13">
        <v>185</v>
      </c>
      <c r="O42" s="13">
        <f>M42*N42</f>
        <v>185</v>
      </c>
      <c r="P42" s="13">
        <v>107.46</v>
      </c>
      <c r="Q42" s="13">
        <f>P42*20%</f>
        <v>21.492000000000001</v>
      </c>
      <c r="R42" s="13">
        <f>O42-P42</f>
        <v>77.540000000000006</v>
      </c>
      <c r="S42" s="1" t="s">
        <v>71</v>
      </c>
      <c r="T42" s="1" t="s">
        <v>72</v>
      </c>
      <c r="U42" s="1"/>
      <c r="V42" s="1" t="s">
        <v>73</v>
      </c>
      <c r="W42" s="1" t="s">
        <v>74</v>
      </c>
      <c r="X42" s="1" t="s">
        <v>238</v>
      </c>
      <c r="Y42" s="1" t="s">
        <v>239</v>
      </c>
      <c r="Z42" s="1" t="s">
        <v>77</v>
      </c>
      <c r="AA42" s="1" t="s">
        <v>78</v>
      </c>
      <c r="AB42" s="1" t="s">
        <v>79</v>
      </c>
      <c r="AC42" s="1"/>
      <c r="AD42" s="1" t="s">
        <v>206</v>
      </c>
      <c r="AE42" s="1" t="s">
        <v>689</v>
      </c>
      <c r="AF42" s="1" t="s">
        <v>626</v>
      </c>
      <c r="AG42" s="1" t="s">
        <v>208</v>
      </c>
      <c r="AH42" s="1" t="s">
        <v>84</v>
      </c>
    </row>
    <row r="43" spans="1:34">
      <c r="A43" s="1" t="s">
        <v>868</v>
      </c>
      <c r="B43" s="1" t="s">
        <v>869</v>
      </c>
      <c r="C43" s="1" t="s">
        <v>870</v>
      </c>
      <c r="D43" s="1" t="s">
        <v>616</v>
      </c>
      <c r="E43" s="1" t="s">
        <v>65</v>
      </c>
      <c r="F43" s="1" t="s">
        <v>232</v>
      </c>
      <c r="G43" s="1" t="s">
        <v>212</v>
      </c>
      <c r="H43" s="1" t="s">
        <v>693</v>
      </c>
      <c r="I43" s="1" t="s">
        <v>694</v>
      </c>
      <c r="J43" s="1" t="s">
        <v>695</v>
      </c>
      <c r="K43" s="1" t="s">
        <v>696</v>
      </c>
      <c r="L43" s="1"/>
      <c r="M43" s="1">
        <v>1</v>
      </c>
      <c r="N43" s="13">
        <v>1900</v>
      </c>
      <c r="O43" s="13">
        <f>M43*N43</f>
        <v>1900</v>
      </c>
      <c r="P43" s="13">
        <v>877.9</v>
      </c>
      <c r="Q43" s="13">
        <f>P43*20%</f>
        <v>175.58</v>
      </c>
      <c r="R43" s="13">
        <f>O43-P43</f>
        <v>1022.1</v>
      </c>
      <c r="S43" s="1" t="s">
        <v>71</v>
      </c>
      <c r="T43" s="1" t="s">
        <v>72</v>
      </c>
      <c r="U43" s="1" t="s">
        <v>871</v>
      </c>
      <c r="V43" s="1" t="s">
        <v>73</v>
      </c>
      <c r="W43" s="1" t="s">
        <v>74</v>
      </c>
      <c r="X43" s="1" t="s">
        <v>238</v>
      </c>
      <c r="Y43" s="1" t="s">
        <v>239</v>
      </c>
      <c r="Z43" s="1" t="s">
        <v>77</v>
      </c>
      <c r="AA43" s="1" t="s">
        <v>78</v>
      </c>
      <c r="AB43" s="1" t="s">
        <v>79</v>
      </c>
      <c r="AC43" s="1"/>
      <c r="AD43" s="1" t="s">
        <v>698</v>
      </c>
      <c r="AE43" s="1" t="s">
        <v>633</v>
      </c>
      <c r="AF43" s="1" t="s">
        <v>626</v>
      </c>
      <c r="AG43" s="1" t="s">
        <v>218</v>
      </c>
      <c r="AH43" s="1" t="s">
        <v>84</v>
      </c>
    </row>
    <row r="44" spans="1:34">
      <c r="A44" s="1" t="s">
        <v>872</v>
      </c>
      <c r="B44" s="1" t="s">
        <v>873</v>
      </c>
      <c r="C44" s="1" t="s">
        <v>874</v>
      </c>
      <c r="D44" s="1" t="s">
        <v>616</v>
      </c>
      <c r="E44" s="1" t="s">
        <v>65</v>
      </c>
      <c r="F44" s="1" t="s">
        <v>232</v>
      </c>
      <c r="G44" s="1" t="s">
        <v>222</v>
      </c>
      <c r="H44" s="1" t="s">
        <v>702</v>
      </c>
      <c r="I44" s="1" t="s">
        <v>703</v>
      </c>
      <c r="J44" s="1" t="s">
        <v>695</v>
      </c>
      <c r="K44" s="1" t="s">
        <v>704</v>
      </c>
      <c r="L44" s="1"/>
      <c r="M44" s="1">
        <v>1</v>
      </c>
      <c r="N44" s="13">
        <v>2500</v>
      </c>
      <c r="O44" s="13">
        <f>M44*N44</f>
        <v>2500</v>
      </c>
      <c r="P44" s="13">
        <v>1187.6199999999999</v>
      </c>
      <c r="Q44" s="13">
        <f>P44*20%</f>
        <v>237.524</v>
      </c>
      <c r="R44" s="13">
        <f>O44-P44</f>
        <v>1312.38</v>
      </c>
      <c r="S44" s="1" t="s">
        <v>71</v>
      </c>
      <c r="T44" s="1" t="s">
        <v>72</v>
      </c>
      <c r="U44" s="1" t="s">
        <v>875</v>
      </c>
      <c r="V44" s="1" t="s">
        <v>73</v>
      </c>
      <c r="W44" s="1" t="s">
        <v>74</v>
      </c>
      <c r="X44" s="1" t="s">
        <v>238</v>
      </c>
      <c r="Y44" s="1" t="s">
        <v>239</v>
      </c>
      <c r="Z44" s="1" t="s">
        <v>77</v>
      </c>
      <c r="AA44" s="1" t="s">
        <v>78</v>
      </c>
      <c r="AB44" s="1" t="s">
        <v>79</v>
      </c>
      <c r="AC44" s="1"/>
      <c r="AD44" s="1" t="s">
        <v>698</v>
      </c>
      <c r="AE44" s="1" t="s">
        <v>706</v>
      </c>
      <c r="AF44" s="1" t="s">
        <v>626</v>
      </c>
      <c r="AG44" s="1" t="s">
        <v>228</v>
      </c>
      <c r="AH44" s="1" t="s">
        <v>84</v>
      </c>
    </row>
    <row r="45" spans="1:34">
      <c r="A45" s="1" t="s">
        <v>876</v>
      </c>
      <c r="B45" s="1" t="s">
        <v>877</v>
      </c>
      <c r="C45" s="1" t="s">
        <v>878</v>
      </c>
      <c r="D45" s="1" t="s">
        <v>616</v>
      </c>
      <c r="E45" s="1" t="s">
        <v>65</v>
      </c>
      <c r="F45" s="1" t="s">
        <v>232</v>
      </c>
      <c r="G45" s="1" t="s">
        <v>233</v>
      </c>
      <c r="H45" s="1" t="s">
        <v>710</v>
      </c>
      <c r="I45" s="1" t="s">
        <v>711</v>
      </c>
      <c r="J45" s="1" t="s">
        <v>712</v>
      </c>
      <c r="K45" s="1" t="s">
        <v>713</v>
      </c>
      <c r="L45" s="1"/>
      <c r="M45" s="1">
        <v>1</v>
      </c>
      <c r="N45" s="13">
        <v>3250</v>
      </c>
      <c r="O45" s="13">
        <f>M45*N45</f>
        <v>3250</v>
      </c>
      <c r="P45" s="13">
        <v>1816.06</v>
      </c>
      <c r="Q45" s="13">
        <f>P45*20%</f>
        <v>363.21199999999999</v>
      </c>
      <c r="R45" s="13">
        <f>O45-P45</f>
        <v>1433.94</v>
      </c>
      <c r="S45" s="1" t="s">
        <v>71</v>
      </c>
      <c r="T45" s="1" t="s">
        <v>72</v>
      </c>
      <c r="U45" s="1" t="s">
        <v>879</v>
      </c>
      <c r="V45" s="1" t="s">
        <v>73</v>
      </c>
      <c r="W45" s="1" t="s">
        <v>74</v>
      </c>
      <c r="X45" s="1" t="s">
        <v>238</v>
      </c>
      <c r="Y45" s="1" t="s">
        <v>239</v>
      </c>
      <c r="Z45" s="1" t="s">
        <v>77</v>
      </c>
      <c r="AA45" s="1" t="s">
        <v>78</v>
      </c>
      <c r="AB45" s="1" t="s">
        <v>79</v>
      </c>
      <c r="AC45" s="1"/>
      <c r="AD45" s="1" t="s">
        <v>698</v>
      </c>
      <c r="AE45" s="1" t="s">
        <v>715</v>
      </c>
      <c r="AF45" s="1" t="s">
        <v>626</v>
      </c>
      <c r="AG45" s="1" t="s">
        <v>241</v>
      </c>
      <c r="AH45" s="1" t="s">
        <v>84</v>
      </c>
    </row>
    <row r="46" spans="1:34">
      <c r="A46" s="1" t="s">
        <v>880</v>
      </c>
      <c r="B46" s="1" t="s">
        <v>881</v>
      </c>
      <c r="C46" s="1" t="s">
        <v>882</v>
      </c>
      <c r="D46" s="1" t="s">
        <v>616</v>
      </c>
      <c r="E46" s="1" t="s">
        <v>65</v>
      </c>
      <c r="F46" s="1" t="s">
        <v>232</v>
      </c>
      <c r="G46" s="1" t="s">
        <v>245</v>
      </c>
      <c r="H46" s="1" t="s">
        <v>719</v>
      </c>
      <c r="I46" s="1" t="s">
        <v>720</v>
      </c>
      <c r="J46" s="1" t="s">
        <v>721</v>
      </c>
      <c r="K46" s="1" t="s">
        <v>722</v>
      </c>
      <c r="L46" s="1"/>
      <c r="M46" s="1">
        <v>1</v>
      </c>
      <c r="N46" s="13">
        <v>875</v>
      </c>
      <c r="O46" s="13">
        <f>M46*N46</f>
        <v>875</v>
      </c>
      <c r="P46" s="13">
        <v>597.04999999999995</v>
      </c>
      <c r="Q46" s="13">
        <f>P46*20%</f>
        <v>119.41</v>
      </c>
      <c r="R46" s="13">
        <f>O46-P46</f>
        <v>277.95000000000005</v>
      </c>
      <c r="S46" s="1" t="s">
        <v>71</v>
      </c>
      <c r="T46" s="1" t="s">
        <v>72</v>
      </c>
      <c r="U46" s="1"/>
      <c r="V46" s="1" t="s">
        <v>73</v>
      </c>
      <c r="W46" s="1" t="s">
        <v>74</v>
      </c>
      <c r="X46" s="1" t="s">
        <v>238</v>
      </c>
      <c r="Y46" s="1" t="s">
        <v>239</v>
      </c>
      <c r="Z46" s="1" t="s">
        <v>77</v>
      </c>
      <c r="AA46" s="1" t="s">
        <v>78</v>
      </c>
      <c r="AB46" s="1" t="s">
        <v>79</v>
      </c>
      <c r="AC46" s="1"/>
      <c r="AD46" s="1" t="s">
        <v>206</v>
      </c>
      <c r="AE46" s="1" t="s">
        <v>723</v>
      </c>
      <c r="AF46" s="1" t="s">
        <v>626</v>
      </c>
      <c r="AG46" s="1" t="s">
        <v>250</v>
      </c>
      <c r="AH46" s="1" t="s">
        <v>84</v>
      </c>
    </row>
    <row r="47" spans="1:34">
      <c r="A47" s="1" t="s">
        <v>883</v>
      </c>
      <c r="B47" s="1" t="s">
        <v>884</v>
      </c>
      <c r="C47" s="1" t="s">
        <v>885</v>
      </c>
      <c r="D47" s="1" t="s">
        <v>616</v>
      </c>
      <c r="E47" s="1" t="s">
        <v>65</v>
      </c>
      <c r="F47" s="1" t="s">
        <v>727</v>
      </c>
      <c r="G47" s="1" t="s">
        <v>255</v>
      </c>
      <c r="H47" s="1" t="s">
        <v>728</v>
      </c>
      <c r="I47" s="1" t="s">
        <v>729</v>
      </c>
      <c r="J47" s="1" t="s">
        <v>730</v>
      </c>
      <c r="K47" s="1" t="s">
        <v>731</v>
      </c>
      <c r="L47" s="1"/>
      <c r="M47" s="1">
        <v>1</v>
      </c>
      <c r="N47" s="13">
        <v>535</v>
      </c>
      <c r="O47" s="13">
        <f>M47*N47</f>
        <v>535</v>
      </c>
      <c r="P47" s="13">
        <v>236.8</v>
      </c>
      <c r="Q47" s="13">
        <f>P47*20%</f>
        <v>47.360000000000007</v>
      </c>
      <c r="R47" s="13">
        <f>O47-P47</f>
        <v>298.2</v>
      </c>
      <c r="S47" s="1" t="s">
        <v>71</v>
      </c>
      <c r="T47" s="1" t="s">
        <v>72</v>
      </c>
      <c r="U47" s="1"/>
      <c r="V47" s="1" t="s">
        <v>73</v>
      </c>
      <c r="W47" s="1" t="s">
        <v>74</v>
      </c>
      <c r="X47" s="1" t="s">
        <v>238</v>
      </c>
      <c r="Y47" s="1" t="s">
        <v>239</v>
      </c>
      <c r="Z47" s="1" t="s">
        <v>77</v>
      </c>
      <c r="AA47" s="1" t="s">
        <v>78</v>
      </c>
      <c r="AB47" s="1" t="s">
        <v>79</v>
      </c>
      <c r="AC47" s="1"/>
      <c r="AD47" s="1" t="s">
        <v>732</v>
      </c>
      <c r="AE47" s="1" t="s">
        <v>733</v>
      </c>
      <c r="AF47" s="1" t="s">
        <v>626</v>
      </c>
      <c r="AG47" s="1" t="s">
        <v>262</v>
      </c>
      <c r="AH47" s="1" t="s">
        <v>84</v>
      </c>
    </row>
    <row r="48" spans="1:34">
      <c r="A48" s="1" t="s">
        <v>886</v>
      </c>
      <c r="B48" s="1" t="s">
        <v>887</v>
      </c>
      <c r="C48" s="1" t="s">
        <v>888</v>
      </c>
      <c r="D48" s="1" t="s">
        <v>616</v>
      </c>
      <c r="E48" s="1" t="s">
        <v>65</v>
      </c>
      <c r="F48" s="1" t="s">
        <v>198</v>
      </c>
      <c r="G48" s="1" t="s">
        <v>267</v>
      </c>
      <c r="H48" s="1" t="s">
        <v>737</v>
      </c>
      <c r="I48" s="1" t="s">
        <v>201</v>
      </c>
      <c r="J48" s="1" t="s">
        <v>202</v>
      </c>
      <c r="K48" s="1" t="s">
        <v>203</v>
      </c>
      <c r="L48" s="1"/>
      <c r="M48" s="1">
        <v>1</v>
      </c>
      <c r="N48" s="13">
        <v>155</v>
      </c>
      <c r="O48" s="13">
        <f>M48*N48</f>
        <v>155</v>
      </c>
      <c r="P48" s="13">
        <v>102.67</v>
      </c>
      <c r="Q48" s="13">
        <f>P48*20%</f>
        <v>20.534000000000002</v>
      </c>
      <c r="R48" s="13">
        <f>O48-P48</f>
        <v>52.33</v>
      </c>
      <c r="S48" s="1" t="s">
        <v>71</v>
      </c>
      <c r="T48" s="1" t="s">
        <v>72</v>
      </c>
      <c r="U48" s="1"/>
      <c r="V48" s="1" t="s">
        <v>73</v>
      </c>
      <c r="W48" s="1" t="s">
        <v>74</v>
      </c>
      <c r="X48" s="1" t="s">
        <v>204</v>
      </c>
      <c r="Y48" s="1" t="s">
        <v>205</v>
      </c>
      <c r="Z48" s="1" t="s">
        <v>77</v>
      </c>
      <c r="AA48" s="1" t="s">
        <v>78</v>
      </c>
      <c r="AB48" s="1" t="s">
        <v>79</v>
      </c>
      <c r="AC48" s="1"/>
      <c r="AD48" s="1" t="s">
        <v>206</v>
      </c>
      <c r="AE48" s="1" t="s">
        <v>738</v>
      </c>
      <c r="AF48" s="1" t="s">
        <v>626</v>
      </c>
      <c r="AG48" s="1" t="s">
        <v>274</v>
      </c>
      <c r="AH48" s="1" t="s">
        <v>84</v>
      </c>
    </row>
    <row r="49" spans="1:34">
      <c r="A49" s="1" t="s">
        <v>889</v>
      </c>
      <c r="B49" s="1" t="s">
        <v>890</v>
      </c>
      <c r="C49" s="1" t="s">
        <v>891</v>
      </c>
      <c r="D49" s="1" t="s">
        <v>616</v>
      </c>
      <c r="E49" s="1" t="s">
        <v>65</v>
      </c>
      <c r="F49" s="1" t="s">
        <v>198</v>
      </c>
      <c r="G49" s="1" t="s">
        <v>279</v>
      </c>
      <c r="H49" s="1" t="s">
        <v>742</v>
      </c>
      <c r="I49" s="1" t="s">
        <v>743</v>
      </c>
      <c r="J49" s="1" t="s">
        <v>215</v>
      </c>
      <c r="K49" s="1" t="s">
        <v>744</v>
      </c>
      <c r="L49" s="1"/>
      <c r="M49" s="1">
        <v>1</v>
      </c>
      <c r="N49" s="13">
        <v>185</v>
      </c>
      <c r="O49" s="13">
        <f>M49*N49</f>
        <v>185</v>
      </c>
      <c r="P49" s="13">
        <v>125.21</v>
      </c>
      <c r="Q49" s="13">
        <f>P49*20%</f>
        <v>25.042000000000002</v>
      </c>
      <c r="R49" s="13">
        <f>O49-P49</f>
        <v>59.790000000000006</v>
      </c>
      <c r="S49" s="1" t="s">
        <v>71</v>
      </c>
      <c r="T49" s="1" t="s">
        <v>72</v>
      </c>
      <c r="U49" s="1"/>
      <c r="V49" s="1" t="s">
        <v>73</v>
      </c>
      <c r="W49" s="1" t="s">
        <v>74</v>
      </c>
      <c r="X49" s="1" t="s">
        <v>204</v>
      </c>
      <c r="Y49" s="1" t="s">
        <v>205</v>
      </c>
      <c r="Z49" s="1" t="s">
        <v>77</v>
      </c>
      <c r="AA49" s="1" t="s">
        <v>78</v>
      </c>
      <c r="AB49" s="1" t="s">
        <v>79</v>
      </c>
      <c r="AC49" s="1"/>
      <c r="AD49" s="1" t="s">
        <v>206</v>
      </c>
      <c r="AE49" s="1" t="s">
        <v>664</v>
      </c>
      <c r="AF49" s="1" t="s">
        <v>626</v>
      </c>
      <c r="AG49" s="1" t="s">
        <v>289</v>
      </c>
      <c r="AH49" s="1" t="s">
        <v>84</v>
      </c>
    </row>
    <row r="50" spans="1:34">
      <c r="A50" s="1" t="s">
        <v>892</v>
      </c>
      <c r="B50" s="1" t="s">
        <v>893</v>
      </c>
      <c r="C50" s="1" t="s">
        <v>894</v>
      </c>
      <c r="D50" s="1" t="s">
        <v>616</v>
      </c>
      <c r="E50" s="1" t="s">
        <v>65</v>
      </c>
      <c r="F50" s="1" t="s">
        <v>198</v>
      </c>
      <c r="G50" s="1" t="s">
        <v>293</v>
      </c>
      <c r="H50" s="1" t="s">
        <v>748</v>
      </c>
      <c r="I50" s="1" t="s">
        <v>749</v>
      </c>
      <c r="J50" s="1" t="s">
        <v>215</v>
      </c>
      <c r="K50" s="1" t="s">
        <v>750</v>
      </c>
      <c r="L50" s="1"/>
      <c r="M50" s="1">
        <v>1</v>
      </c>
      <c r="N50" s="13">
        <v>110</v>
      </c>
      <c r="O50" s="13">
        <f>M50*N50</f>
        <v>110</v>
      </c>
      <c r="P50" s="13">
        <v>49.43</v>
      </c>
      <c r="Q50" s="13">
        <f>P50*20%</f>
        <v>9.886000000000001</v>
      </c>
      <c r="R50" s="13">
        <f>O50-P50</f>
        <v>60.57</v>
      </c>
      <c r="S50" s="1" t="s">
        <v>71</v>
      </c>
      <c r="T50" s="1" t="s">
        <v>72</v>
      </c>
      <c r="U50" s="1"/>
      <c r="V50" s="1" t="s">
        <v>73</v>
      </c>
      <c r="W50" s="1" t="s">
        <v>74</v>
      </c>
      <c r="X50" s="1" t="s">
        <v>204</v>
      </c>
      <c r="Y50" s="1" t="s">
        <v>205</v>
      </c>
      <c r="Z50" s="1" t="s">
        <v>77</v>
      </c>
      <c r="AA50" s="1" t="s">
        <v>78</v>
      </c>
      <c r="AB50" s="1" t="s">
        <v>322</v>
      </c>
      <c r="AC50" s="1" t="s">
        <v>895</v>
      </c>
      <c r="AD50" s="1" t="s">
        <v>206</v>
      </c>
      <c r="AE50" s="1" t="s">
        <v>217</v>
      </c>
      <c r="AF50" s="1" t="s">
        <v>626</v>
      </c>
      <c r="AG50" s="1" t="s">
        <v>299</v>
      </c>
      <c r="AH50" s="1" t="s">
        <v>84</v>
      </c>
    </row>
    <row r="51" spans="1:34">
      <c r="A51" s="1" t="s">
        <v>896</v>
      </c>
      <c r="B51" s="1" t="s">
        <v>897</v>
      </c>
      <c r="C51" s="1" t="s">
        <v>898</v>
      </c>
      <c r="D51" s="1" t="s">
        <v>616</v>
      </c>
      <c r="E51" s="1" t="s">
        <v>65</v>
      </c>
      <c r="F51" s="1" t="s">
        <v>198</v>
      </c>
      <c r="G51" s="1" t="s">
        <v>304</v>
      </c>
      <c r="H51" s="1" t="s">
        <v>754</v>
      </c>
      <c r="I51" s="1" t="s">
        <v>755</v>
      </c>
      <c r="J51" s="1" t="s">
        <v>215</v>
      </c>
      <c r="K51" s="1" t="s">
        <v>756</v>
      </c>
      <c r="L51" s="1"/>
      <c r="M51" s="1">
        <v>1</v>
      </c>
      <c r="N51" s="13">
        <v>215</v>
      </c>
      <c r="O51" s="13">
        <f>M51*N51</f>
        <v>215</v>
      </c>
      <c r="P51" s="13">
        <v>132.36000000000001</v>
      </c>
      <c r="Q51" s="13">
        <f>P51*20%</f>
        <v>26.472000000000005</v>
      </c>
      <c r="R51" s="13">
        <f>O51-P51</f>
        <v>82.639999999999986</v>
      </c>
      <c r="S51" s="1" t="s">
        <v>71</v>
      </c>
      <c r="T51" s="1" t="s">
        <v>72</v>
      </c>
      <c r="U51" s="1"/>
      <c r="V51" s="1" t="s">
        <v>73</v>
      </c>
      <c r="W51" s="1" t="s">
        <v>74</v>
      </c>
      <c r="X51" s="1" t="s">
        <v>204</v>
      </c>
      <c r="Y51" s="1" t="s">
        <v>205</v>
      </c>
      <c r="Z51" s="1" t="s">
        <v>77</v>
      </c>
      <c r="AA51" s="1" t="s">
        <v>78</v>
      </c>
      <c r="AB51" s="1" t="s">
        <v>79</v>
      </c>
      <c r="AC51" s="1"/>
      <c r="AD51" s="1" t="s">
        <v>206</v>
      </c>
      <c r="AE51" s="1" t="s">
        <v>757</v>
      </c>
      <c r="AF51" s="1" t="s">
        <v>626</v>
      </c>
      <c r="AG51" s="1" t="s">
        <v>311</v>
      </c>
      <c r="AH51" s="1" t="s">
        <v>84</v>
      </c>
    </row>
    <row r="52" spans="1:34">
      <c r="A52" s="1" t="s">
        <v>899</v>
      </c>
      <c r="B52" s="1" t="s">
        <v>900</v>
      </c>
      <c r="C52" s="1" t="s">
        <v>901</v>
      </c>
      <c r="D52" s="1" t="s">
        <v>616</v>
      </c>
      <c r="E52" s="1" t="s">
        <v>65</v>
      </c>
      <c r="F52" s="1" t="s">
        <v>254</v>
      </c>
      <c r="G52" s="1" t="s">
        <v>316</v>
      </c>
      <c r="H52" s="1" t="s">
        <v>761</v>
      </c>
      <c r="I52" s="1" t="s">
        <v>762</v>
      </c>
      <c r="J52" s="1" t="s">
        <v>763</v>
      </c>
      <c r="K52" s="1" t="s">
        <v>764</v>
      </c>
      <c r="L52" s="1"/>
      <c r="M52" s="1">
        <v>1</v>
      </c>
      <c r="N52" s="13">
        <v>1550</v>
      </c>
      <c r="O52" s="13">
        <f>M52*N52</f>
        <v>1550</v>
      </c>
      <c r="P52" s="13">
        <v>902.37</v>
      </c>
      <c r="Q52" s="13">
        <f>P52*20%</f>
        <v>180.47400000000002</v>
      </c>
      <c r="R52" s="13">
        <f>O52-P52</f>
        <v>647.63</v>
      </c>
      <c r="S52" s="1" t="s">
        <v>71</v>
      </c>
      <c r="T52" s="1" t="s">
        <v>72</v>
      </c>
      <c r="U52" s="1" t="s">
        <v>902</v>
      </c>
      <c r="V52" s="1" t="s">
        <v>73</v>
      </c>
      <c r="W52" s="1" t="s">
        <v>74</v>
      </c>
      <c r="X52" s="1" t="s">
        <v>254</v>
      </c>
      <c r="Y52" s="1" t="s">
        <v>260</v>
      </c>
      <c r="Z52" s="1" t="s">
        <v>77</v>
      </c>
      <c r="AA52" s="1" t="s">
        <v>78</v>
      </c>
      <c r="AB52" s="1" t="s">
        <v>79</v>
      </c>
      <c r="AC52" s="1"/>
      <c r="AD52" s="1" t="s">
        <v>698</v>
      </c>
      <c r="AE52" s="1" t="s">
        <v>765</v>
      </c>
      <c r="AF52" s="1" t="s">
        <v>626</v>
      </c>
      <c r="AG52" s="1" t="s">
        <v>325</v>
      </c>
      <c r="AH52" s="1" t="s">
        <v>84</v>
      </c>
    </row>
    <row r="53" spans="1:34">
      <c r="A53" s="1" t="s">
        <v>903</v>
      </c>
      <c r="B53" s="1" t="s">
        <v>904</v>
      </c>
      <c r="C53" s="1" t="s">
        <v>905</v>
      </c>
      <c r="D53" s="1" t="s">
        <v>616</v>
      </c>
      <c r="E53" s="1" t="s">
        <v>65</v>
      </c>
      <c r="F53" s="1" t="s">
        <v>254</v>
      </c>
      <c r="G53" s="1" t="s">
        <v>330</v>
      </c>
      <c r="H53" s="1" t="s">
        <v>769</v>
      </c>
      <c r="I53" s="1" t="s">
        <v>770</v>
      </c>
      <c r="J53" s="1" t="s">
        <v>771</v>
      </c>
      <c r="K53" s="1" t="s">
        <v>772</v>
      </c>
      <c r="L53" s="1"/>
      <c r="M53" s="1">
        <v>1</v>
      </c>
      <c r="N53" s="13">
        <v>1150</v>
      </c>
      <c r="O53" s="13">
        <f>M53*N53</f>
        <v>1150</v>
      </c>
      <c r="P53" s="13">
        <v>488.09</v>
      </c>
      <c r="Q53" s="13">
        <f>P53*20%</f>
        <v>97.617999999999995</v>
      </c>
      <c r="R53" s="13">
        <f>O53-P53</f>
        <v>661.91000000000008</v>
      </c>
      <c r="S53" s="1" t="s">
        <v>71</v>
      </c>
      <c r="T53" s="1" t="s">
        <v>72</v>
      </c>
      <c r="U53" s="1" t="s">
        <v>906</v>
      </c>
      <c r="V53" s="1" t="s">
        <v>73</v>
      </c>
      <c r="W53" s="1" t="s">
        <v>74</v>
      </c>
      <c r="X53" s="1" t="s">
        <v>254</v>
      </c>
      <c r="Y53" s="1" t="s">
        <v>260</v>
      </c>
      <c r="Z53" s="1" t="s">
        <v>77</v>
      </c>
      <c r="AA53" s="1" t="s">
        <v>78</v>
      </c>
      <c r="AB53" s="1" t="s">
        <v>79</v>
      </c>
      <c r="AC53" s="1"/>
      <c r="AD53" s="1" t="s">
        <v>698</v>
      </c>
      <c r="AE53" s="1" t="s">
        <v>261</v>
      </c>
      <c r="AF53" s="1" t="s">
        <v>626</v>
      </c>
      <c r="AG53" s="1" t="s">
        <v>336</v>
      </c>
      <c r="AH53" s="1" t="s">
        <v>84</v>
      </c>
    </row>
    <row r="54" spans="1:34">
      <c r="A54" s="1" t="s">
        <v>907</v>
      </c>
      <c r="B54" s="1" t="s">
        <v>908</v>
      </c>
      <c r="C54" s="1" t="s">
        <v>909</v>
      </c>
      <c r="D54" s="1" t="s">
        <v>616</v>
      </c>
      <c r="E54" s="1" t="s">
        <v>65</v>
      </c>
      <c r="F54" s="1" t="s">
        <v>777</v>
      </c>
      <c r="G54" s="1" t="s">
        <v>340</v>
      </c>
      <c r="H54" s="1" t="s">
        <v>778</v>
      </c>
      <c r="I54" s="1" t="s">
        <v>779</v>
      </c>
      <c r="J54" s="1" t="s">
        <v>780</v>
      </c>
      <c r="K54" s="1" t="s">
        <v>781</v>
      </c>
      <c r="L54" s="1"/>
      <c r="M54" s="1">
        <v>1</v>
      </c>
      <c r="N54" s="13">
        <v>3900</v>
      </c>
      <c r="O54" s="13">
        <f>M54*N54</f>
        <v>3900</v>
      </c>
      <c r="P54" s="13">
        <v>1747.12</v>
      </c>
      <c r="Q54" s="13">
        <f>P54*20%</f>
        <v>349.42399999999998</v>
      </c>
      <c r="R54" s="13">
        <f>O54-P54</f>
        <v>2152.88</v>
      </c>
      <c r="S54" s="1" t="s">
        <v>71</v>
      </c>
      <c r="T54" s="1" t="s">
        <v>72</v>
      </c>
      <c r="U54" s="1" t="s">
        <v>910</v>
      </c>
      <c r="V54" s="1" t="s">
        <v>73</v>
      </c>
      <c r="W54" s="1" t="s">
        <v>74</v>
      </c>
      <c r="X54" s="1" t="s">
        <v>777</v>
      </c>
      <c r="Y54" s="1" t="s">
        <v>782</v>
      </c>
      <c r="Z54" s="1" t="s">
        <v>77</v>
      </c>
      <c r="AA54" s="1" t="s">
        <v>78</v>
      </c>
      <c r="AB54" s="1" t="s">
        <v>79</v>
      </c>
      <c r="AC54" s="1"/>
      <c r="AD54" s="1" t="s">
        <v>698</v>
      </c>
      <c r="AE54" s="1" t="s">
        <v>783</v>
      </c>
      <c r="AF54" s="1" t="s">
        <v>626</v>
      </c>
      <c r="AG54" s="1" t="s">
        <v>341</v>
      </c>
      <c r="AH54" s="1" t="s">
        <v>84</v>
      </c>
    </row>
    <row r="55" spans="1:34">
      <c r="A55" s="1" t="s">
        <v>911</v>
      </c>
      <c r="B55" s="1" t="s">
        <v>912</v>
      </c>
      <c r="C55" s="1" t="s">
        <v>913</v>
      </c>
      <c r="D55" s="1" t="s">
        <v>616</v>
      </c>
      <c r="E55" s="1" t="s">
        <v>65</v>
      </c>
      <c r="F55" s="1" t="s">
        <v>777</v>
      </c>
      <c r="G55" s="1" t="s">
        <v>67</v>
      </c>
      <c r="H55" s="1" t="s">
        <v>787</v>
      </c>
      <c r="I55" s="1" t="s">
        <v>788</v>
      </c>
      <c r="J55" s="1" t="s">
        <v>780</v>
      </c>
      <c r="K55" s="1" t="s">
        <v>789</v>
      </c>
      <c r="L55" s="1"/>
      <c r="M55" s="1">
        <v>1</v>
      </c>
      <c r="N55" s="13">
        <v>3300</v>
      </c>
      <c r="O55" s="13">
        <f>M55*N55</f>
        <v>3300</v>
      </c>
      <c r="P55" s="13">
        <v>2132.0300000000002</v>
      </c>
      <c r="Q55" s="13">
        <f>P55*20%</f>
        <v>426.40600000000006</v>
      </c>
      <c r="R55" s="13">
        <f>O55-P55</f>
        <v>1167.9699999999998</v>
      </c>
      <c r="S55" s="1" t="s">
        <v>71</v>
      </c>
      <c r="T55" s="1" t="s">
        <v>72</v>
      </c>
      <c r="U55" s="1" t="s">
        <v>914</v>
      </c>
      <c r="V55" s="1" t="s">
        <v>73</v>
      </c>
      <c r="W55" s="1" t="s">
        <v>74</v>
      </c>
      <c r="X55" s="1" t="s">
        <v>777</v>
      </c>
      <c r="Y55" s="1" t="s">
        <v>782</v>
      </c>
      <c r="Z55" s="1" t="s">
        <v>77</v>
      </c>
      <c r="AA55" s="1" t="s">
        <v>78</v>
      </c>
      <c r="AB55" s="1" t="s">
        <v>79</v>
      </c>
      <c r="AC55" s="1"/>
      <c r="AD55" s="1" t="s">
        <v>698</v>
      </c>
      <c r="AE55" s="1" t="s">
        <v>792</v>
      </c>
      <c r="AF55" s="1" t="s">
        <v>626</v>
      </c>
      <c r="AG55" s="1" t="s">
        <v>83</v>
      </c>
      <c r="AH55" s="1" t="s">
        <v>84</v>
      </c>
    </row>
    <row r="56" spans="1:34">
      <c r="A56" s="1" t="s">
        <v>915</v>
      </c>
      <c r="B56" s="1" t="s">
        <v>916</v>
      </c>
      <c r="C56" s="1" t="s">
        <v>917</v>
      </c>
      <c r="D56" s="1" t="s">
        <v>616</v>
      </c>
      <c r="E56" s="1" t="s">
        <v>65</v>
      </c>
      <c r="F56" s="1" t="s">
        <v>278</v>
      </c>
      <c r="G56" s="1" t="s">
        <v>88</v>
      </c>
      <c r="H56" s="1" t="s">
        <v>796</v>
      </c>
      <c r="I56" s="1" t="s">
        <v>797</v>
      </c>
      <c r="J56" s="1" t="s">
        <v>282</v>
      </c>
      <c r="K56" s="1" t="s">
        <v>798</v>
      </c>
      <c r="L56" s="1"/>
      <c r="M56" s="1">
        <v>1</v>
      </c>
      <c r="N56" s="13">
        <v>860</v>
      </c>
      <c r="O56" s="13">
        <f>M56*N56</f>
        <v>860</v>
      </c>
      <c r="P56" s="13">
        <v>422.19</v>
      </c>
      <c r="Q56" s="13">
        <f>P56*20%</f>
        <v>84.438000000000002</v>
      </c>
      <c r="R56" s="13">
        <f>O56-P56</f>
        <v>437.81</v>
      </c>
      <c r="S56" s="1" t="s">
        <v>71</v>
      </c>
      <c r="T56" s="1" t="s">
        <v>72</v>
      </c>
      <c r="U56" s="1" t="s">
        <v>918</v>
      </c>
      <c r="V56" s="1" t="s">
        <v>73</v>
      </c>
      <c r="W56" s="1" t="s">
        <v>74</v>
      </c>
      <c r="X56" s="1" t="s">
        <v>285</v>
      </c>
      <c r="Y56" s="1" t="s">
        <v>286</v>
      </c>
      <c r="Z56" s="1" t="s">
        <v>77</v>
      </c>
      <c r="AA56" s="1" t="s">
        <v>78</v>
      </c>
      <c r="AB56" s="1" t="s">
        <v>79</v>
      </c>
      <c r="AC56" s="1"/>
      <c r="AD56" s="1" t="s">
        <v>287</v>
      </c>
      <c r="AE56" s="1" t="s">
        <v>800</v>
      </c>
      <c r="AF56" s="1" t="s">
        <v>626</v>
      </c>
      <c r="AG56" s="1" t="s">
        <v>92</v>
      </c>
      <c r="AH56" s="1" t="s">
        <v>84</v>
      </c>
    </row>
    <row r="57" spans="1:34">
      <c r="A57" s="1" t="s">
        <v>919</v>
      </c>
      <c r="B57" s="1" t="s">
        <v>920</v>
      </c>
      <c r="C57" s="1" t="s">
        <v>921</v>
      </c>
      <c r="D57" s="1" t="s">
        <v>616</v>
      </c>
      <c r="E57" s="1" t="s">
        <v>65</v>
      </c>
      <c r="F57" s="1" t="s">
        <v>278</v>
      </c>
      <c r="G57" s="1" t="s">
        <v>97</v>
      </c>
      <c r="H57" s="1" t="s">
        <v>804</v>
      </c>
      <c r="I57" s="1" t="s">
        <v>295</v>
      </c>
      <c r="J57" s="1" t="s">
        <v>282</v>
      </c>
      <c r="K57" s="1" t="s">
        <v>296</v>
      </c>
      <c r="L57" s="1"/>
      <c r="M57" s="1">
        <v>6</v>
      </c>
      <c r="N57" s="13">
        <v>305</v>
      </c>
      <c r="O57" s="13">
        <f>M57*N57</f>
        <v>1830</v>
      </c>
      <c r="P57" s="13">
        <v>1035.22</v>
      </c>
      <c r="Q57" s="13">
        <f>P57*20%</f>
        <v>207.04400000000001</v>
      </c>
      <c r="R57" s="13">
        <f>O57-P57</f>
        <v>794.78</v>
      </c>
      <c r="S57" s="1" t="s">
        <v>71</v>
      </c>
      <c r="T57" s="1" t="s">
        <v>72</v>
      </c>
      <c r="U57" s="1"/>
      <c r="V57" s="1" t="s">
        <v>73</v>
      </c>
      <c r="W57" s="1" t="s">
        <v>74</v>
      </c>
      <c r="X57" s="1" t="s">
        <v>285</v>
      </c>
      <c r="Y57" s="1" t="s">
        <v>286</v>
      </c>
      <c r="Z57" s="1" t="s">
        <v>77</v>
      </c>
      <c r="AA57" s="1" t="s">
        <v>78</v>
      </c>
      <c r="AB57" s="1" t="s">
        <v>79</v>
      </c>
      <c r="AC57" s="1"/>
      <c r="AD57" s="1" t="s">
        <v>297</v>
      </c>
      <c r="AE57" s="1" t="s">
        <v>800</v>
      </c>
      <c r="AF57" s="1" t="s">
        <v>626</v>
      </c>
      <c r="AG57" s="1" t="s">
        <v>102</v>
      </c>
      <c r="AH57" s="1" t="s">
        <v>84</v>
      </c>
    </row>
    <row r="58" spans="1:34">
      <c r="A58" s="1" t="s">
        <v>922</v>
      </c>
      <c r="B58" s="1" t="s">
        <v>923</v>
      </c>
      <c r="C58" s="1" t="s">
        <v>924</v>
      </c>
      <c r="D58" s="1" t="s">
        <v>616</v>
      </c>
      <c r="E58" s="1" t="s">
        <v>65</v>
      </c>
      <c r="F58" s="1" t="s">
        <v>808</v>
      </c>
      <c r="G58" s="1" t="s">
        <v>107</v>
      </c>
      <c r="H58" s="1" t="s">
        <v>809</v>
      </c>
      <c r="I58" s="1" t="s">
        <v>810</v>
      </c>
      <c r="J58" s="1" t="s">
        <v>811</v>
      </c>
      <c r="K58" s="1" t="s">
        <v>812</v>
      </c>
      <c r="L58" s="1"/>
      <c r="M58" s="1">
        <v>1</v>
      </c>
      <c r="N58" s="13">
        <v>780</v>
      </c>
      <c r="O58" s="13">
        <f>M58*N58</f>
        <v>780</v>
      </c>
      <c r="P58" s="13">
        <v>377.62</v>
      </c>
      <c r="Q58" s="13">
        <f>P58*20%</f>
        <v>75.524000000000001</v>
      </c>
      <c r="R58" s="13">
        <f>O58-P58</f>
        <v>402.38</v>
      </c>
      <c r="S58" s="1" t="s">
        <v>71</v>
      </c>
      <c r="T58" s="1" t="s">
        <v>72</v>
      </c>
      <c r="U58" s="1" t="s">
        <v>925</v>
      </c>
      <c r="V58" s="1" t="s">
        <v>73</v>
      </c>
      <c r="W58" s="1" t="s">
        <v>74</v>
      </c>
      <c r="X58" s="1" t="s">
        <v>808</v>
      </c>
      <c r="Y58" s="1" t="s">
        <v>814</v>
      </c>
      <c r="Z58" s="1" t="s">
        <v>77</v>
      </c>
      <c r="AA58" s="1" t="s">
        <v>78</v>
      </c>
      <c r="AB58" s="1" t="s">
        <v>79</v>
      </c>
      <c r="AC58" s="1"/>
      <c r="AD58" s="1" t="s">
        <v>815</v>
      </c>
      <c r="AE58" s="1" t="s">
        <v>816</v>
      </c>
      <c r="AF58" s="1" t="s">
        <v>626</v>
      </c>
      <c r="AG58" s="1" t="s">
        <v>114</v>
      </c>
      <c r="AH58" s="1" t="s">
        <v>84</v>
      </c>
    </row>
    <row r="59" spans="1:34">
      <c r="A59" s="1" t="s">
        <v>926</v>
      </c>
      <c r="B59" s="1" t="s">
        <v>927</v>
      </c>
      <c r="C59" s="1" t="s">
        <v>928</v>
      </c>
      <c r="D59" s="1" t="s">
        <v>616</v>
      </c>
      <c r="E59" s="1" t="s">
        <v>65</v>
      </c>
      <c r="F59" s="1" t="s">
        <v>820</v>
      </c>
      <c r="G59" s="1" t="s">
        <v>118</v>
      </c>
      <c r="H59" s="1" t="s">
        <v>821</v>
      </c>
      <c r="I59" s="1" t="s">
        <v>822</v>
      </c>
      <c r="J59" s="1" t="s">
        <v>823</v>
      </c>
      <c r="K59" s="1" t="s">
        <v>824</v>
      </c>
      <c r="L59" s="1"/>
      <c r="M59" s="1">
        <v>1</v>
      </c>
      <c r="N59" s="13">
        <v>1850</v>
      </c>
      <c r="O59" s="13">
        <f>M59*N59</f>
        <v>1850</v>
      </c>
      <c r="P59" s="13">
        <v>999.58</v>
      </c>
      <c r="Q59" s="13">
        <f>P59*20%</f>
        <v>199.91600000000003</v>
      </c>
      <c r="R59" s="13">
        <f>O59-P59</f>
        <v>850.42</v>
      </c>
      <c r="S59" s="1" t="s">
        <v>71</v>
      </c>
      <c r="T59" s="1" t="s">
        <v>72</v>
      </c>
      <c r="U59" s="1" t="s">
        <v>929</v>
      </c>
      <c r="V59" s="1" t="s">
        <v>73</v>
      </c>
      <c r="W59" s="1" t="s">
        <v>74</v>
      </c>
      <c r="X59" s="1" t="s">
        <v>808</v>
      </c>
      <c r="Y59" s="1" t="s">
        <v>814</v>
      </c>
      <c r="Z59" s="1" t="s">
        <v>77</v>
      </c>
      <c r="AA59" s="1" t="s">
        <v>78</v>
      </c>
      <c r="AB59" s="1" t="s">
        <v>79</v>
      </c>
      <c r="AC59" s="1"/>
      <c r="AD59" s="1" t="s">
        <v>815</v>
      </c>
      <c r="AE59" s="1" t="s">
        <v>826</v>
      </c>
      <c r="AF59" s="1" t="s">
        <v>626</v>
      </c>
      <c r="AG59" s="1" t="s">
        <v>121</v>
      </c>
      <c r="AH59" s="1" t="s">
        <v>84</v>
      </c>
    </row>
    <row r="60" spans="1:34">
      <c r="A60" s="1" t="s">
        <v>930</v>
      </c>
      <c r="B60" s="1" t="s">
        <v>931</v>
      </c>
      <c r="C60" s="1" t="s">
        <v>932</v>
      </c>
      <c r="D60" s="1" t="s">
        <v>616</v>
      </c>
      <c r="E60" s="1" t="s">
        <v>65</v>
      </c>
      <c r="F60" s="1" t="s">
        <v>830</v>
      </c>
      <c r="G60" s="1" t="s">
        <v>126</v>
      </c>
      <c r="H60" s="1" t="s">
        <v>831</v>
      </c>
      <c r="I60" s="1" t="s">
        <v>832</v>
      </c>
      <c r="J60" s="1" t="s">
        <v>833</v>
      </c>
      <c r="K60" s="1" t="s">
        <v>834</v>
      </c>
      <c r="L60" s="1"/>
      <c r="M60" s="1">
        <v>1</v>
      </c>
      <c r="N60" s="13">
        <v>285</v>
      </c>
      <c r="O60" s="13">
        <f>M60*N60</f>
        <v>285</v>
      </c>
      <c r="P60" s="13">
        <v>124.71</v>
      </c>
      <c r="Q60" s="13">
        <f>P60*20%</f>
        <v>24.942</v>
      </c>
      <c r="R60" s="13">
        <f>O60-P60</f>
        <v>160.29000000000002</v>
      </c>
      <c r="S60" s="1" t="s">
        <v>71</v>
      </c>
      <c r="T60" s="1" t="s">
        <v>72</v>
      </c>
      <c r="U60" s="1"/>
      <c r="V60" s="1" t="s">
        <v>73</v>
      </c>
      <c r="W60" s="1" t="s">
        <v>74</v>
      </c>
      <c r="X60" s="1" t="s">
        <v>830</v>
      </c>
      <c r="Y60" s="1" t="s">
        <v>286</v>
      </c>
      <c r="Z60" s="1" t="s">
        <v>77</v>
      </c>
      <c r="AA60" s="1" t="s">
        <v>78</v>
      </c>
      <c r="AB60" s="1" t="s">
        <v>79</v>
      </c>
      <c r="AC60" s="1"/>
      <c r="AD60" s="1" t="s">
        <v>835</v>
      </c>
      <c r="AE60" s="1" t="s">
        <v>836</v>
      </c>
      <c r="AF60" s="1" t="s">
        <v>626</v>
      </c>
      <c r="AG60" s="1" t="s">
        <v>132</v>
      </c>
      <c r="AH60" s="1" t="s">
        <v>84</v>
      </c>
    </row>
    <row r="61" spans="1:34">
      <c r="A61" s="1" t="s">
        <v>933</v>
      </c>
      <c r="B61" s="1" t="s">
        <v>934</v>
      </c>
      <c r="C61" s="1" t="s">
        <v>935</v>
      </c>
      <c r="D61" s="1" t="s">
        <v>616</v>
      </c>
      <c r="E61" s="1" t="s">
        <v>65</v>
      </c>
      <c r="F61" s="1" t="s">
        <v>617</v>
      </c>
      <c r="G61" s="1" t="s">
        <v>137</v>
      </c>
      <c r="H61" s="1" t="s">
        <v>618</v>
      </c>
      <c r="I61" s="1" t="s">
        <v>619</v>
      </c>
      <c r="J61" s="1" t="s">
        <v>620</v>
      </c>
      <c r="K61" s="1" t="s">
        <v>621</v>
      </c>
      <c r="L61" s="1"/>
      <c r="M61" s="1">
        <v>1</v>
      </c>
      <c r="N61" s="13">
        <v>360</v>
      </c>
      <c r="O61" s="13">
        <f>M61*N61</f>
        <v>360</v>
      </c>
      <c r="P61" s="13">
        <v>192.13</v>
      </c>
      <c r="Q61" s="13">
        <f>P61*20%</f>
        <v>38.426000000000002</v>
      </c>
      <c r="R61" s="13">
        <f>O61-P61</f>
        <v>167.87</v>
      </c>
      <c r="S61" s="1" t="s">
        <v>71</v>
      </c>
      <c r="T61" s="1" t="s">
        <v>72</v>
      </c>
      <c r="U61" s="1"/>
      <c r="V61" s="1" t="s">
        <v>73</v>
      </c>
      <c r="W61" s="1" t="s">
        <v>74</v>
      </c>
      <c r="X61" s="1" t="s">
        <v>622</v>
      </c>
      <c r="Y61" s="1" t="s">
        <v>623</v>
      </c>
      <c r="Z61" s="1" t="s">
        <v>77</v>
      </c>
      <c r="AA61" s="1" t="s">
        <v>78</v>
      </c>
      <c r="AB61" s="1" t="s">
        <v>79</v>
      </c>
      <c r="AC61" s="1"/>
      <c r="AD61" s="1" t="s">
        <v>624</v>
      </c>
      <c r="AE61" s="1" t="s">
        <v>625</v>
      </c>
      <c r="AF61" s="1" t="s">
        <v>626</v>
      </c>
      <c r="AG61" s="1" t="s">
        <v>144</v>
      </c>
      <c r="AH61" s="1" t="s">
        <v>84</v>
      </c>
    </row>
    <row r="62" spans="1:34">
      <c r="A62" s="1" t="s">
        <v>936</v>
      </c>
      <c r="B62" s="1" t="s">
        <v>937</v>
      </c>
      <c r="C62" s="1" t="s">
        <v>938</v>
      </c>
      <c r="D62" s="1" t="s">
        <v>616</v>
      </c>
      <c r="E62" s="1" t="s">
        <v>65</v>
      </c>
      <c r="F62" s="1" t="s">
        <v>617</v>
      </c>
      <c r="G62" s="1" t="s">
        <v>149</v>
      </c>
      <c r="H62" s="1" t="s">
        <v>630</v>
      </c>
      <c r="I62" s="1" t="s">
        <v>631</v>
      </c>
      <c r="J62" s="1" t="s">
        <v>620</v>
      </c>
      <c r="K62" s="1" t="s">
        <v>632</v>
      </c>
      <c r="L62" s="1"/>
      <c r="M62" s="1">
        <v>1</v>
      </c>
      <c r="N62" s="13">
        <v>670</v>
      </c>
      <c r="O62" s="13">
        <f>M62*N62</f>
        <v>670</v>
      </c>
      <c r="P62" s="13">
        <v>479.45</v>
      </c>
      <c r="Q62" s="13">
        <f>P62*20%</f>
        <v>95.89</v>
      </c>
      <c r="R62" s="13">
        <f>O62-P62</f>
        <v>190.55</v>
      </c>
      <c r="S62" s="1" t="s">
        <v>71</v>
      </c>
      <c r="T62" s="1" t="s">
        <v>72</v>
      </c>
      <c r="U62" s="1"/>
      <c r="V62" s="1" t="s">
        <v>73</v>
      </c>
      <c r="W62" s="1" t="s">
        <v>74</v>
      </c>
      <c r="X62" s="1" t="s">
        <v>622</v>
      </c>
      <c r="Y62" s="1" t="s">
        <v>623</v>
      </c>
      <c r="Z62" s="1" t="s">
        <v>354</v>
      </c>
      <c r="AA62" s="1" t="s">
        <v>355</v>
      </c>
      <c r="AB62" s="1" t="s">
        <v>322</v>
      </c>
      <c r="AC62" s="1" t="s">
        <v>939</v>
      </c>
      <c r="AD62" s="1" t="s">
        <v>624</v>
      </c>
      <c r="AE62" s="1" t="s">
        <v>633</v>
      </c>
      <c r="AF62" s="1" t="s">
        <v>626</v>
      </c>
      <c r="AG62" s="1" t="s">
        <v>154</v>
      </c>
      <c r="AH62" s="1" t="s">
        <v>84</v>
      </c>
    </row>
    <row r="63" spans="1:34">
      <c r="A63" s="1" t="s">
        <v>940</v>
      </c>
      <c r="B63" s="1" t="s">
        <v>941</v>
      </c>
      <c r="C63" s="1" t="s">
        <v>942</v>
      </c>
      <c r="D63" s="1" t="s">
        <v>616</v>
      </c>
      <c r="E63" s="1" t="s">
        <v>65</v>
      </c>
      <c r="F63" s="1" t="s">
        <v>617</v>
      </c>
      <c r="G63" s="1" t="s">
        <v>158</v>
      </c>
      <c r="H63" s="1" t="s">
        <v>637</v>
      </c>
      <c r="I63" s="1" t="s">
        <v>638</v>
      </c>
      <c r="J63" s="1" t="s">
        <v>620</v>
      </c>
      <c r="K63" s="1" t="s">
        <v>639</v>
      </c>
      <c r="L63" s="1"/>
      <c r="M63" s="1">
        <v>1</v>
      </c>
      <c r="N63" s="13">
        <v>1280</v>
      </c>
      <c r="O63" s="13">
        <f>M63*N63</f>
        <v>1280</v>
      </c>
      <c r="P63" s="13">
        <v>639.44000000000005</v>
      </c>
      <c r="Q63" s="13">
        <f>P63*20%</f>
        <v>127.88800000000002</v>
      </c>
      <c r="R63" s="13">
        <f>O63-P63</f>
        <v>640.55999999999995</v>
      </c>
      <c r="S63" s="1" t="s">
        <v>71</v>
      </c>
      <c r="T63" s="1" t="s">
        <v>72</v>
      </c>
      <c r="U63" s="1"/>
      <c r="V63" s="1" t="s">
        <v>73</v>
      </c>
      <c r="W63" s="1" t="s">
        <v>74</v>
      </c>
      <c r="X63" s="1" t="s">
        <v>622</v>
      </c>
      <c r="Y63" s="1" t="s">
        <v>623</v>
      </c>
      <c r="Z63" s="1" t="s">
        <v>77</v>
      </c>
      <c r="AA63" s="1" t="s">
        <v>78</v>
      </c>
      <c r="AB63" s="1" t="s">
        <v>79</v>
      </c>
      <c r="AC63" s="1"/>
      <c r="AD63" s="1" t="s">
        <v>624</v>
      </c>
      <c r="AE63" s="1" t="s">
        <v>640</v>
      </c>
      <c r="AF63" s="1" t="s">
        <v>626</v>
      </c>
      <c r="AG63" s="1" t="s">
        <v>162</v>
      </c>
      <c r="AH63" s="1" t="s">
        <v>84</v>
      </c>
    </row>
    <row r="64" spans="1:34">
      <c r="A64" s="1" t="s">
        <v>943</v>
      </c>
      <c r="B64" s="1" t="s">
        <v>944</v>
      </c>
      <c r="C64" s="1" t="s">
        <v>945</v>
      </c>
      <c r="D64" s="1" t="s">
        <v>616</v>
      </c>
      <c r="E64" s="1" t="s">
        <v>65</v>
      </c>
      <c r="F64" s="1" t="s">
        <v>617</v>
      </c>
      <c r="G64" s="1" t="s">
        <v>167</v>
      </c>
      <c r="H64" s="1" t="s">
        <v>644</v>
      </c>
      <c r="I64" s="1" t="s">
        <v>645</v>
      </c>
      <c r="J64" s="1" t="s">
        <v>620</v>
      </c>
      <c r="K64" s="1" t="s">
        <v>646</v>
      </c>
      <c r="L64" s="1"/>
      <c r="M64" s="1">
        <v>1</v>
      </c>
      <c r="N64" s="13">
        <v>2350</v>
      </c>
      <c r="O64" s="13">
        <f>M64*N64</f>
        <v>2350</v>
      </c>
      <c r="P64" s="13">
        <v>1539.77</v>
      </c>
      <c r="Q64" s="13">
        <f>P64*20%</f>
        <v>307.95400000000001</v>
      </c>
      <c r="R64" s="13">
        <f>O64-P64</f>
        <v>810.23</v>
      </c>
      <c r="S64" s="1" t="s">
        <v>71</v>
      </c>
      <c r="T64" s="1" t="s">
        <v>72</v>
      </c>
      <c r="U64" s="1"/>
      <c r="V64" s="1" t="s">
        <v>73</v>
      </c>
      <c r="W64" s="1" t="s">
        <v>74</v>
      </c>
      <c r="X64" s="1" t="s">
        <v>622</v>
      </c>
      <c r="Y64" s="1" t="s">
        <v>623</v>
      </c>
      <c r="Z64" s="1" t="s">
        <v>77</v>
      </c>
      <c r="AA64" s="1" t="s">
        <v>78</v>
      </c>
      <c r="AB64" s="1" t="s">
        <v>79</v>
      </c>
      <c r="AC64" s="1"/>
      <c r="AD64" s="1" t="s">
        <v>624</v>
      </c>
      <c r="AE64" s="1" t="s">
        <v>240</v>
      </c>
      <c r="AF64" s="1" t="s">
        <v>626</v>
      </c>
      <c r="AG64" s="1" t="s">
        <v>176</v>
      </c>
      <c r="AH64" s="1" t="s">
        <v>84</v>
      </c>
    </row>
    <row r="65" spans="1:34">
      <c r="A65" s="1" t="s">
        <v>946</v>
      </c>
      <c r="B65" s="1" t="s">
        <v>947</v>
      </c>
      <c r="C65" s="1" t="s">
        <v>948</v>
      </c>
      <c r="D65" s="1" t="s">
        <v>616</v>
      </c>
      <c r="E65" s="1" t="s">
        <v>65</v>
      </c>
      <c r="F65" s="1" t="s">
        <v>617</v>
      </c>
      <c r="G65" s="1" t="s">
        <v>180</v>
      </c>
      <c r="H65" s="1" t="s">
        <v>650</v>
      </c>
      <c r="I65" s="1" t="s">
        <v>651</v>
      </c>
      <c r="J65" s="1" t="s">
        <v>620</v>
      </c>
      <c r="K65" s="1" t="s">
        <v>652</v>
      </c>
      <c r="L65" s="1"/>
      <c r="M65" s="1">
        <v>1</v>
      </c>
      <c r="N65" s="13">
        <v>4300</v>
      </c>
      <c r="O65" s="13">
        <f>M65*N65</f>
        <v>4300</v>
      </c>
      <c r="P65" s="13">
        <v>2392.96</v>
      </c>
      <c r="Q65" s="13">
        <f>P65*20%</f>
        <v>478.59200000000004</v>
      </c>
      <c r="R65" s="13">
        <f>O65-P65</f>
        <v>1907.04</v>
      </c>
      <c r="S65" s="1" t="s">
        <v>71</v>
      </c>
      <c r="T65" s="1" t="s">
        <v>72</v>
      </c>
      <c r="U65" s="1"/>
      <c r="V65" s="1" t="s">
        <v>73</v>
      </c>
      <c r="W65" s="1" t="s">
        <v>74</v>
      </c>
      <c r="X65" s="1" t="s">
        <v>622</v>
      </c>
      <c r="Y65" s="1" t="s">
        <v>623</v>
      </c>
      <c r="Z65" s="1" t="s">
        <v>77</v>
      </c>
      <c r="AA65" s="1" t="s">
        <v>78</v>
      </c>
      <c r="AB65" s="1" t="s">
        <v>79</v>
      </c>
      <c r="AC65" s="1"/>
      <c r="AD65" s="1" t="s">
        <v>624</v>
      </c>
      <c r="AE65" s="1" t="s">
        <v>261</v>
      </c>
      <c r="AF65" s="1" t="s">
        <v>626</v>
      </c>
      <c r="AG65" s="1" t="s">
        <v>184</v>
      </c>
      <c r="AH65" s="1" t="s">
        <v>84</v>
      </c>
    </row>
    <row r="66" spans="1:34">
      <c r="A66" s="1" t="s">
        <v>949</v>
      </c>
      <c r="B66" s="1" t="s">
        <v>950</v>
      </c>
      <c r="C66" s="1" t="s">
        <v>951</v>
      </c>
      <c r="D66" s="1" t="s">
        <v>616</v>
      </c>
      <c r="E66" s="1" t="s">
        <v>65</v>
      </c>
      <c r="F66" s="1" t="s">
        <v>656</v>
      </c>
      <c r="G66" s="1" t="s">
        <v>188</v>
      </c>
      <c r="H66" s="1" t="s">
        <v>657</v>
      </c>
      <c r="I66" s="1" t="s">
        <v>658</v>
      </c>
      <c r="J66" s="1" t="s">
        <v>659</v>
      </c>
      <c r="K66" s="1" t="s">
        <v>660</v>
      </c>
      <c r="L66" s="1"/>
      <c r="M66" s="1">
        <v>1</v>
      </c>
      <c r="N66" s="13">
        <v>215</v>
      </c>
      <c r="O66" s="13">
        <f>M66*N66</f>
        <v>215</v>
      </c>
      <c r="P66" s="13">
        <v>117.58</v>
      </c>
      <c r="Q66" s="13">
        <f>P66*20%</f>
        <v>23.516000000000002</v>
      </c>
      <c r="R66" s="13">
        <f>O66-P66</f>
        <v>97.42</v>
      </c>
      <c r="S66" s="1" t="s">
        <v>71</v>
      </c>
      <c r="T66" s="1" t="s">
        <v>72</v>
      </c>
      <c r="U66" s="1"/>
      <c r="V66" s="1" t="s">
        <v>73</v>
      </c>
      <c r="W66" s="1" t="s">
        <v>74</v>
      </c>
      <c r="X66" s="1" t="s">
        <v>661</v>
      </c>
      <c r="Y66" s="1" t="s">
        <v>662</v>
      </c>
      <c r="Z66" s="1" t="s">
        <v>77</v>
      </c>
      <c r="AA66" s="1" t="s">
        <v>78</v>
      </c>
      <c r="AB66" s="1" t="s">
        <v>79</v>
      </c>
      <c r="AC66" s="1"/>
      <c r="AD66" s="1" t="s">
        <v>663</v>
      </c>
      <c r="AE66" s="1" t="s">
        <v>664</v>
      </c>
      <c r="AF66" s="1" t="s">
        <v>626</v>
      </c>
      <c r="AG66" s="1" t="s">
        <v>194</v>
      </c>
      <c r="AH66" s="1" t="s">
        <v>84</v>
      </c>
    </row>
    <row r="67" spans="1:34">
      <c r="A67" s="1" t="s">
        <v>952</v>
      </c>
      <c r="B67" s="1" t="s">
        <v>953</v>
      </c>
      <c r="C67" s="1" t="s">
        <v>954</v>
      </c>
      <c r="D67" s="1" t="s">
        <v>616</v>
      </c>
      <c r="E67" s="1" t="s">
        <v>65</v>
      </c>
      <c r="F67" s="1" t="s">
        <v>656</v>
      </c>
      <c r="G67" s="1" t="s">
        <v>199</v>
      </c>
      <c r="H67" s="1" t="s">
        <v>668</v>
      </c>
      <c r="I67" s="1" t="s">
        <v>669</v>
      </c>
      <c r="J67" s="1" t="s">
        <v>659</v>
      </c>
      <c r="K67" s="1" t="s">
        <v>670</v>
      </c>
      <c r="L67" s="1"/>
      <c r="M67" s="1">
        <v>1</v>
      </c>
      <c r="N67" s="13">
        <v>315</v>
      </c>
      <c r="O67" s="13">
        <f>M67*N67</f>
        <v>315</v>
      </c>
      <c r="P67" s="13">
        <v>222.77</v>
      </c>
      <c r="Q67" s="13">
        <f>P67*20%</f>
        <v>44.554000000000002</v>
      </c>
      <c r="R67" s="13">
        <f>O67-P67</f>
        <v>92.22999999999999</v>
      </c>
      <c r="S67" s="1" t="s">
        <v>71</v>
      </c>
      <c r="T67" s="1" t="s">
        <v>72</v>
      </c>
      <c r="U67" s="1"/>
      <c r="V67" s="1" t="s">
        <v>73</v>
      </c>
      <c r="W67" s="1" t="s">
        <v>74</v>
      </c>
      <c r="X67" s="1" t="s">
        <v>661</v>
      </c>
      <c r="Y67" s="1" t="s">
        <v>662</v>
      </c>
      <c r="Z67" s="1" t="s">
        <v>77</v>
      </c>
      <c r="AA67" s="1" t="s">
        <v>78</v>
      </c>
      <c r="AB67" s="1" t="s">
        <v>79</v>
      </c>
      <c r="AC67" s="1"/>
      <c r="AD67" s="1" t="s">
        <v>663</v>
      </c>
      <c r="AE67" s="1" t="s">
        <v>217</v>
      </c>
      <c r="AF67" s="1" t="s">
        <v>626</v>
      </c>
      <c r="AG67" s="1" t="s">
        <v>208</v>
      </c>
      <c r="AH67" s="1" t="s">
        <v>84</v>
      </c>
    </row>
    <row r="68" spans="1:34">
      <c r="A68" s="1" t="s">
        <v>955</v>
      </c>
      <c r="B68" s="1" t="s">
        <v>956</v>
      </c>
      <c r="C68" s="1" t="s">
        <v>957</v>
      </c>
      <c r="D68" s="1" t="s">
        <v>616</v>
      </c>
      <c r="E68" s="1" t="s">
        <v>65</v>
      </c>
      <c r="F68" s="1" t="s">
        <v>656</v>
      </c>
      <c r="G68" s="1" t="s">
        <v>212</v>
      </c>
      <c r="H68" s="1" t="s">
        <v>674</v>
      </c>
      <c r="I68" s="1" t="s">
        <v>675</v>
      </c>
      <c r="J68" s="1" t="s">
        <v>659</v>
      </c>
      <c r="K68" s="1" t="s">
        <v>676</v>
      </c>
      <c r="L68" s="1"/>
      <c r="M68" s="1">
        <v>1</v>
      </c>
      <c r="N68" s="13">
        <v>410</v>
      </c>
      <c r="O68" s="13">
        <f>M68*N68</f>
        <v>410</v>
      </c>
      <c r="P68" s="13">
        <v>294.64</v>
      </c>
      <c r="Q68" s="13">
        <f>P68*20%</f>
        <v>58.927999999999997</v>
      </c>
      <c r="R68" s="13">
        <f>O68-P68</f>
        <v>115.36000000000001</v>
      </c>
      <c r="S68" s="1" t="s">
        <v>71</v>
      </c>
      <c r="T68" s="1" t="s">
        <v>72</v>
      </c>
      <c r="U68" s="1"/>
      <c r="V68" s="1" t="s">
        <v>73</v>
      </c>
      <c r="W68" s="1" t="s">
        <v>74</v>
      </c>
      <c r="X68" s="1" t="s">
        <v>661</v>
      </c>
      <c r="Y68" s="1" t="s">
        <v>662</v>
      </c>
      <c r="Z68" s="1" t="s">
        <v>77</v>
      </c>
      <c r="AA68" s="1" t="s">
        <v>78</v>
      </c>
      <c r="AB68" s="1" t="s">
        <v>79</v>
      </c>
      <c r="AC68" s="1"/>
      <c r="AD68" s="1" t="s">
        <v>663</v>
      </c>
      <c r="AE68" s="1" t="s">
        <v>677</v>
      </c>
      <c r="AF68" s="1" t="s">
        <v>626</v>
      </c>
      <c r="AG68" s="1" t="s">
        <v>218</v>
      </c>
      <c r="AH68" s="1" t="s">
        <v>84</v>
      </c>
    </row>
    <row r="69" spans="1:34">
      <c r="A69" s="1" t="s">
        <v>958</v>
      </c>
      <c r="B69" s="1" t="s">
        <v>959</v>
      </c>
      <c r="C69" s="1" t="s">
        <v>960</v>
      </c>
      <c r="D69" s="1" t="s">
        <v>616</v>
      </c>
      <c r="E69" s="1" t="s">
        <v>65</v>
      </c>
      <c r="F69" s="1" t="s">
        <v>656</v>
      </c>
      <c r="G69" s="1" t="s">
        <v>222</v>
      </c>
      <c r="H69" s="1" t="s">
        <v>681</v>
      </c>
      <c r="I69" s="1" t="s">
        <v>682</v>
      </c>
      <c r="J69" s="1" t="s">
        <v>659</v>
      </c>
      <c r="K69" s="1" t="s">
        <v>683</v>
      </c>
      <c r="L69" s="1"/>
      <c r="M69" s="1">
        <v>1</v>
      </c>
      <c r="N69" s="13">
        <v>570</v>
      </c>
      <c r="O69" s="13">
        <f>M69*N69</f>
        <v>570</v>
      </c>
      <c r="P69" s="13">
        <v>334.44</v>
      </c>
      <c r="Q69" s="13">
        <f>P69*20%</f>
        <v>66.888000000000005</v>
      </c>
      <c r="R69" s="13">
        <f>O69-P69</f>
        <v>235.56</v>
      </c>
      <c r="S69" s="1" t="s">
        <v>71</v>
      </c>
      <c r="T69" s="1" t="s">
        <v>72</v>
      </c>
      <c r="U69" s="1"/>
      <c r="V69" s="1" t="s">
        <v>73</v>
      </c>
      <c r="W69" s="1" t="s">
        <v>74</v>
      </c>
      <c r="X69" s="1" t="s">
        <v>661</v>
      </c>
      <c r="Y69" s="1" t="s">
        <v>662</v>
      </c>
      <c r="Z69" s="1" t="s">
        <v>77</v>
      </c>
      <c r="AA69" s="1" t="s">
        <v>78</v>
      </c>
      <c r="AB69" s="1" t="s">
        <v>79</v>
      </c>
      <c r="AC69" s="1"/>
      <c r="AD69" s="1" t="s">
        <v>663</v>
      </c>
      <c r="AE69" s="1" t="s">
        <v>684</v>
      </c>
      <c r="AF69" s="1" t="s">
        <v>626</v>
      </c>
      <c r="AG69" s="1" t="s">
        <v>228</v>
      </c>
      <c r="AH69" s="1" t="s">
        <v>84</v>
      </c>
    </row>
    <row r="70" spans="1:34">
      <c r="A70" s="1" t="s">
        <v>961</v>
      </c>
      <c r="B70" s="1" t="s">
        <v>962</v>
      </c>
      <c r="C70" s="1" t="s">
        <v>963</v>
      </c>
      <c r="D70" s="1" t="s">
        <v>616</v>
      </c>
      <c r="E70" s="1" t="s">
        <v>65</v>
      </c>
      <c r="F70" s="1" t="s">
        <v>232</v>
      </c>
      <c r="G70" s="1" t="s">
        <v>233</v>
      </c>
      <c r="H70" s="1" t="s">
        <v>688</v>
      </c>
      <c r="I70" s="1" t="s">
        <v>235</v>
      </c>
      <c r="J70" s="1" t="s">
        <v>236</v>
      </c>
      <c r="K70" s="1" t="s">
        <v>237</v>
      </c>
      <c r="L70" s="1"/>
      <c r="M70" s="1">
        <v>1</v>
      </c>
      <c r="N70" s="13">
        <v>185</v>
      </c>
      <c r="O70" s="13">
        <f>M70*N70</f>
        <v>185</v>
      </c>
      <c r="P70" s="13">
        <v>117.57</v>
      </c>
      <c r="Q70" s="13">
        <f>P70*20%</f>
        <v>23.513999999999999</v>
      </c>
      <c r="R70" s="13">
        <f>O70-P70</f>
        <v>67.430000000000007</v>
      </c>
      <c r="S70" s="1" t="s">
        <v>71</v>
      </c>
      <c r="T70" s="1" t="s">
        <v>72</v>
      </c>
      <c r="U70" s="1"/>
      <c r="V70" s="1" t="s">
        <v>73</v>
      </c>
      <c r="W70" s="1" t="s">
        <v>74</v>
      </c>
      <c r="X70" s="1" t="s">
        <v>238</v>
      </c>
      <c r="Y70" s="1" t="s">
        <v>239</v>
      </c>
      <c r="Z70" s="1" t="s">
        <v>77</v>
      </c>
      <c r="AA70" s="1" t="s">
        <v>78</v>
      </c>
      <c r="AB70" s="1" t="s">
        <v>79</v>
      </c>
      <c r="AC70" s="1"/>
      <c r="AD70" s="1" t="s">
        <v>206</v>
      </c>
      <c r="AE70" s="1" t="s">
        <v>689</v>
      </c>
      <c r="AF70" s="1" t="s">
        <v>626</v>
      </c>
      <c r="AG70" s="1" t="s">
        <v>241</v>
      </c>
      <c r="AH70" s="1" t="s">
        <v>84</v>
      </c>
    </row>
    <row r="71" spans="1:34">
      <c r="A71" s="1" t="s">
        <v>964</v>
      </c>
      <c r="B71" s="1" t="s">
        <v>965</v>
      </c>
      <c r="C71" s="1" t="s">
        <v>966</v>
      </c>
      <c r="D71" s="1" t="s">
        <v>616</v>
      </c>
      <c r="E71" s="1" t="s">
        <v>65</v>
      </c>
      <c r="F71" s="1" t="s">
        <v>232</v>
      </c>
      <c r="G71" s="1" t="s">
        <v>245</v>
      </c>
      <c r="H71" s="1" t="s">
        <v>693</v>
      </c>
      <c r="I71" s="1" t="s">
        <v>694</v>
      </c>
      <c r="J71" s="1" t="s">
        <v>695</v>
      </c>
      <c r="K71" s="1" t="s">
        <v>696</v>
      </c>
      <c r="L71" s="1"/>
      <c r="M71" s="1">
        <v>1</v>
      </c>
      <c r="N71" s="13">
        <v>1900</v>
      </c>
      <c r="O71" s="13">
        <f>M71*N71</f>
        <v>1900</v>
      </c>
      <c r="P71" s="13">
        <v>886.23</v>
      </c>
      <c r="Q71" s="13">
        <f>P71*20%</f>
        <v>177.24600000000001</v>
      </c>
      <c r="R71" s="13">
        <f>O71-P71</f>
        <v>1013.77</v>
      </c>
      <c r="S71" s="1" t="s">
        <v>71</v>
      </c>
      <c r="T71" s="1" t="s">
        <v>72</v>
      </c>
      <c r="U71" s="1" t="s">
        <v>967</v>
      </c>
      <c r="V71" s="1" t="s">
        <v>73</v>
      </c>
      <c r="W71" s="1" t="s">
        <v>74</v>
      </c>
      <c r="X71" s="1" t="s">
        <v>238</v>
      </c>
      <c r="Y71" s="1" t="s">
        <v>239</v>
      </c>
      <c r="Z71" s="1" t="s">
        <v>77</v>
      </c>
      <c r="AA71" s="1" t="s">
        <v>78</v>
      </c>
      <c r="AB71" s="1" t="s">
        <v>79</v>
      </c>
      <c r="AC71" s="1"/>
      <c r="AD71" s="1" t="s">
        <v>698</v>
      </c>
      <c r="AE71" s="1" t="s">
        <v>633</v>
      </c>
      <c r="AF71" s="1" t="s">
        <v>626</v>
      </c>
      <c r="AG71" s="1" t="s">
        <v>250</v>
      </c>
      <c r="AH71" s="1" t="s">
        <v>84</v>
      </c>
    </row>
    <row r="72" spans="1:34">
      <c r="A72" s="1" t="s">
        <v>968</v>
      </c>
      <c r="B72" s="1" t="s">
        <v>969</v>
      </c>
      <c r="C72" s="1" t="s">
        <v>970</v>
      </c>
      <c r="D72" s="1" t="s">
        <v>616</v>
      </c>
      <c r="E72" s="1" t="s">
        <v>65</v>
      </c>
      <c r="F72" s="1" t="s">
        <v>232</v>
      </c>
      <c r="G72" s="1" t="s">
        <v>255</v>
      </c>
      <c r="H72" s="1" t="s">
        <v>702</v>
      </c>
      <c r="I72" s="1" t="s">
        <v>703</v>
      </c>
      <c r="J72" s="1" t="s">
        <v>695</v>
      </c>
      <c r="K72" s="1" t="s">
        <v>704</v>
      </c>
      <c r="L72" s="1"/>
      <c r="M72" s="1">
        <v>1</v>
      </c>
      <c r="N72" s="13">
        <v>2500</v>
      </c>
      <c r="O72" s="13">
        <f>M72*N72</f>
        <v>2500</v>
      </c>
      <c r="P72" s="13">
        <v>1272.53</v>
      </c>
      <c r="Q72" s="13">
        <f>P72*20%</f>
        <v>254.506</v>
      </c>
      <c r="R72" s="13">
        <f>O72-P72</f>
        <v>1227.47</v>
      </c>
      <c r="S72" s="1" t="s">
        <v>71</v>
      </c>
      <c r="T72" s="1" t="s">
        <v>72</v>
      </c>
      <c r="U72" s="1" t="s">
        <v>478</v>
      </c>
      <c r="V72" s="1" t="s">
        <v>73</v>
      </c>
      <c r="W72" s="1" t="s">
        <v>74</v>
      </c>
      <c r="X72" s="1" t="s">
        <v>238</v>
      </c>
      <c r="Y72" s="1" t="s">
        <v>239</v>
      </c>
      <c r="Z72" s="1" t="s">
        <v>77</v>
      </c>
      <c r="AA72" s="1" t="s">
        <v>78</v>
      </c>
      <c r="AB72" s="1" t="s">
        <v>79</v>
      </c>
      <c r="AC72" s="1"/>
      <c r="AD72" s="1" t="s">
        <v>698</v>
      </c>
      <c r="AE72" s="1" t="s">
        <v>706</v>
      </c>
      <c r="AF72" s="1" t="s">
        <v>626</v>
      </c>
      <c r="AG72" s="1" t="s">
        <v>262</v>
      </c>
      <c r="AH72" s="1" t="s">
        <v>84</v>
      </c>
    </row>
    <row r="73" spans="1:34">
      <c r="A73" s="1" t="s">
        <v>971</v>
      </c>
      <c r="B73" s="1" t="s">
        <v>972</v>
      </c>
      <c r="C73" s="1" t="s">
        <v>973</v>
      </c>
      <c r="D73" s="1" t="s">
        <v>616</v>
      </c>
      <c r="E73" s="1" t="s">
        <v>65</v>
      </c>
      <c r="F73" s="1" t="s">
        <v>232</v>
      </c>
      <c r="G73" s="1" t="s">
        <v>267</v>
      </c>
      <c r="H73" s="1" t="s">
        <v>710</v>
      </c>
      <c r="I73" s="1" t="s">
        <v>711</v>
      </c>
      <c r="J73" s="1" t="s">
        <v>712</v>
      </c>
      <c r="K73" s="1" t="s">
        <v>713</v>
      </c>
      <c r="L73" s="1"/>
      <c r="M73" s="1">
        <v>1</v>
      </c>
      <c r="N73" s="13">
        <v>3250</v>
      </c>
      <c r="O73" s="13">
        <f>M73*N73</f>
        <v>3250</v>
      </c>
      <c r="P73" s="13">
        <v>2309.4899999999998</v>
      </c>
      <c r="Q73" s="13">
        <f>P73*20%</f>
        <v>461.89799999999997</v>
      </c>
      <c r="R73" s="13">
        <f>O73-P73</f>
        <v>940.51000000000022</v>
      </c>
      <c r="S73" s="1" t="s">
        <v>71</v>
      </c>
      <c r="T73" s="1" t="s">
        <v>72</v>
      </c>
      <c r="U73" s="1" t="s">
        <v>974</v>
      </c>
      <c r="V73" s="1" t="s">
        <v>73</v>
      </c>
      <c r="W73" s="1" t="s">
        <v>74</v>
      </c>
      <c r="X73" s="1" t="s">
        <v>238</v>
      </c>
      <c r="Y73" s="1" t="s">
        <v>239</v>
      </c>
      <c r="Z73" s="1" t="s">
        <v>77</v>
      </c>
      <c r="AA73" s="1" t="s">
        <v>78</v>
      </c>
      <c r="AB73" s="1" t="s">
        <v>322</v>
      </c>
      <c r="AC73" s="1" t="s">
        <v>975</v>
      </c>
      <c r="AD73" s="1" t="s">
        <v>698</v>
      </c>
      <c r="AE73" s="1" t="s">
        <v>715</v>
      </c>
      <c r="AF73" s="1" t="s">
        <v>626</v>
      </c>
      <c r="AG73" s="1" t="s">
        <v>274</v>
      </c>
      <c r="AH73" s="1" t="s">
        <v>84</v>
      </c>
    </row>
    <row r="74" spans="1:34">
      <c r="A74" s="1" t="s">
        <v>976</v>
      </c>
      <c r="B74" s="1" t="s">
        <v>977</v>
      </c>
      <c r="C74" s="1" t="s">
        <v>978</v>
      </c>
      <c r="D74" s="1" t="s">
        <v>616</v>
      </c>
      <c r="E74" s="1" t="s">
        <v>65</v>
      </c>
      <c r="F74" s="1" t="s">
        <v>232</v>
      </c>
      <c r="G74" s="1" t="s">
        <v>279</v>
      </c>
      <c r="H74" s="1" t="s">
        <v>719</v>
      </c>
      <c r="I74" s="1" t="s">
        <v>720</v>
      </c>
      <c r="J74" s="1" t="s">
        <v>721</v>
      </c>
      <c r="K74" s="1" t="s">
        <v>722</v>
      </c>
      <c r="L74" s="1"/>
      <c r="M74" s="1">
        <v>1</v>
      </c>
      <c r="N74" s="13">
        <v>875</v>
      </c>
      <c r="O74" s="13">
        <f>M74*N74</f>
        <v>875</v>
      </c>
      <c r="P74" s="13">
        <v>519.53</v>
      </c>
      <c r="Q74" s="13">
        <f>P74*20%</f>
        <v>103.90600000000001</v>
      </c>
      <c r="R74" s="13">
        <f>O74-P74</f>
        <v>355.47</v>
      </c>
      <c r="S74" s="1" t="s">
        <v>71</v>
      </c>
      <c r="T74" s="1" t="s">
        <v>72</v>
      </c>
      <c r="U74" s="1"/>
      <c r="V74" s="1" t="s">
        <v>73</v>
      </c>
      <c r="W74" s="1" t="s">
        <v>74</v>
      </c>
      <c r="X74" s="1" t="s">
        <v>238</v>
      </c>
      <c r="Y74" s="1" t="s">
        <v>239</v>
      </c>
      <c r="Z74" s="1" t="s">
        <v>77</v>
      </c>
      <c r="AA74" s="1" t="s">
        <v>78</v>
      </c>
      <c r="AB74" s="1" t="s">
        <v>79</v>
      </c>
      <c r="AC74" s="1"/>
      <c r="AD74" s="1" t="s">
        <v>206</v>
      </c>
      <c r="AE74" s="1" t="s">
        <v>723</v>
      </c>
      <c r="AF74" s="1" t="s">
        <v>626</v>
      </c>
      <c r="AG74" s="1" t="s">
        <v>289</v>
      </c>
      <c r="AH74" s="1" t="s">
        <v>84</v>
      </c>
    </row>
    <row r="75" spans="1:34">
      <c r="A75" s="1" t="s">
        <v>979</v>
      </c>
      <c r="B75" s="1" t="s">
        <v>980</v>
      </c>
      <c r="C75" s="1" t="s">
        <v>981</v>
      </c>
      <c r="D75" s="1" t="s">
        <v>616</v>
      </c>
      <c r="E75" s="1" t="s">
        <v>65</v>
      </c>
      <c r="F75" s="1" t="s">
        <v>727</v>
      </c>
      <c r="G75" s="1" t="s">
        <v>293</v>
      </c>
      <c r="H75" s="1" t="s">
        <v>728</v>
      </c>
      <c r="I75" s="1" t="s">
        <v>729</v>
      </c>
      <c r="J75" s="1" t="s">
        <v>730</v>
      </c>
      <c r="K75" s="1" t="s">
        <v>731</v>
      </c>
      <c r="L75" s="1"/>
      <c r="M75" s="1">
        <v>1</v>
      </c>
      <c r="N75" s="13">
        <v>535</v>
      </c>
      <c r="O75" s="13">
        <f>M75*N75</f>
        <v>535</v>
      </c>
      <c r="P75" s="13">
        <v>311.72000000000003</v>
      </c>
      <c r="Q75" s="13">
        <f>P75*20%</f>
        <v>62.344000000000008</v>
      </c>
      <c r="R75" s="13">
        <f>O75-P75</f>
        <v>223.27999999999997</v>
      </c>
      <c r="S75" s="1" t="s">
        <v>71</v>
      </c>
      <c r="T75" s="1" t="s">
        <v>72</v>
      </c>
      <c r="U75" s="1"/>
      <c r="V75" s="1" t="s">
        <v>73</v>
      </c>
      <c r="W75" s="1" t="s">
        <v>74</v>
      </c>
      <c r="X75" s="1" t="s">
        <v>238</v>
      </c>
      <c r="Y75" s="1" t="s">
        <v>239</v>
      </c>
      <c r="Z75" s="1" t="s">
        <v>77</v>
      </c>
      <c r="AA75" s="1" t="s">
        <v>78</v>
      </c>
      <c r="AB75" s="1" t="s">
        <v>79</v>
      </c>
      <c r="AC75" s="1"/>
      <c r="AD75" s="1" t="s">
        <v>732</v>
      </c>
      <c r="AE75" s="1" t="s">
        <v>733</v>
      </c>
      <c r="AF75" s="1" t="s">
        <v>626</v>
      </c>
      <c r="AG75" s="1" t="s">
        <v>299</v>
      </c>
      <c r="AH75" s="1" t="s">
        <v>84</v>
      </c>
    </row>
    <row r="76" spans="1:34">
      <c r="A76" s="1" t="s">
        <v>982</v>
      </c>
      <c r="B76" s="1" t="s">
        <v>983</v>
      </c>
      <c r="C76" s="1" t="s">
        <v>984</v>
      </c>
      <c r="D76" s="1" t="s">
        <v>616</v>
      </c>
      <c r="E76" s="1" t="s">
        <v>65</v>
      </c>
      <c r="F76" s="1" t="s">
        <v>198</v>
      </c>
      <c r="G76" s="1" t="s">
        <v>304</v>
      </c>
      <c r="H76" s="1" t="s">
        <v>737</v>
      </c>
      <c r="I76" s="1" t="s">
        <v>201</v>
      </c>
      <c r="J76" s="1" t="s">
        <v>202</v>
      </c>
      <c r="K76" s="1" t="s">
        <v>203</v>
      </c>
      <c r="L76" s="1"/>
      <c r="M76" s="1">
        <v>1</v>
      </c>
      <c r="N76" s="13">
        <v>155</v>
      </c>
      <c r="O76" s="13">
        <f>M76*N76</f>
        <v>155</v>
      </c>
      <c r="P76" s="13">
        <v>99.88</v>
      </c>
      <c r="Q76" s="13">
        <f>P76*20%</f>
        <v>19.975999999999999</v>
      </c>
      <c r="R76" s="13">
        <f>O76-P76</f>
        <v>55.120000000000005</v>
      </c>
      <c r="S76" s="1" t="s">
        <v>71</v>
      </c>
      <c r="T76" s="1" t="s">
        <v>72</v>
      </c>
      <c r="U76" s="1"/>
      <c r="V76" s="1" t="s">
        <v>73</v>
      </c>
      <c r="W76" s="1" t="s">
        <v>74</v>
      </c>
      <c r="X76" s="1" t="s">
        <v>204</v>
      </c>
      <c r="Y76" s="1" t="s">
        <v>205</v>
      </c>
      <c r="Z76" s="1" t="s">
        <v>77</v>
      </c>
      <c r="AA76" s="1" t="s">
        <v>78</v>
      </c>
      <c r="AB76" s="1" t="s">
        <v>79</v>
      </c>
      <c r="AC76" s="1"/>
      <c r="AD76" s="1" t="s">
        <v>206</v>
      </c>
      <c r="AE76" s="1" t="s">
        <v>738</v>
      </c>
      <c r="AF76" s="1" t="s">
        <v>626</v>
      </c>
      <c r="AG76" s="1" t="s">
        <v>311</v>
      </c>
      <c r="AH76" s="1" t="s">
        <v>84</v>
      </c>
    </row>
    <row r="77" spans="1:34">
      <c r="A77" s="1" t="s">
        <v>985</v>
      </c>
      <c r="B77" s="1" t="s">
        <v>986</v>
      </c>
      <c r="C77" s="1" t="s">
        <v>987</v>
      </c>
      <c r="D77" s="1" t="s">
        <v>616</v>
      </c>
      <c r="E77" s="1" t="s">
        <v>65</v>
      </c>
      <c r="F77" s="1" t="s">
        <v>198</v>
      </c>
      <c r="G77" s="1" t="s">
        <v>316</v>
      </c>
      <c r="H77" s="1" t="s">
        <v>742</v>
      </c>
      <c r="I77" s="1" t="s">
        <v>743</v>
      </c>
      <c r="J77" s="1" t="s">
        <v>215</v>
      </c>
      <c r="K77" s="1" t="s">
        <v>744</v>
      </c>
      <c r="L77" s="1"/>
      <c r="M77" s="1">
        <v>1</v>
      </c>
      <c r="N77" s="13">
        <v>185</v>
      </c>
      <c r="O77" s="13">
        <f>M77*N77</f>
        <v>185</v>
      </c>
      <c r="P77" s="13">
        <v>80.87</v>
      </c>
      <c r="Q77" s="13">
        <f>P77*20%</f>
        <v>16.174000000000003</v>
      </c>
      <c r="R77" s="13">
        <f>O77-P77</f>
        <v>104.13</v>
      </c>
      <c r="S77" s="1" t="s">
        <v>71</v>
      </c>
      <c r="T77" s="1" t="s">
        <v>72</v>
      </c>
      <c r="U77" s="1"/>
      <c r="V77" s="1" t="s">
        <v>73</v>
      </c>
      <c r="W77" s="1" t="s">
        <v>74</v>
      </c>
      <c r="X77" s="1" t="s">
        <v>204</v>
      </c>
      <c r="Y77" s="1" t="s">
        <v>205</v>
      </c>
      <c r="Z77" s="1" t="s">
        <v>77</v>
      </c>
      <c r="AA77" s="1" t="s">
        <v>78</v>
      </c>
      <c r="AB77" s="1" t="s">
        <v>79</v>
      </c>
      <c r="AC77" s="1"/>
      <c r="AD77" s="1" t="s">
        <v>206</v>
      </c>
      <c r="AE77" s="1" t="s">
        <v>664</v>
      </c>
      <c r="AF77" s="1" t="s">
        <v>626</v>
      </c>
      <c r="AG77" s="1" t="s">
        <v>325</v>
      </c>
      <c r="AH77" s="1" t="s">
        <v>84</v>
      </c>
    </row>
    <row r="78" spans="1:34">
      <c r="A78" s="1" t="s">
        <v>988</v>
      </c>
      <c r="B78" s="1" t="s">
        <v>989</v>
      </c>
      <c r="C78" s="1" t="s">
        <v>990</v>
      </c>
      <c r="D78" s="1" t="s">
        <v>616</v>
      </c>
      <c r="E78" s="1" t="s">
        <v>65</v>
      </c>
      <c r="F78" s="1" t="s">
        <v>198</v>
      </c>
      <c r="G78" s="1" t="s">
        <v>330</v>
      </c>
      <c r="H78" s="1" t="s">
        <v>748</v>
      </c>
      <c r="I78" s="1" t="s">
        <v>749</v>
      </c>
      <c r="J78" s="1" t="s">
        <v>215</v>
      </c>
      <c r="K78" s="1" t="s">
        <v>750</v>
      </c>
      <c r="L78" s="1"/>
      <c r="M78" s="1">
        <v>1</v>
      </c>
      <c r="N78" s="13">
        <v>110</v>
      </c>
      <c r="O78" s="13">
        <f>M78*N78</f>
        <v>110</v>
      </c>
      <c r="P78" s="13">
        <v>65.48</v>
      </c>
      <c r="Q78" s="13">
        <f>P78*20%</f>
        <v>13.096000000000002</v>
      </c>
      <c r="R78" s="13">
        <f>O78-P78</f>
        <v>44.519999999999996</v>
      </c>
      <c r="S78" s="1" t="s">
        <v>71</v>
      </c>
      <c r="T78" s="1" t="s">
        <v>72</v>
      </c>
      <c r="U78" s="1"/>
      <c r="V78" s="1" t="s">
        <v>73</v>
      </c>
      <c r="W78" s="1" t="s">
        <v>74</v>
      </c>
      <c r="X78" s="1" t="s">
        <v>204</v>
      </c>
      <c r="Y78" s="1" t="s">
        <v>205</v>
      </c>
      <c r="Z78" s="1" t="s">
        <v>77</v>
      </c>
      <c r="AA78" s="1" t="s">
        <v>78</v>
      </c>
      <c r="AB78" s="1" t="s">
        <v>79</v>
      </c>
      <c r="AC78" s="1"/>
      <c r="AD78" s="1" t="s">
        <v>206</v>
      </c>
      <c r="AE78" s="1" t="s">
        <v>217</v>
      </c>
      <c r="AF78" s="1" t="s">
        <v>626</v>
      </c>
      <c r="AG78" s="1" t="s">
        <v>336</v>
      </c>
      <c r="AH78" s="1" t="s">
        <v>84</v>
      </c>
    </row>
    <row r="79" spans="1:34">
      <c r="A79" s="1" t="s">
        <v>991</v>
      </c>
      <c r="B79" s="1" t="s">
        <v>992</v>
      </c>
      <c r="C79" s="1" t="s">
        <v>993</v>
      </c>
      <c r="D79" s="1" t="s">
        <v>616</v>
      </c>
      <c r="E79" s="1" t="s">
        <v>65</v>
      </c>
      <c r="F79" s="1" t="s">
        <v>198</v>
      </c>
      <c r="G79" s="1" t="s">
        <v>340</v>
      </c>
      <c r="H79" s="1" t="s">
        <v>754</v>
      </c>
      <c r="I79" s="1" t="s">
        <v>755</v>
      </c>
      <c r="J79" s="1" t="s">
        <v>215</v>
      </c>
      <c r="K79" s="1" t="s">
        <v>756</v>
      </c>
      <c r="L79" s="1"/>
      <c r="M79" s="1">
        <v>1</v>
      </c>
      <c r="N79" s="13">
        <v>215</v>
      </c>
      <c r="O79" s="13">
        <f>M79*N79</f>
        <v>215</v>
      </c>
      <c r="P79" s="13">
        <v>122.73</v>
      </c>
      <c r="Q79" s="13">
        <f>P79*20%</f>
        <v>24.546000000000003</v>
      </c>
      <c r="R79" s="13">
        <f>O79-P79</f>
        <v>92.27</v>
      </c>
      <c r="S79" s="1" t="s">
        <v>71</v>
      </c>
      <c r="T79" s="1" t="s">
        <v>72</v>
      </c>
      <c r="U79" s="1"/>
      <c r="V79" s="1" t="s">
        <v>73</v>
      </c>
      <c r="W79" s="1" t="s">
        <v>74</v>
      </c>
      <c r="X79" s="1" t="s">
        <v>204</v>
      </c>
      <c r="Y79" s="1" t="s">
        <v>205</v>
      </c>
      <c r="Z79" s="1" t="s">
        <v>77</v>
      </c>
      <c r="AA79" s="1" t="s">
        <v>78</v>
      </c>
      <c r="AB79" s="1" t="s">
        <v>79</v>
      </c>
      <c r="AC79" s="1"/>
      <c r="AD79" s="1" t="s">
        <v>206</v>
      </c>
      <c r="AE79" s="1" t="s">
        <v>757</v>
      </c>
      <c r="AF79" s="1" t="s">
        <v>626</v>
      </c>
      <c r="AG79" s="1" t="s">
        <v>341</v>
      </c>
      <c r="AH79" s="1" t="s">
        <v>84</v>
      </c>
    </row>
    <row r="80" spans="1:34">
      <c r="A80" s="1" t="s">
        <v>994</v>
      </c>
      <c r="B80" s="1" t="s">
        <v>995</v>
      </c>
      <c r="C80" s="1" t="s">
        <v>996</v>
      </c>
      <c r="D80" s="1" t="s">
        <v>616</v>
      </c>
      <c r="E80" s="1" t="s">
        <v>65</v>
      </c>
      <c r="F80" s="1" t="s">
        <v>254</v>
      </c>
      <c r="G80" s="1" t="s">
        <v>67</v>
      </c>
      <c r="H80" s="1" t="s">
        <v>761</v>
      </c>
      <c r="I80" s="1" t="s">
        <v>762</v>
      </c>
      <c r="J80" s="1" t="s">
        <v>763</v>
      </c>
      <c r="K80" s="1" t="s">
        <v>764</v>
      </c>
      <c r="L80" s="1"/>
      <c r="M80" s="1">
        <v>1</v>
      </c>
      <c r="N80" s="13">
        <v>1550</v>
      </c>
      <c r="O80" s="13">
        <f>M80*N80</f>
        <v>1550</v>
      </c>
      <c r="P80" s="13">
        <v>1047.51</v>
      </c>
      <c r="Q80" s="13">
        <f>P80*20%</f>
        <v>209.50200000000001</v>
      </c>
      <c r="R80" s="13">
        <f>O80-P80</f>
        <v>502.49</v>
      </c>
      <c r="S80" s="1" t="s">
        <v>71</v>
      </c>
      <c r="T80" s="1" t="s">
        <v>72</v>
      </c>
      <c r="U80" s="1" t="s">
        <v>997</v>
      </c>
      <c r="V80" s="1" t="s">
        <v>73</v>
      </c>
      <c r="W80" s="1" t="s">
        <v>74</v>
      </c>
      <c r="X80" s="1" t="s">
        <v>254</v>
      </c>
      <c r="Y80" s="1" t="s">
        <v>260</v>
      </c>
      <c r="Z80" s="1" t="s">
        <v>77</v>
      </c>
      <c r="AA80" s="1" t="s">
        <v>78</v>
      </c>
      <c r="AB80" s="1" t="s">
        <v>79</v>
      </c>
      <c r="AC80" s="1"/>
      <c r="AD80" s="1" t="s">
        <v>698</v>
      </c>
      <c r="AE80" s="1" t="s">
        <v>765</v>
      </c>
      <c r="AF80" s="1" t="s">
        <v>626</v>
      </c>
      <c r="AG80" s="1" t="s">
        <v>83</v>
      </c>
      <c r="AH80" s="1" t="s">
        <v>84</v>
      </c>
    </row>
    <row r="81" spans="1:34">
      <c r="A81" s="1" t="s">
        <v>998</v>
      </c>
      <c r="B81" s="1" t="s">
        <v>999</v>
      </c>
      <c r="C81" s="1" t="s">
        <v>1000</v>
      </c>
      <c r="D81" s="1" t="s">
        <v>616</v>
      </c>
      <c r="E81" s="1" t="s">
        <v>65</v>
      </c>
      <c r="F81" s="1" t="s">
        <v>254</v>
      </c>
      <c r="G81" s="1" t="s">
        <v>88</v>
      </c>
      <c r="H81" s="1" t="s">
        <v>769</v>
      </c>
      <c r="I81" s="1" t="s">
        <v>770</v>
      </c>
      <c r="J81" s="1" t="s">
        <v>771</v>
      </c>
      <c r="K81" s="1" t="s">
        <v>772</v>
      </c>
      <c r="L81" s="1"/>
      <c r="M81" s="1">
        <v>1</v>
      </c>
      <c r="N81" s="13">
        <v>1150</v>
      </c>
      <c r="O81" s="13">
        <f>M81*N81</f>
        <v>1150</v>
      </c>
      <c r="P81" s="13">
        <v>537.30999999999995</v>
      </c>
      <c r="Q81" s="13">
        <f>P81*20%</f>
        <v>107.46199999999999</v>
      </c>
      <c r="R81" s="13">
        <f>O81-P81</f>
        <v>612.69000000000005</v>
      </c>
      <c r="S81" s="1" t="s">
        <v>71</v>
      </c>
      <c r="T81" s="1" t="s">
        <v>72</v>
      </c>
      <c r="U81" s="1" t="s">
        <v>1001</v>
      </c>
      <c r="V81" s="1" t="s">
        <v>73</v>
      </c>
      <c r="W81" s="1" t="s">
        <v>74</v>
      </c>
      <c r="X81" s="1" t="s">
        <v>254</v>
      </c>
      <c r="Y81" s="1" t="s">
        <v>260</v>
      </c>
      <c r="Z81" s="1" t="s">
        <v>77</v>
      </c>
      <c r="AA81" s="1" t="s">
        <v>78</v>
      </c>
      <c r="AB81" s="1" t="s">
        <v>79</v>
      </c>
      <c r="AC81" s="1"/>
      <c r="AD81" s="1" t="s">
        <v>698</v>
      </c>
      <c r="AE81" s="1" t="s">
        <v>261</v>
      </c>
      <c r="AF81" s="1" t="s">
        <v>626</v>
      </c>
      <c r="AG81" s="1" t="s">
        <v>92</v>
      </c>
      <c r="AH81" s="1" t="s">
        <v>84</v>
      </c>
    </row>
    <row r="82" spans="1:34">
      <c r="A82" s="1" t="s">
        <v>1002</v>
      </c>
      <c r="B82" s="1" t="s">
        <v>1003</v>
      </c>
      <c r="C82" s="1" t="s">
        <v>1004</v>
      </c>
      <c r="D82" s="1" t="s">
        <v>616</v>
      </c>
      <c r="E82" s="1" t="s">
        <v>65</v>
      </c>
      <c r="F82" s="1" t="s">
        <v>777</v>
      </c>
      <c r="G82" s="1" t="s">
        <v>97</v>
      </c>
      <c r="H82" s="1" t="s">
        <v>778</v>
      </c>
      <c r="I82" s="1" t="s">
        <v>779</v>
      </c>
      <c r="J82" s="1" t="s">
        <v>780</v>
      </c>
      <c r="K82" s="1" t="s">
        <v>781</v>
      </c>
      <c r="L82" s="1"/>
      <c r="M82" s="1">
        <v>1</v>
      </c>
      <c r="N82" s="13">
        <v>3900</v>
      </c>
      <c r="O82" s="13">
        <f>M82*N82</f>
        <v>3900</v>
      </c>
      <c r="P82" s="13">
        <v>2762.11</v>
      </c>
      <c r="Q82" s="13">
        <f>P82*20%</f>
        <v>552.42200000000003</v>
      </c>
      <c r="R82" s="13">
        <f>O82-P82</f>
        <v>1137.8899999999999</v>
      </c>
      <c r="S82" s="1" t="s">
        <v>71</v>
      </c>
      <c r="T82" s="1" t="s">
        <v>72</v>
      </c>
      <c r="U82" s="1" t="s">
        <v>1005</v>
      </c>
      <c r="V82" s="1" t="s">
        <v>73</v>
      </c>
      <c r="W82" s="1" t="s">
        <v>74</v>
      </c>
      <c r="X82" s="1" t="s">
        <v>777</v>
      </c>
      <c r="Y82" s="1" t="s">
        <v>782</v>
      </c>
      <c r="Z82" s="1" t="s">
        <v>77</v>
      </c>
      <c r="AA82" s="1" t="s">
        <v>78</v>
      </c>
      <c r="AB82" s="1" t="s">
        <v>79</v>
      </c>
      <c r="AC82" s="1"/>
      <c r="AD82" s="1" t="s">
        <v>698</v>
      </c>
      <c r="AE82" s="1" t="s">
        <v>783</v>
      </c>
      <c r="AF82" s="1" t="s">
        <v>626</v>
      </c>
      <c r="AG82" s="1" t="s">
        <v>102</v>
      </c>
      <c r="AH82" s="1" t="s">
        <v>84</v>
      </c>
    </row>
    <row r="83" spans="1:34">
      <c r="A83" s="1" t="s">
        <v>1006</v>
      </c>
      <c r="B83" s="1" t="s">
        <v>1007</v>
      </c>
      <c r="C83" s="1" t="s">
        <v>1008</v>
      </c>
      <c r="D83" s="1" t="s">
        <v>616</v>
      </c>
      <c r="E83" s="1" t="s">
        <v>65</v>
      </c>
      <c r="F83" s="1" t="s">
        <v>777</v>
      </c>
      <c r="G83" s="1" t="s">
        <v>107</v>
      </c>
      <c r="H83" s="1" t="s">
        <v>787</v>
      </c>
      <c r="I83" s="1" t="s">
        <v>788</v>
      </c>
      <c r="J83" s="1" t="s">
        <v>780</v>
      </c>
      <c r="K83" s="1" t="s">
        <v>789</v>
      </c>
      <c r="L83" s="1"/>
      <c r="M83" s="1">
        <v>1</v>
      </c>
      <c r="N83" s="13">
        <v>3300</v>
      </c>
      <c r="O83" s="13">
        <f>M83*N83</f>
        <v>3300</v>
      </c>
      <c r="P83" s="13">
        <v>1465.31</v>
      </c>
      <c r="Q83" s="13">
        <f>P83*20%</f>
        <v>293.06200000000001</v>
      </c>
      <c r="R83" s="13">
        <f>O83-P83</f>
        <v>1834.69</v>
      </c>
      <c r="S83" s="1" t="s">
        <v>71</v>
      </c>
      <c r="T83" s="1" t="s">
        <v>72</v>
      </c>
      <c r="U83" s="1" t="s">
        <v>1009</v>
      </c>
      <c r="V83" s="1" t="s">
        <v>73</v>
      </c>
      <c r="W83" s="1" t="s">
        <v>74</v>
      </c>
      <c r="X83" s="1" t="s">
        <v>777</v>
      </c>
      <c r="Y83" s="1" t="s">
        <v>782</v>
      </c>
      <c r="Z83" s="1" t="s">
        <v>77</v>
      </c>
      <c r="AA83" s="1" t="s">
        <v>78</v>
      </c>
      <c r="AB83" s="1" t="s">
        <v>79</v>
      </c>
      <c r="AC83" s="1"/>
      <c r="AD83" s="1" t="s">
        <v>698</v>
      </c>
      <c r="AE83" s="1" t="s">
        <v>792</v>
      </c>
      <c r="AF83" s="1" t="s">
        <v>626</v>
      </c>
      <c r="AG83" s="1" t="s">
        <v>114</v>
      </c>
      <c r="AH83" s="1" t="s">
        <v>84</v>
      </c>
    </row>
    <row r="84" spans="1:34">
      <c r="A84" s="1" t="s">
        <v>1010</v>
      </c>
      <c r="B84" s="1" t="s">
        <v>1011</v>
      </c>
      <c r="C84" s="1" t="s">
        <v>1012</v>
      </c>
      <c r="D84" s="1" t="s">
        <v>616</v>
      </c>
      <c r="E84" s="1" t="s">
        <v>65</v>
      </c>
      <c r="F84" s="1" t="s">
        <v>278</v>
      </c>
      <c r="G84" s="1" t="s">
        <v>118</v>
      </c>
      <c r="H84" s="1" t="s">
        <v>796</v>
      </c>
      <c r="I84" s="1" t="s">
        <v>797</v>
      </c>
      <c r="J84" s="1" t="s">
        <v>282</v>
      </c>
      <c r="K84" s="1" t="s">
        <v>798</v>
      </c>
      <c r="L84" s="1"/>
      <c r="M84" s="1">
        <v>1</v>
      </c>
      <c r="N84" s="13">
        <v>860</v>
      </c>
      <c r="O84" s="13">
        <f>M84*N84</f>
        <v>860</v>
      </c>
      <c r="P84" s="13">
        <v>409.14</v>
      </c>
      <c r="Q84" s="13">
        <f>P84*20%</f>
        <v>81.828000000000003</v>
      </c>
      <c r="R84" s="13">
        <f>O84-P84</f>
        <v>450.86</v>
      </c>
      <c r="S84" s="1" t="s">
        <v>71</v>
      </c>
      <c r="T84" s="1" t="s">
        <v>72</v>
      </c>
      <c r="U84" s="1" t="s">
        <v>1013</v>
      </c>
      <c r="V84" s="1" t="s">
        <v>73</v>
      </c>
      <c r="W84" s="1" t="s">
        <v>74</v>
      </c>
      <c r="X84" s="1" t="s">
        <v>285</v>
      </c>
      <c r="Y84" s="1" t="s">
        <v>286</v>
      </c>
      <c r="Z84" s="1" t="s">
        <v>77</v>
      </c>
      <c r="AA84" s="1" t="s">
        <v>78</v>
      </c>
      <c r="AB84" s="1" t="s">
        <v>79</v>
      </c>
      <c r="AC84" s="1"/>
      <c r="AD84" s="1" t="s">
        <v>287</v>
      </c>
      <c r="AE84" s="1" t="s">
        <v>800</v>
      </c>
      <c r="AF84" s="1" t="s">
        <v>626</v>
      </c>
      <c r="AG84" s="1" t="s">
        <v>121</v>
      </c>
      <c r="AH84" s="1" t="s">
        <v>84</v>
      </c>
    </row>
    <row r="85" spans="1:34">
      <c r="A85" s="1" t="s">
        <v>1014</v>
      </c>
      <c r="B85" s="1" t="s">
        <v>1015</v>
      </c>
      <c r="C85" s="1" t="s">
        <v>1016</v>
      </c>
      <c r="D85" s="1" t="s">
        <v>616</v>
      </c>
      <c r="E85" s="1" t="s">
        <v>65</v>
      </c>
      <c r="F85" s="1" t="s">
        <v>278</v>
      </c>
      <c r="G85" s="1" t="s">
        <v>126</v>
      </c>
      <c r="H85" s="1" t="s">
        <v>804</v>
      </c>
      <c r="I85" s="1" t="s">
        <v>295</v>
      </c>
      <c r="J85" s="1" t="s">
        <v>282</v>
      </c>
      <c r="K85" s="1" t="s">
        <v>296</v>
      </c>
      <c r="L85" s="1"/>
      <c r="M85" s="1">
        <v>2</v>
      </c>
      <c r="N85" s="13">
        <v>305</v>
      </c>
      <c r="O85" s="13">
        <f>M85*N85</f>
        <v>610</v>
      </c>
      <c r="P85" s="13">
        <v>379.76</v>
      </c>
      <c r="Q85" s="13">
        <f>P85*20%</f>
        <v>75.951999999999998</v>
      </c>
      <c r="R85" s="13">
        <f>O85-P85</f>
        <v>230.24</v>
      </c>
      <c r="S85" s="1" t="s">
        <v>71</v>
      </c>
      <c r="T85" s="1" t="s">
        <v>72</v>
      </c>
      <c r="U85" s="1"/>
      <c r="V85" s="1" t="s">
        <v>73</v>
      </c>
      <c r="W85" s="1" t="s">
        <v>74</v>
      </c>
      <c r="X85" s="1" t="s">
        <v>285</v>
      </c>
      <c r="Y85" s="1" t="s">
        <v>286</v>
      </c>
      <c r="Z85" s="1" t="s">
        <v>77</v>
      </c>
      <c r="AA85" s="1" t="s">
        <v>78</v>
      </c>
      <c r="AB85" s="1" t="s">
        <v>79</v>
      </c>
      <c r="AC85" s="1"/>
      <c r="AD85" s="1" t="s">
        <v>297</v>
      </c>
      <c r="AE85" s="1" t="s">
        <v>800</v>
      </c>
      <c r="AF85" s="1" t="s">
        <v>626</v>
      </c>
      <c r="AG85" s="1" t="s">
        <v>132</v>
      </c>
      <c r="AH85" s="1" t="s">
        <v>84</v>
      </c>
    </row>
    <row r="86" spans="1:34">
      <c r="A86" s="1" t="s">
        <v>1017</v>
      </c>
      <c r="B86" s="1" t="s">
        <v>1018</v>
      </c>
      <c r="C86" s="1" t="s">
        <v>1019</v>
      </c>
      <c r="D86" s="1" t="s">
        <v>616</v>
      </c>
      <c r="E86" s="1" t="s">
        <v>65</v>
      </c>
      <c r="F86" s="1" t="s">
        <v>808</v>
      </c>
      <c r="G86" s="1" t="s">
        <v>137</v>
      </c>
      <c r="H86" s="1" t="s">
        <v>809</v>
      </c>
      <c r="I86" s="1" t="s">
        <v>810</v>
      </c>
      <c r="J86" s="1" t="s">
        <v>811</v>
      </c>
      <c r="K86" s="1" t="s">
        <v>812</v>
      </c>
      <c r="L86" s="1"/>
      <c r="M86" s="1">
        <v>1</v>
      </c>
      <c r="N86" s="13">
        <v>780</v>
      </c>
      <c r="O86" s="13">
        <f>M86*N86</f>
        <v>780</v>
      </c>
      <c r="P86" s="13">
        <v>382.64</v>
      </c>
      <c r="Q86" s="13">
        <f>P86*20%</f>
        <v>76.528000000000006</v>
      </c>
      <c r="R86" s="13">
        <f>O86-P86</f>
        <v>397.36</v>
      </c>
      <c r="S86" s="1" t="s">
        <v>71</v>
      </c>
      <c r="T86" s="1" t="s">
        <v>72</v>
      </c>
      <c r="U86" s="1" t="s">
        <v>1020</v>
      </c>
      <c r="V86" s="1" t="s">
        <v>73</v>
      </c>
      <c r="W86" s="1" t="s">
        <v>74</v>
      </c>
      <c r="X86" s="1" t="s">
        <v>808</v>
      </c>
      <c r="Y86" s="1" t="s">
        <v>814</v>
      </c>
      <c r="Z86" s="1" t="s">
        <v>77</v>
      </c>
      <c r="AA86" s="1" t="s">
        <v>78</v>
      </c>
      <c r="AB86" s="1" t="s">
        <v>79</v>
      </c>
      <c r="AC86" s="1"/>
      <c r="AD86" s="1" t="s">
        <v>815</v>
      </c>
      <c r="AE86" s="1" t="s">
        <v>816</v>
      </c>
      <c r="AF86" s="1" t="s">
        <v>626</v>
      </c>
      <c r="AG86" s="1" t="s">
        <v>144</v>
      </c>
      <c r="AH86" s="1" t="s">
        <v>84</v>
      </c>
    </row>
    <row r="87" spans="1:34">
      <c r="A87" s="1" t="s">
        <v>1021</v>
      </c>
      <c r="B87" s="1" t="s">
        <v>1022</v>
      </c>
      <c r="C87" s="1" t="s">
        <v>1023</v>
      </c>
      <c r="D87" s="1" t="s">
        <v>616</v>
      </c>
      <c r="E87" s="1" t="s">
        <v>65</v>
      </c>
      <c r="F87" s="1" t="s">
        <v>820</v>
      </c>
      <c r="G87" s="1" t="s">
        <v>149</v>
      </c>
      <c r="H87" s="1" t="s">
        <v>821</v>
      </c>
      <c r="I87" s="1" t="s">
        <v>822</v>
      </c>
      <c r="J87" s="1" t="s">
        <v>823</v>
      </c>
      <c r="K87" s="1" t="s">
        <v>824</v>
      </c>
      <c r="L87" s="1"/>
      <c r="M87" s="1">
        <v>1</v>
      </c>
      <c r="N87" s="13">
        <v>1850</v>
      </c>
      <c r="O87" s="13">
        <f>M87*N87</f>
        <v>1850</v>
      </c>
      <c r="P87" s="13">
        <v>843.54</v>
      </c>
      <c r="Q87" s="13">
        <f>P87*20%</f>
        <v>168.708</v>
      </c>
      <c r="R87" s="13">
        <f>O87-P87</f>
        <v>1006.46</v>
      </c>
      <c r="S87" s="1" t="s">
        <v>71</v>
      </c>
      <c r="T87" s="1" t="s">
        <v>72</v>
      </c>
      <c r="U87" s="1" t="s">
        <v>1024</v>
      </c>
      <c r="V87" s="1" t="s">
        <v>73</v>
      </c>
      <c r="W87" s="1" t="s">
        <v>74</v>
      </c>
      <c r="X87" s="1" t="s">
        <v>808</v>
      </c>
      <c r="Y87" s="1" t="s">
        <v>814</v>
      </c>
      <c r="Z87" s="1" t="s">
        <v>77</v>
      </c>
      <c r="AA87" s="1" t="s">
        <v>78</v>
      </c>
      <c r="AB87" s="1" t="s">
        <v>79</v>
      </c>
      <c r="AC87" s="1"/>
      <c r="AD87" s="1" t="s">
        <v>815</v>
      </c>
      <c r="AE87" s="1" t="s">
        <v>826</v>
      </c>
      <c r="AF87" s="1" t="s">
        <v>626</v>
      </c>
      <c r="AG87" s="1" t="s">
        <v>154</v>
      </c>
      <c r="AH87" s="1" t="s">
        <v>84</v>
      </c>
    </row>
    <row r="88" spans="1:34">
      <c r="A88" s="1" t="s">
        <v>1025</v>
      </c>
      <c r="B88" s="1" t="s">
        <v>1026</v>
      </c>
      <c r="C88" s="1" t="s">
        <v>1027</v>
      </c>
      <c r="D88" s="1" t="s">
        <v>616</v>
      </c>
      <c r="E88" s="1" t="s">
        <v>65</v>
      </c>
      <c r="F88" s="1" t="s">
        <v>830</v>
      </c>
      <c r="G88" s="1" t="s">
        <v>158</v>
      </c>
      <c r="H88" s="1" t="s">
        <v>831</v>
      </c>
      <c r="I88" s="1" t="s">
        <v>832</v>
      </c>
      <c r="J88" s="1" t="s">
        <v>833</v>
      </c>
      <c r="K88" s="1" t="s">
        <v>834</v>
      </c>
      <c r="L88" s="1"/>
      <c r="M88" s="1">
        <v>1</v>
      </c>
      <c r="N88" s="13">
        <v>285</v>
      </c>
      <c r="O88" s="13">
        <f>M88*N88</f>
        <v>285</v>
      </c>
      <c r="P88" s="13">
        <v>195.82</v>
      </c>
      <c r="Q88" s="13">
        <f>P88*20%</f>
        <v>39.164000000000001</v>
      </c>
      <c r="R88" s="13">
        <f>O88-P88</f>
        <v>89.18</v>
      </c>
      <c r="S88" s="1" t="s">
        <v>71</v>
      </c>
      <c r="T88" s="1" t="s">
        <v>72</v>
      </c>
      <c r="U88" s="1"/>
      <c r="V88" s="1" t="s">
        <v>73</v>
      </c>
      <c r="W88" s="1" t="s">
        <v>74</v>
      </c>
      <c r="X88" s="1" t="s">
        <v>830</v>
      </c>
      <c r="Y88" s="1" t="s">
        <v>286</v>
      </c>
      <c r="Z88" s="1" t="s">
        <v>77</v>
      </c>
      <c r="AA88" s="1" t="s">
        <v>78</v>
      </c>
      <c r="AB88" s="1" t="s">
        <v>79</v>
      </c>
      <c r="AC88" s="1"/>
      <c r="AD88" s="1" t="s">
        <v>835</v>
      </c>
      <c r="AE88" s="1" t="s">
        <v>836</v>
      </c>
      <c r="AF88" s="1" t="s">
        <v>626</v>
      </c>
      <c r="AG88" s="1" t="s">
        <v>162</v>
      </c>
      <c r="AH88" s="1" t="s">
        <v>84</v>
      </c>
    </row>
    <row r="89" spans="1:34">
      <c r="A89" s="1" t="s">
        <v>1028</v>
      </c>
      <c r="B89" s="1" t="s">
        <v>1029</v>
      </c>
      <c r="C89" s="1" t="s">
        <v>1030</v>
      </c>
      <c r="D89" s="1" t="s">
        <v>616</v>
      </c>
      <c r="E89" s="1" t="s">
        <v>65</v>
      </c>
      <c r="F89" s="1" t="s">
        <v>617</v>
      </c>
      <c r="G89" s="1" t="s">
        <v>167</v>
      </c>
      <c r="H89" s="1" t="s">
        <v>618</v>
      </c>
      <c r="I89" s="1" t="s">
        <v>619</v>
      </c>
      <c r="J89" s="1" t="s">
        <v>620</v>
      </c>
      <c r="K89" s="1" t="s">
        <v>621</v>
      </c>
      <c r="L89" s="1"/>
      <c r="M89" s="1">
        <v>1</v>
      </c>
      <c r="N89" s="13">
        <v>360</v>
      </c>
      <c r="O89" s="13">
        <f>M89*N89</f>
        <v>360</v>
      </c>
      <c r="P89" s="13">
        <v>177.79</v>
      </c>
      <c r="Q89" s="13">
        <f>P89*20%</f>
        <v>35.558</v>
      </c>
      <c r="R89" s="13">
        <f>O89-P89</f>
        <v>182.21</v>
      </c>
      <c r="S89" s="1" t="s">
        <v>71</v>
      </c>
      <c r="T89" s="1" t="s">
        <v>72</v>
      </c>
      <c r="U89" s="1"/>
      <c r="V89" s="1" t="s">
        <v>73</v>
      </c>
      <c r="W89" s="1" t="s">
        <v>74</v>
      </c>
      <c r="X89" s="1" t="s">
        <v>622</v>
      </c>
      <c r="Y89" s="1" t="s">
        <v>623</v>
      </c>
      <c r="Z89" s="1" t="s">
        <v>77</v>
      </c>
      <c r="AA89" s="1" t="s">
        <v>78</v>
      </c>
      <c r="AB89" s="1" t="s">
        <v>79</v>
      </c>
      <c r="AC89" s="1"/>
      <c r="AD89" s="1" t="s">
        <v>624</v>
      </c>
      <c r="AE89" s="1" t="s">
        <v>625</v>
      </c>
      <c r="AF89" s="1" t="s">
        <v>626</v>
      </c>
      <c r="AG89" s="1" t="s">
        <v>176</v>
      </c>
      <c r="AH89" s="1" t="s">
        <v>84</v>
      </c>
    </row>
    <row r="90" spans="1:34">
      <c r="A90" s="1" t="s">
        <v>1031</v>
      </c>
      <c r="B90" s="1" t="s">
        <v>1032</v>
      </c>
      <c r="C90" s="1" t="s">
        <v>1033</v>
      </c>
      <c r="D90" s="1" t="s">
        <v>616</v>
      </c>
      <c r="E90" s="1" t="s">
        <v>65</v>
      </c>
      <c r="F90" s="1" t="s">
        <v>617</v>
      </c>
      <c r="G90" s="1" t="s">
        <v>180</v>
      </c>
      <c r="H90" s="1" t="s">
        <v>630</v>
      </c>
      <c r="I90" s="1" t="s">
        <v>631</v>
      </c>
      <c r="J90" s="1" t="s">
        <v>620</v>
      </c>
      <c r="K90" s="1" t="s">
        <v>632</v>
      </c>
      <c r="L90" s="1"/>
      <c r="M90" s="1">
        <v>1</v>
      </c>
      <c r="N90" s="13">
        <v>670</v>
      </c>
      <c r="O90" s="13">
        <f>M90*N90</f>
        <v>670</v>
      </c>
      <c r="P90" s="13">
        <v>400.9</v>
      </c>
      <c r="Q90" s="13">
        <f>P90*20%</f>
        <v>80.180000000000007</v>
      </c>
      <c r="R90" s="13">
        <f>O90-P90</f>
        <v>269.10000000000002</v>
      </c>
      <c r="S90" s="1" t="s">
        <v>71</v>
      </c>
      <c r="T90" s="1" t="s">
        <v>72</v>
      </c>
      <c r="U90" s="1"/>
      <c r="V90" s="1" t="s">
        <v>73</v>
      </c>
      <c r="W90" s="1" t="s">
        <v>74</v>
      </c>
      <c r="X90" s="1" t="s">
        <v>622</v>
      </c>
      <c r="Y90" s="1" t="s">
        <v>623</v>
      </c>
      <c r="Z90" s="1" t="s">
        <v>77</v>
      </c>
      <c r="AA90" s="1" t="s">
        <v>78</v>
      </c>
      <c r="AB90" s="1" t="s">
        <v>79</v>
      </c>
      <c r="AC90" s="1"/>
      <c r="AD90" s="1" t="s">
        <v>624</v>
      </c>
      <c r="AE90" s="1" t="s">
        <v>633</v>
      </c>
      <c r="AF90" s="1" t="s">
        <v>626</v>
      </c>
      <c r="AG90" s="1" t="s">
        <v>184</v>
      </c>
      <c r="AH90" s="1" t="s">
        <v>84</v>
      </c>
    </row>
    <row r="91" spans="1:34">
      <c r="A91" s="1" t="s">
        <v>1034</v>
      </c>
      <c r="B91" s="1" t="s">
        <v>1035</v>
      </c>
      <c r="C91" s="1" t="s">
        <v>1036</v>
      </c>
      <c r="D91" s="1" t="s">
        <v>616</v>
      </c>
      <c r="E91" s="1" t="s">
        <v>65</v>
      </c>
      <c r="F91" s="1" t="s">
        <v>617</v>
      </c>
      <c r="G91" s="1" t="s">
        <v>188</v>
      </c>
      <c r="H91" s="1" t="s">
        <v>637</v>
      </c>
      <c r="I91" s="1" t="s">
        <v>638</v>
      </c>
      <c r="J91" s="1" t="s">
        <v>620</v>
      </c>
      <c r="K91" s="1" t="s">
        <v>639</v>
      </c>
      <c r="L91" s="1"/>
      <c r="M91" s="1">
        <v>1</v>
      </c>
      <c r="N91" s="13">
        <v>1280</v>
      </c>
      <c r="O91" s="13">
        <f>M91*N91</f>
        <v>1280</v>
      </c>
      <c r="P91" s="13">
        <v>775.44</v>
      </c>
      <c r="Q91" s="13">
        <f>P91*20%</f>
        <v>155.08800000000002</v>
      </c>
      <c r="R91" s="13">
        <f>O91-P91</f>
        <v>504.55999999999995</v>
      </c>
      <c r="S91" s="1" t="s">
        <v>71</v>
      </c>
      <c r="T91" s="1" t="s">
        <v>72</v>
      </c>
      <c r="U91" s="1"/>
      <c r="V91" s="1" t="s">
        <v>73</v>
      </c>
      <c r="W91" s="1" t="s">
        <v>74</v>
      </c>
      <c r="X91" s="1" t="s">
        <v>622</v>
      </c>
      <c r="Y91" s="1" t="s">
        <v>623</v>
      </c>
      <c r="Z91" s="1" t="s">
        <v>354</v>
      </c>
      <c r="AA91" s="1" t="s">
        <v>355</v>
      </c>
      <c r="AB91" s="1" t="s">
        <v>322</v>
      </c>
      <c r="AC91" s="1" t="s">
        <v>1037</v>
      </c>
      <c r="AD91" s="1" t="s">
        <v>624</v>
      </c>
      <c r="AE91" s="1" t="s">
        <v>640</v>
      </c>
      <c r="AF91" s="1" t="s">
        <v>626</v>
      </c>
      <c r="AG91" s="1" t="s">
        <v>194</v>
      </c>
      <c r="AH91" s="1" t="s">
        <v>84</v>
      </c>
    </row>
    <row r="92" spans="1:34">
      <c r="A92" s="1" t="s">
        <v>1038</v>
      </c>
      <c r="B92" s="1" t="s">
        <v>1039</v>
      </c>
      <c r="C92" s="1" t="s">
        <v>1040</v>
      </c>
      <c r="D92" s="1" t="s">
        <v>616</v>
      </c>
      <c r="E92" s="1" t="s">
        <v>65</v>
      </c>
      <c r="F92" s="1" t="s">
        <v>617</v>
      </c>
      <c r="G92" s="1" t="s">
        <v>199</v>
      </c>
      <c r="H92" s="1" t="s">
        <v>644</v>
      </c>
      <c r="I92" s="1" t="s">
        <v>645</v>
      </c>
      <c r="J92" s="1" t="s">
        <v>620</v>
      </c>
      <c r="K92" s="1" t="s">
        <v>646</v>
      </c>
      <c r="L92" s="1"/>
      <c r="M92" s="1">
        <v>1</v>
      </c>
      <c r="N92" s="13">
        <v>2350</v>
      </c>
      <c r="O92" s="13">
        <f>M92*N92</f>
        <v>2350</v>
      </c>
      <c r="P92" s="13">
        <v>1282.55</v>
      </c>
      <c r="Q92" s="13">
        <f>P92*20%</f>
        <v>256.51</v>
      </c>
      <c r="R92" s="13">
        <f>O92-P92</f>
        <v>1067.45</v>
      </c>
      <c r="S92" s="1" t="s">
        <v>71</v>
      </c>
      <c r="T92" s="1" t="s">
        <v>72</v>
      </c>
      <c r="U92" s="1"/>
      <c r="V92" s="1" t="s">
        <v>73</v>
      </c>
      <c r="W92" s="1" t="s">
        <v>74</v>
      </c>
      <c r="X92" s="1" t="s">
        <v>622</v>
      </c>
      <c r="Y92" s="1" t="s">
        <v>623</v>
      </c>
      <c r="Z92" s="1" t="s">
        <v>77</v>
      </c>
      <c r="AA92" s="1" t="s">
        <v>78</v>
      </c>
      <c r="AB92" s="1" t="s">
        <v>79</v>
      </c>
      <c r="AC92" s="1"/>
      <c r="AD92" s="1" t="s">
        <v>624</v>
      </c>
      <c r="AE92" s="1" t="s">
        <v>240</v>
      </c>
      <c r="AF92" s="1" t="s">
        <v>626</v>
      </c>
      <c r="AG92" s="1" t="s">
        <v>208</v>
      </c>
      <c r="AH92" s="1" t="s">
        <v>84</v>
      </c>
    </row>
    <row r="93" spans="1:34">
      <c r="A93" s="1" t="s">
        <v>1041</v>
      </c>
      <c r="B93" s="1" t="s">
        <v>1042</v>
      </c>
      <c r="C93" s="1" t="s">
        <v>1043</v>
      </c>
      <c r="D93" s="1" t="s">
        <v>616</v>
      </c>
      <c r="E93" s="1" t="s">
        <v>65</v>
      </c>
      <c r="F93" s="1" t="s">
        <v>617</v>
      </c>
      <c r="G93" s="1" t="s">
        <v>212</v>
      </c>
      <c r="H93" s="1" t="s">
        <v>650</v>
      </c>
      <c r="I93" s="1" t="s">
        <v>651</v>
      </c>
      <c r="J93" s="1" t="s">
        <v>620</v>
      </c>
      <c r="K93" s="1" t="s">
        <v>652</v>
      </c>
      <c r="L93" s="1"/>
      <c r="M93" s="1">
        <v>1</v>
      </c>
      <c r="N93" s="13">
        <v>4300</v>
      </c>
      <c r="O93" s="13">
        <f>M93*N93</f>
        <v>4300</v>
      </c>
      <c r="P93" s="13">
        <v>2558.94</v>
      </c>
      <c r="Q93" s="13">
        <f>P93*20%</f>
        <v>511.78800000000001</v>
      </c>
      <c r="R93" s="13">
        <f>O93-P93</f>
        <v>1741.06</v>
      </c>
      <c r="S93" s="1" t="s">
        <v>71</v>
      </c>
      <c r="T93" s="1" t="s">
        <v>72</v>
      </c>
      <c r="U93" s="1"/>
      <c r="V93" s="1" t="s">
        <v>73</v>
      </c>
      <c r="W93" s="1" t="s">
        <v>74</v>
      </c>
      <c r="X93" s="1" t="s">
        <v>622</v>
      </c>
      <c r="Y93" s="1" t="s">
        <v>623</v>
      </c>
      <c r="Z93" s="1" t="s">
        <v>77</v>
      </c>
      <c r="AA93" s="1" t="s">
        <v>78</v>
      </c>
      <c r="AB93" s="1" t="s">
        <v>79</v>
      </c>
      <c r="AC93" s="1"/>
      <c r="AD93" s="1" t="s">
        <v>624</v>
      </c>
      <c r="AE93" s="1" t="s">
        <v>261</v>
      </c>
      <c r="AF93" s="1" t="s">
        <v>626</v>
      </c>
      <c r="AG93" s="1" t="s">
        <v>218</v>
      </c>
      <c r="AH93" s="1" t="s">
        <v>84</v>
      </c>
    </row>
    <row r="94" spans="1:34">
      <c r="A94" s="1" t="s">
        <v>1044</v>
      </c>
      <c r="B94" s="1" t="s">
        <v>1045</v>
      </c>
      <c r="C94" s="1" t="s">
        <v>1046</v>
      </c>
      <c r="D94" s="1" t="s">
        <v>616</v>
      </c>
      <c r="E94" s="1" t="s">
        <v>65</v>
      </c>
      <c r="F94" s="1" t="s">
        <v>656</v>
      </c>
      <c r="G94" s="1" t="s">
        <v>222</v>
      </c>
      <c r="H94" s="1" t="s">
        <v>657</v>
      </c>
      <c r="I94" s="1" t="s">
        <v>658</v>
      </c>
      <c r="J94" s="1" t="s">
        <v>659</v>
      </c>
      <c r="K94" s="1" t="s">
        <v>660</v>
      </c>
      <c r="L94" s="1"/>
      <c r="M94" s="1">
        <v>1</v>
      </c>
      <c r="N94" s="13">
        <v>215</v>
      </c>
      <c r="O94" s="13">
        <f>M94*N94</f>
        <v>215</v>
      </c>
      <c r="P94" s="13">
        <v>124.02</v>
      </c>
      <c r="Q94" s="13">
        <f>P94*20%</f>
        <v>24.804000000000002</v>
      </c>
      <c r="R94" s="13">
        <f>O94-P94</f>
        <v>90.98</v>
      </c>
      <c r="S94" s="1" t="s">
        <v>71</v>
      </c>
      <c r="T94" s="1" t="s">
        <v>72</v>
      </c>
      <c r="U94" s="1"/>
      <c r="V94" s="1" t="s">
        <v>73</v>
      </c>
      <c r="W94" s="1" t="s">
        <v>74</v>
      </c>
      <c r="X94" s="1" t="s">
        <v>661</v>
      </c>
      <c r="Y94" s="1" t="s">
        <v>662</v>
      </c>
      <c r="Z94" s="1" t="s">
        <v>77</v>
      </c>
      <c r="AA94" s="1" t="s">
        <v>78</v>
      </c>
      <c r="AB94" s="1" t="s">
        <v>79</v>
      </c>
      <c r="AC94" s="1"/>
      <c r="AD94" s="1" t="s">
        <v>663</v>
      </c>
      <c r="AE94" s="1" t="s">
        <v>664</v>
      </c>
      <c r="AF94" s="1" t="s">
        <v>626</v>
      </c>
      <c r="AG94" s="1" t="s">
        <v>228</v>
      </c>
      <c r="AH94" s="1" t="s">
        <v>84</v>
      </c>
    </row>
    <row r="95" spans="1:34">
      <c r="A95" s="1" t="s">
        <v>1047</v>
      </c>
      <c r="B95" s="1" t="s">
        <v>1048</v>
      </c>
      <c r="C95" s="1" t="s">
        <v>1049</v>
      </c>
      <c r="D95" s="1" t="s">
        <v>616</v>
      </c>
      <c r="E95" s="1" t="s">
        <v>65</v>
      </c>
      <c r="F95" s="1" t="s">
        <v>656</v>
      </c>
      <c r="G95" s="1" t="s">
        <v>233</v>
      </c>
      <c r="H95" s="1" t="s">
        <v>668</v>
      </c>
      <c r="I95" s="1" t="s">
        <v>669</v>
      </c>
      <c r="J95" s="1" t="s">
        <v>659</v>
      </c>
      <c r="K95" s="1" t="s">
        <v>670</v>
      </c>
      <c r="L95" s="1"/>
      <c r="M95" s="1">
        <v>1</v>
      </c>
      <c r="N95" s="13">
        <v>315</v>
      </c>
      <c r="O95" s="13">
        <f>M95*N95</f>
        <v>315</v>
      </c>
      <c r="P95" s="13">
        <v>220.63</v>
      </c>
      <c r="Q95" s="13">
        <f>P95*20%</f>
        <v>44.126000000000005</v>
      </c>
      <c r="R95" s="13">
        <f>O95-P95</f>
        <v>94.37</v>
      </c>
      <c r="S95" s="1" t="s">
        <v>71</v>
      </c>
      <c r="T95" s="1" t="s">
        <v>72</v>
      </c>
      <c r="U95" s="1"/>
      <c r="V95" s="1" t="s">
        <v>73</v>
      </c>
      <c r="W95" s="1" t="s">
        <v>74</v>
      </c>
      <c r="X95" s="1" t="s">
        <v>661</v>
      </c>
      <c r="Y95" s="1" t="s">
        <v>662</v>
      </c>
      <c r="Z95" s="1" t="s">
        <v>77</v>
      </c>
      <c r="AA95" s="1" t="s">
        <v>78</v>
      </c>
      <c r="AB95" s="1" t="s">
        <v>79</v>
      </c>
      <c r="AC95" s="1"/>
      <c r="AD95" s="1" t="s">
        <v>663</v>
      </c>
      <c r="AE95" s="1" t="s">
        <v>217</v>
      </c>
      <c r="AF95" s="1" t="s">
        <v>626</v>
      </c>
      <c r="AG95" s="1" t="s">
        <v>241</v>
      </c>
      <c r="AH95" s="1" t="s">
        <v>84</v>
      </c>
    </row>
    <row r="96" spans="1:34">
      <c r="A96" s="1" t="s">
        <v>1050</v>
      </c>
      <c r="B96" s="1" t="s">
        <v>1051</v>
      </c>
      <c r="C96" s="1" t="s">
        <v>1052</v>
      </c>
      <c r="D96" s="1" t="s">
        <v>616</v>
      </c>
      <c r="E96" s="1" t="s">
        <v>65</v>
      </c>
      <c r="F96" s="1" t="s">
        <v>656</v>
      </c>
      <c r="G96" s="1" t="s">
        <v>245</v>
      </c>
      <c r="H96" s="1" t="s">
        <v>674</v>
      </c>
      <c r="I96" s="1" t="s">
        <v>675</v>
      </c>
      <c r="J96" s="1" t="s">
        <v>659</v>
      </c>
      <c r="K96" s="1" t="s">
        <v>676</v>
      </c>
      <c r="L96" s="1"/>
      <c r="M96" s="1">
        <v>1</v>
      </c>
      <c r="N96" s="13">
        <v>410</v>
      </c>
      <c r="O96" s="13">
        <f>M96*N96</f>
        <v>410</v>
      </c>
      <c r="P96" s="13">
        <v>197.32</v>
      </c>
      <c r="Q96" s="13">
        <f>P96*20%</f>
        <v>39.463999999999999</v>
      </c>
      <c r="R96" s="13">
        <f>O96-P96</f>
        <v>212.68</v>
      </c>
      <c r="S96" s="1" t="s">
        <v>71</v>
      </c>
      <c r="T96" s="1" t="s">
        <v>72</v>
      </c>
      <c r="U96" s="1"/>
      <c r="V96" s="1" t="s">
        <v>73</v>
      </c>
      <c r="W96" s="1" t="s">
        <v>74</v>
      </c>
      <c r="X96" s="1" t="s">
        <v>661</v>
      </c>
      <c r="Y96" s="1" t="s">
        <v>662</v>
      </c>
      <c r="Z96" s="1" t="s">
        <v>77</v>
      </c>
      <c r="AA96" s="1" t="s">
        <v>78</v>
      </c>
      <c r="AB96" s="1" t="s">
        <v>322</v>
      </c>
      <c r="AC96" s="1" t="s">
        <v>1053</v>
      </c>
      <c r="AD96" s="1" t="s">
        <v>663</v>
      </c>
      <c r="AE96" s="1" t="s">
        <v>677</v>
      </c>
      <c r="AF96" s="1" t="s">
        <v>626</v>
      </c>
      <c r="AG96" s="1" t="s">
        <v>250</v>
      </c>
      <c r="AH96" s="1" t="s">
        <v>84</v>
      </c>
    </row>
    <row r="97" spans="1:34">
      <c r="A97" s="1" t="s">
        <v>1054</v>
      </c>
      <c r="B97" s="1" t="s">
        <v>1055</v>
      </c>
      <c r="C97" s="1" t="s">
        <v>1056</v>
      </c>
      <c r="D97" s="1" t="s">
        <v>616</v>
      </c>
      <c r="E97" s="1" t="s">
        <v>65</v>
      </c>
      <c r="F97" s="1" t="s">
        <v>656</v>
      </c>
      <c r="G97" s="1" t="s">
        <v>255</v>
      </c>
      <c r="H97" s="1" t="s">
        <v>681</v>
      </c>
      <c r="I97" s="1" t="s">
        <v>682</v>
      </c>
      <c r="J97" s="1" t="s">
        <v>659</v>
      </c>
      <c r="K97" s="1" t="s">
        <v>683</v>
      </c>
      <c r="L97" s="1"/>
      <c r="M97" s="1">
        <v>1</v>
      </c>
      <c r="N97" s="13">
        <v>570</v>
      </c>
      <c r="O97" s="13">
        <f>M97*N97</f>
        <v>570</v>
      </c>
      <c r="P97" s="13">
        <v>361.87</v>
      </c>
      <c r="Q97" s="13">
        <f>P97*20%</f>
        <v>72.374000000000009</v>
      </c>
      <c r="R97" s="13">
        <f>O97-P97</f>
        <v>208.13</v>
      </c>
      <c r="S97" s="1" t="s">
        <v>71</v>
      </c>
      <c r="T97" s="1" t="s">
        <v>72</v>
      </c>
      <c r="U97" s="1"/>
      <c r="V97" s="1" t="s">
        <v>73</v>
      </c>
      <c r="W97" s="1" t="s">
        <v>74</v>
      </c>
      <c r="X97" s="1" t="s">
        <v>661</v>
      </c>
      <c r="Y97" s="1" t="s">
        <v>662</v>
      </c>
      <c r="Z97" s="1" t="s">
        <v>77</v>
      </c>
      <c r="AA97" s="1" t="s">
        <v>78</v>
      </c>
      <c r="AB97" s="1" t="s">
        <v>79</v>
      </c>
      <c r="AC97" s="1"/>
      <c r="AD97" s="1" t="s">
        <v>663</v>
      </c>
      <c r="AE97" s="1" t="s">
        <v>684</v>
      </c>
      <c r="AF97" s="1" t="s">
        <v>626</v>
      </c>
      <c r="AG97" s="1" t="s">
        <v>262</v>
      </c>
      <c r="AH97" s="1" t="s">
        <v>84</v>
      </c>
    </row>
    <row r="98" spans="1:34">
      <c r="A98" s="1" t="s">
        <v>1057</v>
      </c>
      <c r="B98" s="1" t="s">
        <v>1058</v>
      </c>
      <c r="C98" s="1" t="s">
        <v>1059</v>
      </c>
      <c r="D98" s="1" t="s">
        <v>616</v>
      </c>
      <c r="E98" s="1" t="s">
        <v>65</v>
      </c>
      <c r="F98" s="1" t="s">
        <v>232</v>
      </c>
      <c r="G98" s="1" t="s">
        <v>267</v>
      </c>
      <c r="H98" s="1" t="s">
        <v>688</v>
      </c>
      <c r="I98" s="1" t="s">
        <v>235</v>
      </c>
      <c r="J98" s="1" t="s">
        <v>236</v>
      </c>
      <c r="K98" s="1" t="s">
        <v>237</v>
      </c>
      <c r="L98" s="1"/>
      <c r="M98" s="1">
        <v>1</v>
      </c>
      <c r="N98" s="13">
        <v>185</v>
      </c>
      <c r="O98" s="13">
        <f>M98*N98</f>
        <v>185</v>
      </c>
      <c r="P98" s="13">
        <v>90.95</v>
      </c>
      <c r="Q98" s="13">
        <f>P98*20%</f>
        <v>18.190000000000001</v>
      </c>
      <c r="R98" s="13">
        <f>O98-P98</f>
        <v>94.05</v>
      </c>
      <c r="S98" s="1" t="s">
        <v>71</v>
      </c>
      <c r="T98" s="1" t="s">
        <v>72</v>
      </c>
      <c r="U98" s="1"/>
      <c r="V98" s="1" t="s">
        <v>73</v>
      </c>
      <c r="W98" s="1" t="s">
        <v>74</v>
      </c>
      <c r="X98" s="1" t="s">
        <v>238</v>
      </c>
      <c r="Y98" s="1" t="s">
        <v>239</v>
      </c>
      <c r="Z98" s="1" t="s">
        <v>77</v>
      </c>
      <c r="AA98" s="1" t="s">
        <v>78</v>
      </c>
      <c r="AB98" s="1" t="s">
        <v>79</v>
      </c>
      <c r="AC98" s="1"/>
      <c r="AD98" s="1" t="s">
        <v>206</v>
      </c>
      <c r="AE98" s="1" t="s">
        <v>689</v>
      </c>
      <c r="AF98" s="1" t="s">
        <v>626</v>
      </c>
      <c r="AG98" s="1" t="s">
        <v>274</v>
      </c>
      <c r="AH98" s="1" t="s">
        <v>84</v>
      </c>
    </row>
    <row r="99" spans="1:34">
      <c r="A99" s="1" t="s">
        <v>1060</v>
      </c>
      <c r="B99" s="1" t="s">
        <v>1061</v>
      </c>
      <c r="C99" s="1" t="s">
        <v>1062</v>
      </c>
      <c r="D99" s="1" t="s">
        <v>616</v>
      </c>
      <c r="E99" s="1" t="s">
        <v>65</v>
      </c>
      <c r="F99" s="1" t="s">
        <v>232</v>
      </c>
      <c r="G99" s="1" t="s">
        <v>279</v>
      </c>
      <c r="H99" s="1" t="s">
        <v>693</v>
      </c>
      <c r="I99" s="1" t="s">
        <v>694</v>
      </c>
      <c r="J99" s="1" t="s">
        <v>695</v>
      </c>
      <c r="K99" s="1" t="s">
        <v>696</v>
      </c>
      <c r="L99" s="1"/>
      <c r="M99" s="1">
        <v>1</v>
      </c>
      <c r="N99" s="13">
        <v>1900</v>
      </c>
      <c r="O99" s="13">
        <f>M99*N99</f>
        <v>1900</v>
      </c>
      <c r="P99" s="13">
        <v>1023.6</v>
      </c>
      <c r="Q99" s="13">
        <f>P99*20%</f>
        <v>204.72000000000003</v>
      </c>
      <c r="R99" s="13">
        <f>O99-P99</f>
        <v>876.4</v>
      </c>
      <c r="S99" s="1" t="s">
        <v>71</v>
      </c>
      <c r="T99" s="1" t="s">
        <v>72</v>
      </c>
      <c r="U99" s="1" t="s">
        <v>1063</v>
      </c>
      <c r="V99" s="1" t="s">
        <v>73</v>
      </c>
      <c r="W99" s="1" t="s">
        <v>74</v>
      </c>
      <c r="X99" s="1" t="s">
        <v>238</v>
      </c>
      <c r="Y99" s="1" t="s">
        <v>239</v>
      </c>
      <c r="Z99" s="1" t="s">
        <v>77</v>
      </c>
      <c r="AA99" s="1" t="s">
        <v>78</v>
      </c>
      <c r="AB99" s="1" t="s">
        <v>79</v>
      </c>
      <c r="AC99" s="1"/>
      <c r="AD99" s="1" t="s">
        <v>698</v>
      </c>
      <c r="AE99" s="1" t="s">
        <v>633</v>
      </c>
      <c r="AF99" s="1" t="s">
        <v>626</v>
      </c>
      <c r="AG99" s="1" t="s">
        <v>289</v>
      </c>
      <c r="AH99" s="1" t="s">
        <v>84</v>
      </c>
    </row>
    <row r="100" spans="1:34">
      <c r="A100" s="1" t="s">
        <v>1064</v>
      </c>
      <c r="B100" s="1" t="s">
        <v>1065</v>
      </c>
      <c r="C100" s="1" t="s">
        <v>1066</v>
      </c>
      <c r="D100" s="1" t="s">
        <v>616</v>
      </c>
      <c r="E100" s="1" t="s">
        <v>65</v>
      </c>
      <c r="F100" s="1" t="s">
        <v>232</v>
      </c>
      <c r="G100" s="1" t="s">
        <v>293</v>
      </c>
      <c r="H100" s="1" t="s">
        <v>702</v>
      </c>
      <c r="I100" s="1" t="s">
        <v>703</v>
      </c>
      <c r="J100" s="1" t="s">
        <v>695</v>
      </c>
      <c r="K100" s="1" t="s">
        <v>704</v>
      </c>
      <c r="L100" s="1"/>
      <c r="M100" s="1">
        <v>1</v>
      </c>
      <c r="N100" s="13">
        <v>2500</v>
      </c>
      <c r="O100" s="13">
        <f>M100*N100</f>
        <v>2500</v>
      </c>
      <c r="P100" s="13">
        <v>1553.77</v>
      </c>
      <c r="Q100" s="13">
        <f>P100*20%</f>
        <v>310.75400000000002</v>
      </c>
      <c r="R100" s="13">
        <f>O100-P100</f>
        <v>946.23</v>
      </c>
      <c r="S100" s="1" t="s">
        <v>71</v>
      </c>
      <c r="T100" s="1" t="s">
        <v>72</v>
      </c>
      <c r="U100" s="1" t="s">
        <v>1067</v>
      </c>
      <c r="V100" s="1" t="s">
        <v>73</v>
      </c>
      <c r="W100" s="1" t="s">
        <v>74</v>
      </c>
      <c r="X100" s="1" t="s">
        <v>238</v>
      </c>
      <c r="Y100" s="1" t="s">
        <v>239</v>
      </c>
      <c r="Z100" s="1" t="s">
        <v>77</v>
      </c>
      <c r="AA100" s="1" t="s">
        <v>78</v>
      </c>
      <c r="AB100" s="1" t="s">
        <v>79</v>
      </c>
      <c r="AC100" s="1"/>
      <c r="AD100" s="1" t="s">
        <v>698</v>
      </c>
      <c r="AE100" s="1" t="s">
        <v>706</v>
      </c>
      <c r="AF100" s="1" t="s">
        <v>626</v>
      </c>
      <c r="AG100" s="1" t="s">
        <v>299</v>
      </c>
      <c r="AH100" s="1" t="s">
        <v>84</v>
      </c>
    </row>
    <row r="101" spans="1:34">
      <c r="A101" s="1" t="s">
        <v>1068</v>
      </c>
      <c r="B101" s="1" t="s">
        <v>1069</v>
      </c>
      <c r="C101" s="1" t="s">
        <v>1070</v>
      </c>
      <c r="D101" s="1" t="s">
        <v>616</v>
      </c>
      <c r="E101" s="1" t="s">
        <v>65</v>
      </c>
      <c r="F101" s="1" t="s">
        <v>232</v>
      </c>
      <c r="G101" s="1" t="s">
        <v>304</v>
      </c>
      <c r="H101" s="1" t="s">
        <v>710</v>
      </c>
      <c r="I101" s="1" t="s">
        <v>711</v>
      </c>
      <c r="J101" s="1" t="s">
        <v>712</v>
      </c>
      <c r="K101" s="1" t="s">
        <v>713</v>
      </c>
      <c r="L101" s="1"/>
      <c r="M101" s="1">
        <v>1</v>
      </c>
      <c r="N101" s="13">
        <v>3250</v>
      </c>
      <c r="O101" s="13">
        <f>M101*N101</f>
        <v>3250</v>
      </c>
      <c r="P101" s="13">
        <v>1657.5</v>
      </c>
      <c r="Q101" s="13">
        <f>P101*20%</f>
        <v>331.5</v>
      </c>
      <c r="R101" s="13">
        <f>O101-P101</f>
        <v>1592.5</v>
      </c>
      <c r="S101" s="1" t="s">
        <v>71</v>
      </c>
      <c r="T101" s="1" t="s">
        <v>72</v>
      </c>
      <c r="U101" s="1" t="s">
        <v>1071</v>
      </c>
      <c r="V101" s="1" t="s">
        <v>73</v>
      </c>
      <c r="W101" s="1" t="s">
        <v>74</v>
      </c>
      <c r="X101" s="1" t="s">
        <v>238</v>
      </c>
      <c r="Y101" s="1" t="s">
        <v>239</v>
      </c>
      <c r="Z101" s="1" t="s">
        <v>77</v>
      </c>
      <c r="AA101" s="1" t="s">
        <v>78</v>
      </c>
      <c r="AB101" s="1" t="s">
        <v>79</v>
      </c>
      <c r="AC101" s="1"/>
      <c r="AD101" s="1" t="s">
        <v>698</v>
      </c>
      <c r="AE101" s="1" t="s">
        <v>715</v>
      </c>
      <c r="AF101" s="1" t="s">
        <v>626</v>
      </c>
      <c r="AG101" s="1" t="s">
        <v>311</v>
      </c>
      <c r="AH101" s="1" t="s">
        <v>84</v>
      </c>
    </row>
    <row r="102" spans="1:34">
      <c r="A102" s="1" t="s">
        <v>1072</v>
      </c>
      <c r="B102" s="1" t="s">
        <v>1073</v>
      </c>
      <c r="C102" s="1" t="s">
        <v>1074</v>
      </c>
      <c r="D102" s="1" t="s">
        <v>616</v>
      </c>
      <c r="E102" s="1" t="s">
        <v>65</v>
      </c>
      <c r="F102" s="1" t="s">
        <v>232</v>
      </c>
      <c r="G102" s="1" t="s">
        <v>316</v>
      </c>
      <c r="H102" s="1" t="s">
        <v>719</v>
      </c>
      <c r="I102" s="1" t="s">
        <v>720</v>
      </c>
      <c r="J102" s="1" t="s">
        <v>721</v>
      </c>
      <c r="K102" s="1" t="s">
        <v>722</v>
      </c>
      <c r="L102" s="1"/>
      <c r="M102" s="1">
        <v>1</v>
      </c>
      <c r="N102" s="13">
        <v>875</v>
      </c>
      <c r="O102" s="13">
        <f>M102*N102</f>
        <v>875</v>
      </c>
      <c r="P102" s="13">
        <v>450.5</v>
      </c>
      <c r="Q102" s="13">
        <f>P102*20%</f>
        <v>90.100000000000009</v>
      </c>
      <c r="R102" s="13">
        <f>O102-P102</f>
        <v>424.5</v>
      </c>
      <c r="S102" s="1" t="s">
        <v>71</v>
      </c>
      <c r="T102" s="1" t="s">
        <v>72</v>
      </c>
      <c r="U102" s="1"/>
      <c r="V102" s="1" t="s">
        <v>73</v>
      </c>
      <c r="W102" s="1" t="s">
        <v>74</v>
      </c>
      <c r="X102" s="1" t="s">
        <v>238</v>
      </c>
      <c r="Y102" s="1" t="s">
        <v>239</v>
      </c>
      <c r="Z102" s="1" t="s">
        <v>77</v>
      </c>
      <c r="AA102" s="1" t="s">
        <v>78</v>
      </c>
      <c r="AB102" s="1" t="s">
        <v>79</v>
      </c>
      <c r="AC102" s="1"/>
      <c r="AD102" s="1" t="s">
        <v>206</v>
      </c>
      <c r="AE102" s="1" t="s">
        <v>723</v>
      </c>
      <c r="AF102" s="1" t="s">
        <v>626</v>
      </c>
      <c r="AG102" s="1" t="s">
        <v>325</v>
      </c>
      <c r="AH102" s="1" t="s">
        <v>84</v>
      </c>
    </row>
    <row r="103" spans="1:34">
      <c r="A103" s="1" t="s">
        <v>1075</v>
      </c>
      <c r="B103" s="1" t="s">
        <v>1076</v>
      </c>
      <c r="C103" s="1" t="s">
        <v>1077</v>
      </c>
      <c r="D103" s="1" t="s">
        <v>616</v>
      </c>
      <c r="E103" s="1" t="s">
        <v>65</v>
      </c>
      <c r="F103" s="1" t="s">
        <v>727</v>
      </c>
      <c r="G103" s="1" t="s">
        <v>330</v>
      </c>
      <c r="H103" s="1" t="s">
        <v>728</v>
      </c>
      <c r="I103" s="1" t="s">
        <v>729</v>
      </c>
      <c r="J103" s="1" t="s">
        <v>730</v>
      </c>
      <c r="K103" s="1" t="s">
        <v>731</v>
      </c>
      <c r="L103" s="1"/>
      <c r="M103" s="1">
        <v>1</v>
      </c>
      <c r="N103" s="13">
        <v>535</v>
      </c>
      <c r="O103" s="13">
        <f>M103*N103</f>
        <v>535</v>
      </c>
      <c r="P103" s="13">
        <v>345.37</v>
      </c>
      <c r="Q103" s="13">
        <f>P103*20%</f>
        <v>69.073999999999998</v>
      </c>
      <c r="R103" s="13">
        <f>O103-P103</f>
        <v>189.63</v>
      </c>
      <c r="S103" s="1" t="s">
        <v>71</v>
      </c>
      <c r="T103" s="1" t="s">
        <v>72</v>
      </c>
      <c r="U103" s="1"/>
      <c r="V103" s="1" t="s">
        <v>73</v>
      </c>
      <c r="W103" s="1" t="s">
        <v>74</v>
      </c>
      <c r="X103" s="1" t="s">
        <v>238</v>
      </c>
      <c r="Y103" s="1" t="s">
        <v>239</v>
      </c>
      <c r="Z103" s="1" t="s">
        <v>77</v>
      </c>
      <c r="AA103" s="1" t="s">
        <v>78</v>
      </c>
      <c r="AB103" s="1" t="s">
        <v>79</v>
      </c>
      <c r="AC103" s="1"/>
      <c r="AD103" s="1" t="s">
        <v>732</v>
      </c>
      <c r="AE103" s="1" t="s">
        <v>733</v>
      </c>
      <c r="AF103" s="1" t="s">
        <v>626</v>
      </c>
      <c r="AG103" s="1" t="s">
        <v>336</v>
      </c>
      <c r="AH103" s="1" t="s">
        <v>84</v>
      </c>
    </row>
    <row r="104" spans="1:34">
      <c r="A104" s="1" t="s">
        <v>1078</v>
      </c>
      <c r="B104" s="1" t="s">
        <v>1079</v>
      </c>
      <c r="C104" s="1" t="s">
        <v>1080</v>
      </c>
      <c r="D104" s="1" t="s">
        <v>616</v>
      </c>
      <c r="E104" s="1" t="s">
        <v>65</v>
      </c>
      <c r="F104" s="1" t="s">
        <v>198</v>
      </c>
      <c r="G104" s="1" t="s">
        <v>340</v>
      </c>
      <c r="H104" s="1" t="s">
        <v>737</v>
      </c>
      <c r="I104" s="1" t="s">
        <v>201</v>
      </c>
      <c r="J104" s="1" t="s">
        <v>202</v>
      </c>
      <c r="K104" s="1" t="s">
        <v>203</v>
      </c>
      <c r="L104" s="1"/>
      <c r="M104" s="1">
        <v>1</v>
      </c>
      <c r="N104" s="13">
        <v>155</v>
      </c>
      <c r="O104" s="13">
        <f>M104*N104</f>
        <v>155</v>
      </c>
      <c r="P104" s="13">
        <v>68.47</v>
      </c>
      <c r="Q104" s="13">
        <f>P104*20%</f>
        <v>13.694000000000001</v>
      </c>
      <c r="R104" s="13">
        <f>O104-P104</f>
        <v>86.53</v>
      </c>
      <c r="S104" s="1" t="s">
        <v>71</v>
      </c>
      <c r="T104" s="1" t="s">
        <v>72</v>
      </c>
      <c r="U104" s="1"/>
      <c r="V104" s="1" t="s">
        <v>73</v>
      </c>
      <c r="W104" s="1" t="s">
        <v>74</v>
      </c>
      <c r="X104" s="1" t="s">
        <v>204</v>
      </c>
      <c r="Y104" s="1" t="s">
        <v>205</v>
      </c>
      <c r="Z104" s="1" t="s">
        <v>77</v>
      </c>
      <c r="AA104" s="1" t="s">
        <v>78</v>
      </c>
      <c r="AB104" s="1" t="s">
        <v>79</v>
      </c>
      <c r="AC104" s="1"/>
      <c r="AD104" s="1" t="s">
        <v>206</v>
      </c>
      <c r="AE104" s="1" t="s">
        <v>738</v>
      </c>
      <c r="AF104" s="1" t="s">
        <v>626</v>
      </c>
      <c r="AG104" s="1" t="s">
        <v>341</v>
      </c>
      <c r="AH104" s="1" t="s">
        <v>84</v>
      </c>
    </row>
    <row r="106" spans="1:34">
      <c r="M106" s="19" t="s">
        <v>26</v>
      </c>
      <c r="O106" s="17">
        <f>SUM(O5:O104)</f>
        <v>125390</v>
      </c>
      <c r="P106" s="17">
        <f>SUM(P5:P104)</f>
        <v>70092.5</v>
      </c>
      <c r="Q106" s="17">
        <f>SUM(Q5:Q104)</f>
        <v>14018.500000000002</v>
      </c>
      <c r="R106" s="17">
        <f>SUM(R5:R104)</f>
        <v>55297.5</v>
      </c>
    </row>
  </sheetData>
  <mergeCells count="2">
    <mergeCell ref="A2:AH2"/>
    <mergeCell ref="A1:AH1"/>
  </mergeCells>
  <conditionalFormatting sqref="AB5:AB104">
    <cfRule type="expression" dxfId="3" priority="1">
      <formula>AB5="Review"</formula>
    </cfRule>
  </conditionalFormatting>
  <conditionalFormatting sqref="Z5:Z104">
    <cfRule type="expression" dxfId="2" priority="2">
      <formula>Z5="Hold"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1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3" width="4" customWidth="1"/>
    <col min="4" max="6" width="18" customWidth="1"/>
    <col min="7" max="7" width="4" customWidth="1"/>
    <col min="8" max="10" width="18" customWidth="1"/>
    <col min="11" max="12" width="4" customWidth="1"/>
  </cols>
  <sheetData>
    <row r="1" spans="1:12" ht="27.95" customHeight="1">
      <c r="A1" s="23" t="s">
        <v>1081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30" customHeight="1">
      <c r="A2" s="25" t="s">
        <v>1082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spans="1:12">
      <c r="A4" s="27" t="s">
        <v>1083</v>
      </c>
      <c r="B4" s="29"/>
      <c r="C4" s="29"/>
      <c r="D4" s="1"/>
      <c r="E4" s="27" t="s">
        <v>1084</v>
      </c>
      <c r="F4" s="29"/>
      <c r="G4" s="29"/>
      <c r="H4" s="1"/>
      <c r="I4" s="27" t="s">
        <v>1085</v>
      </c>
      <c r="J4" s="29"/>
      <c r="K4" s="29"/>
      <c r="L4" s="1"/>
    </row>
    <row r="5" spans="1:12">
      <c r="A5" s="26">
        <f>COUNTIF('CDM Master'!AD:AD,"Active")</f>
        <v>15</v>
      </c>
      <c r="B5" s="29"/>
      <c r="C5" s="29"/>
      <c r="D5" s="1"/>
      <c r="E5" s="28">
        <f>SUM('IPD Encounter'!R5:R15)</f>
        <v>76340</v>
      </c>
      <c r="F5" s="29"/>
      <c r="G5" s="29"/>
      <c r="H5" s="1"/>
      <c r="I5" s="28">
        <f>SUM('IPD Encounter'!S5:S15)</f>
        <v>32790</v>
      </c>
      <c r="J5" s="29"/>
      <c r="K5" s="29"/>
      <c r="L5" s="1"/>
    </row>
    <row r="6" spans="1:12">
      <c r="A6" s="29"/>
      <c r="B6" s="29"/>
      <c r="C6" s="29"/>
      <c r="D6" s="1"/>
      <c r="E6" s="29"/>
      <c r="F6" s="29"/>
      <c r="G6" s="29"/>
      <c r="H6" s="1"/>
      <c r="I6" s="29"/>
      <c r="J6" s="29"/>
      <c r="K6" s="29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7" t="s">
        <v>1086</v>
      </c>
      <c r="B8" s="29"/>
      <c r="C8" s="29"/>
      <c r="D8" s="1"/>
      <c r="E8" s="27" t="s">
        <v>1087</v>
      </c>
      <c r="F8" s="29"/>
      <c r="G8" s="29"/>
      <c r="H8" s="1"/>
      <c r="I8" s="27" t="s">
        <v>1088</v>
      </c>
      <c r="J8" s="29"/>
      <c r="K8" s="29"/>
      <c r="L8" s="1"/>
    </row>
    <row r="9" spans="1:12">
      <c r="A9" s="28">
        <f>SUM('IPD Encounter'!T5:T15)</f>
        <v>6558</v>
      </c>
      <c r="B9" s="29"/>
      <c r="C9" s="29"/>
      <c r="D9" s="1"/>
      <c r="E9" s="26">
        <f>COUNTIF(Governance!O:O,"&lt;&gt;Closed")-1</f>
        <v>1048574</v>
      </c>
      <c r="F9" s="29"/>
      <c r="G9" s="29"/>
      <c r="H9" s="1"/>
      <c r="I9" s="26">
        <f>COUNTIF('Claim Edits'!L:L,"Active")</f>
        <v>6</v>
      </c>
      <c r="J9" s="29"/>
      <c r="K9" s="29"/>
      <c r="L9" s="1"/>
    </row>
    <row r="10" spans="1:12">
      <c r="A10" s="29"/>
      <c r="B10" s="29"/>
      <c r="C10" s="29"/>
      <c r="D10" s="1"/>
      <c r="E10" s="29"/>
      <c r="F10" s="29"/>
      <c r="G10" s="29"/>
      <c r="H10" s="1"/>
      <c r="I10" s="29"/>
      <c r="J10" s="29"/>
      <c r="K10" s="29"/>
      <c r="L10" s="1"/>
    </row>
    <row r="11" spans="1:1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2" t="s">
        <v>34</v>
      </c>
      <c r="B13" s="2" t="s">
        <v>1089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1" t="s">
        <v>106</v>
      </c>
      <c r="B14" s="3">
        <f>SUMIF('CDM Master'!E:E,A14,'CDM Master'!O:O)</f>
        <v>11250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1" t="s">
        <v>166</v>
      </c>
      <c r="B15" s="3">
        <f>SUMIF('CDM Master'!E:E,A15,'CDM Master'!O:O)</f>
        <v>500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 t="s">
        <v>232</v>
      </c>
      <c r="B16" s="3">
        <f>SUMIF('CDM Master'!E:E,A16,'CDM Master'!O:O)</f>
        <v>580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 t="s">
        <v>198</v>
      </c>
      <c r="B17" s="3">
        <f>SUMIF('CDM Master'!E:E,A17,'CDM Master'!O:O)</f>
        <v>150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 t="s">
        <v>278</v>
      </c>
      <c r="B18" s="3">
        <f>SUMIF('CDM Master'!E:E,A18,'CDM Master'!O:O)</f>
        <v>1000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 t="s">
        <v>136</v>
      </c>
      <c r="B19" s="3">
        <f>SUMIF('CDM Master'!E:E,A19,'CDM Master'!O:O)</f>
        <v>24000</v>
      </c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14">
    <mergeCell ref="A2:L2"/>
    <mergeCell ref="A5:C6"/>
    <mergeCell ref="A8:C8"/>
    <mergeCell ref="E5:G6"/>
    <mergeCell ref="A1:L1"/>
    <mergeCell ref="I5:K6"/>
    <mergeCell ref="E8:G8"/>
    <mergeCell ref="I9:K10"/>
    <mergeCell ref="I8:K8"/>
    <mergeCell ref="E4:G4"/>
    <mergeCell ref="A9:C10"/>
    <mergeCell ref="E9:G10"/>
    <mergeCell ref="I4:K4"/>
    <mergeCell ref="A4:C4"/>
  </mergeCells>
  <pageMargins left="0.75" right="0.75" top="1" bottom="1" header="0.5" footer="0.5"/>
  <pageSetup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19"/>
  <sheetViews>
    <sheetView showGridLines="0" zoomScale="85" workbookViewId="0">
      <pane xSplit="5" ySplit="4" topLeftCell="F5" activePane="bottomRight" state="frozen"/>
      <selection pane="bottomRight"/>
      <selection pane="bottomLeft"/>
      <selection pane="topRight"/>
    </sheetView>
  </sheetViews>
  <sheetFormatPr defaultRowHeight="15"/>
  <cols>
    <col min="1" max="1" width="11" customWidth="1"/>
    <col min="2" max="2" width="18" customWidth="1"/>
    <col min="3" max="3" width="11" customWidth="1"/>
    <col min="4" max="4" width="12" customWidth="1"/>
    <col min="5" max="5" width="22" customWidth="1"/>
    <col min="6" max="6" width="18" customWidth="1"/>
    <col min="7" max="7" width="34" customWidth="1"/>
    <col min="8" max="8" width="30" customWidth="1"/>
    <col min="9" max="9" width="16" customWidth="1"/>
    <col min="10" max="10" width="12" customWidth="1"/>
    <col min="11" max="11" width="13" customWidth="1"/>
    <col min="12" max="12" width="10" customWidth="1"/>
    <col min="13" max="13" width="19" customWidth="1"/>
    <col min="14" max="14" width="15" customWidth="1"/>
    <col min="15" max="15" width="16" customWidth="1"/>
    <col min="16" max="16" width="12" customWidth="1"/>
    <col min="17" max="17" width="11" customWidth="1"/>
    <col min="18" max="18" width="12" customWidth="1"/>
    <col min="19" max="19" width="14" customWidth="1"/>
    <col min="20" max="20" width="9" customWidth="1"/>
    <col min="21" max="21" width="22" customWidth="1"/>
    <col min="22" max="22" width="17" customWidth="1"/>
    <col min="23" max="23" width="20" customWidth="1"/>
    <col min="24" max="24" width="13" customWidth="1"/>
    <col min="25" max="25" width="10" customWidth="1"/>
    <col min="26" max="26" width="14" customWidth="1"/>
    <col min="27" max="27" width="22" customWidth="1"/>
    <col min="28" max="29" width="14" customWidth="1"/>
    <col min="30" max="30" width="11" customWidth="1"/>
    <col min="31" max="31" width="24" customWidth="1"/>
    <col min="32" max="33" width="14" customWidth="1"/>
    <col min="34" max="34" width="12" customWidth="1"/>
    <col min="35" max="35" width="30" customWidth="1"/>
  </cols>
  <sheetData>
    <row r="1" spans="1:35" ht="27.95" customHeight="1">
      <c r="A1" s="23" t="s">
        <v>1090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</row>
    <row r="2" spans="1:35" ht="30" customHeight="1">
      <c r="A2" s="25" t="s">
        <v>1091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</row>
    <row r="4" spans="1:35" ht="38.1" customHeight="1">
      <c r="A4" s="4" t="s">
        <v>1092</v>
      </c>
      <c r="B4" s="4" t="s">
        <v>1093</v>
      </c>
      <c r="C4" s="4" t="s">
        <v>1094</v>
      </c>
      <c r="D4" s="4" t="s">
        <v>1095</v>
      </c>
      <c r="E4" s="4" t="s">
        <v>34</v>
      </c>
      <c r="F4" s="4" t="s">
        <v>1096</v>
      </c>
      <c r="G4" s="4" t="s">
        <v>37</v>
      </c>
      <c r="H4" s="4" t="s">
        <v>1097</v>
      </c>
      <c r="I4" s="4" t="s">
        <v>1098</v>
      </c>
      <c r="J4" s="4" t="s">
        <v>38</v>
      </c>
      <c r="K4" s="4" t="s">
        <v>39</v>
      </c>
      <c r="L4" s="4" t="s">
        <v>40</v>
      </c>
      <c r="M4" s="4" t="s">
        <v>1099</v>
      </c>
      <c r="N4" s="4" t="s">
        <v>1100</v>
      </c>
      <c r="O4" s="4" t="s">
        <v>1101</v>
      </c>
      <c r="P4" s="4" t="s">
        <v>1102</v>
      </c>
      <c r="Q4" s="4" t="s">
        <v>1103</v>
      </c>
      <c r="R4" s="4" t="s">
        <v>1104</v>
      </c>
      <c r="S4" s="4" t="s">
        <v>1105</v>
      </c>
      <c r="T4" s="4" t="s">
        <v>1106</v>
      </c>
      <c r="U4" s="4" t="s">
        <v>51</v>
      </c>
      <c r="V4" s="4" t="s">
        <v>50</v>
      </c>
      <c r="W4" s="4" t="s">
        <v>1107</v>
      </c>
      <c r="X4" s="4" t="s">
        <v>1108</v>
      </c>
      <c r="Y4" s="4" t="s">
        <v>1109</v>
      </c>
      <c r="Z4" s="4" t="s">
        <v>1110</v>
      </c>
      <c r="AA4" s="4" t="s">
        <v>1111</v>
      </c>
      <c r="AB4" s="4" t="s">
        <v>1112</v>
      </c>
      <c r="AC4" s="4" t="s">
        <v>1113</v>
      </c>
      <c r="AD4" s="4" t="s">
        <v>1114</v>
      </c>
      <c r="AE4" s="4" t="s">
        <v>1115</v>
      </c>
      <c r="AF4" s="4" t="s">
        <v>1116</v>
      </c>
      <c r="AG4" s="4" t="s">
        <v>1117</v>
      </c>
      <c r="AH4" s="4" t="s">
        <v>1118</v>
      </c>
      <c r="AI4" s="4" t="s">
        <v>1119</v>
      </c>
    </row>
    <row r="5" spans="1:35">
      <c r="A5" s="1" t="s">
        <v>1120</v>
      </c>
      <c r="B5" s="1" t="s">
        <v>1121</v>
      </c>
      <c r="C5" s="1" t="s">
        <v>1122</v>
      </c>
      <c r="D5" s="1" t="s">
        <v>1123</v>
      </c>
      <c r="E5" s="1" t="s">
        <v>1124</v>
      </c>
      <c r="F5" s="1" t="s">
        <v>1125</v>
      </c>
      <c r="G5" s="1" t="s">
        <v>69</v>
      </c>
      <c r="H5" s="1" t="s">
        <v>1126</v>
      </c>
      <c r="I5" s="1" t="s">
        <v>66</v>
      </c>
      <c r="J5" s="1" t="s">
        <v>70</v>
      </c>
      <c r="K5" s="1"/>
      <c r="L5" s="1"/>
      <c r="M5" s="1"/>
      <c r="N5" s="1" t="s">
        <v>1127</v>
      </c>
      <c r="O5" s="5">
        <v>3500</v>
      </c>
      <c r="P5" s="5">
        <v>1200</v>
      </c>
      <c r="Q5" s="6">
        <f>IFERROR((O5-P5)/P5,0)</f>
        <v>1.9166666666666667</v>
      </c>
      <c r="R5" s="7">
        <v>1</v>
      </c>
      <c r="S5" s="1" t="s">
        <v>1128</v>
      </c>
      <c r="T5" s="1" t="s">
        <v>1122</v>
      </c>
      <c r="U5" s="1" t="s">
        <v>1129</v>
      </c>
      <c r="V5" s="1" t="s">
        <v>75</v>
      </c>
      <c r="W5" s="1" t="s">
        <v>1130</v>
      </c>
      <c r="X5" s="1" t="s">
        <v>1131</v>
      </c>
      <c r="Y5" s="1" t="s">
        <v>1132</v>
      </c>
      <c r="Z5" s="1" t="s">
        <v>1132</v>
      </c>
      <c r="AA5" s="1" t="s">
        <v>80</v>
      </c>
      <c r="AB5" s="8" t="s">
        <v>1133</v>
      </c>
      <c r="AC5" s="8"/>
      <c r="AD5" s="1" t="s">
        <v>1134</v>
      </c>
      <c r="AE5" s="1" t="s">
        <v>1135</v>
      </c>
      <c r="AF5" s="8" t="s">
        <v>1136</v>
      </c>
      <c r="AG5" s="9">
        <f>EDATE(AF5,12)</f>
        <v>46583</v>
      </c>
      <c r="AH5" s="10" t="str">
        <f ca="1">IF(AD5&lt;&gt;"Active","Inactive",IF(AG5&lt;TODAY(),"Overdue",IF(AG5&lt;=TODAY()+60,"Due Soon","Current")))</f>
        <v>Current</v>
      </c>
      <c r="AI5" s="1"/>
    </row>
    <row r="6" spans="1:35">
      <c r="A6" s="1" t="s">
        <v>1120</v>
      </c>
      <c r="B6" s="1" t="s">
        <v>1121</v>
      </c>
      <c r="C6" s="1" t="s">
        <v>1122</v>
      </c>
      <c r="D6" s="1" t="s">
        <v>1137</v>
      </c>
      <c r="E6" s="1" t="s">
        <v>96</v>
      </c>
      <c r="F6" s="1" t="s">
        <v>1138</v>
      </c>
      <c r="G6" s="1" t="s">
        <v>99</v>
      </c>
      <c r="H6" s="1" t="s">
        <v>1139</v>
      </c>
      <c r="I6" s="1" t="s">
        <v>66</v>
      </c>
      <c r="J6" s="1" t="s">
        <v>100</v>
      </c>
      <c r="K6" s="1"/>
      <c r="L6" s="1"/>
      <c r="M6" s="1"/>
      <c r="N6" s="1" t="s">
        <v>1127</v>
      </c>
      <c r="O6" s="5">
        <v>8000</v>
      </c>
      <c r="P6" s="5">
        <v>3500</v>
      </c>
      <c r="Q6" s="6">
        <f>IFERROR((O6-P6)/P6,0)</f>
        <v>1.2857142857142858</v>
      </c>
      <c r="R6" s="7">
        <v>1</v>
      </c>
      <c r="S6" s="1" t="s">
        <v>1140</v>
      </c>
      <c r="T6" s="1" t="s">
        <v>1122</v>
      </c>
      <c r="U6" s="1" t="s">
        <v>1141</v>
      </c>
      <c r="V6" s="1" t="s">
        <v>75</v>
      </c>
      <c r="W6" s="1" t="s">
        <v>1142</v>
      </c>
      <c r="X6" s="1" t="s">
        <v>1131</v>
      </c>
      <c r="Y6" s="1" t="s">
        <v>1132</v>
      </c>
      <c r="Z6" s="1" t="s">
        <v>1132</v>
      </c>
      <c r="AA6" s="1" t="s">
        <v>80</v>
      </c>
      <c r="AB6" s="8" t="s">
        <v>1133</v>
      </c>
      <c r="AC6" s="8"/>
      <c r="AD6" s="1" t="s">
        <v>1134</v>
      </c>
      <c r="AE6" s="1" t="s">
        <v>1135</v>
      </c>
      <c r="AF6" s="8" t="s">
        <v>1136</v>
      </c>
      <c r="AG6" s="9">
        <f>EDATE(AF6,12)</f>
        <v>46583</v>
      </c>
      <c r="AH6" s="10" t="str">
        <f ca="1">IF(AD6&lt;&gt;"Active","Inactive",IF(AG6&lt;TODAY(),"Overdue",IF(AG6&lt;=TODAY()+60,"Due Soon","Current")))</f>
        <v>Current</v>
      </c>
      <c r="AI6" s="1"/>
    </row>
    <row r="7" spans="1:35">
      <c r="A7" s="1" t="s">
        <v>1120</v>
      </c>
      <c r="B7" s="1" t="s">
        <v>1121</v>
      </c>
      <c r="C7" s="1" t="s">
        <v>1122</v>
      </c>
      <c r="D7" s="1" t="s">
        <v>1143</v>
      </c>
      <c r="E7" s="1" t="s">
        <v>106</v>
      </c>
      <c r="F7" s="1" t="s">
        <v>1144</v>
      </c>
      <c r="G7" s="1" t="s">
        <v>109</v>
      </c>
      <c r="H7" s="1" t="s">
        <v>1145</v>
      </c>
      <c r="I7" s="1" t="s">
        <v>1146</v>
      </c>
      <c r="J7" s="1" t="s">
        <v>110</v>
      </c>
      <c r="K7" s="1"/>
      <c r="L7" s="1"/>
      <c r="M7" s="1"/>
      <c r="N7" s="1" t="s">
        <v>1147</v>
      </c>
      <c r="O7" s="5">
        <v>10000</v>
      </c>
      <c r="P7" s="5">
        <v>4200</v>
      </c>
      <c r="Q7" s="6">
        <f>IFERROR((O7-P7)/P7,0)</f>
        <v>1.3809523809523809</v>
      </c>
      <c r="R7" s="7">
        <v>1</v>
      </c>
      <c r="S7" s="1" t="s">
        <v>1148</v>
      </c>
      <c r="T7" s="1" t="s">
        <v>1122</v>
      </c>
      <c r="U7" s="1" t="s">
        <v>112</v>
      </c>
      <c r="V7" s="1" t="s">
        <v>1149</v>
      </c>
      <c r="W7" s="1" t="s">
        <v>1150</v>
      </c>
      <c r="X7" s="1" t="s">
        <v>1131</v>
      </c>
      <c r="Y7" s="1" t="s">
        <v>1132</v>
      </c>
      <c r="Z7" s="1" t="s">
        <v>1151</v>
      </c>
      <c r="AA7" s="1" t="s">
        <v>113</v>
      </c>
      <c r="AB7" s="8" t="s">
        <v>1133</v>
      </c>
      <c r="AC7" s="8"/>
      <c r="AD7" s="1" t="s">
        <v>1134</v>
      </c>
      <c r="AE7" s="1" t="s">
        <v>1152</v>
      </c>
      <c r="AF7" s="8" t="s">
        <v>1153</v>
      </c>
      <c r="AG7" s="9">
        <f>EDATE(AF7,12)</f>
        <v>46600</v>
      </c>
      <c r="AH7" s="10" t="str">
        <f ca="1">IF(AD7&lt;&gt;"Active","Inactive",IF(AG7&lt;TODAY(),"Overdue",IF(AG7&lt;=TODAY()+60,"Due Soon","Current")))</f>
        <v>Current</v>
      </c>
      <c r="AI7" s="1"/>
    </row>
    <row r="8" spans="1:35">
      <c r="A8" s="1" t="s">
        <v>1120</v>
      </c>
      <c r="B8" s="1" t="s">
        <v>1121</v>
      </c>
      <c r="C8" s="1" t="s">
        <v>1122</v>
      </c>
      <c r="D8" s="1" t="s">
        <v>1143</v>
      </c>
      <c r="E8" s="1" t="s">
        <v>106</v>
      </c>
      <c r="F8" s="1" t="s">
        <v>119</v>
      </c>
      <c r="G8" s="1" t="s">
        <v>120</v>
      </c>
      <c r="H8" s="1" t="s">
        <v>1154</v>
      </c>
      <c r="I8" s="1" t="s">
        <v>1146</v>
      </c>
      <c r="J8" s="1" t="s">
        <v>110</v>
      </c>
      <c r="K8" s="1"/>
      <c r="L8" s="1"/>
      <c r="M8" s="1"/>
      <c r="N8" s="1" t="s">
        <v>1155</v>
      </c>
      <c r="O8" s="5">
        <v>1250</v>
      </c>
      <c r="P8" s="5">
        <v>525</v>
      </c>
      <c r="Q8" s="6">
        <f>IFERROR((O8-P8)/P8,0)</f>
        <v>1.3809523809523809</v>
      </c>
      <c r="R8" s="7">
        <v>1</v>
      </c>
      <c r="S8" s="1" t="s">
        <v>1148</v>
      </c>
      <c r="T8" s="1" t="s">
        <v>1122</v>
      </c>
      <c r="U8" s="1" t="s">
        <v>112</v>
      </c>
      <c r="V8" s="1" t="s">
        <v>1149</v>
      </c>
      <c r="W8" s="1" t="s">
        <v>1156</v>
      </c>
      <c r="X8" s="1" t="s">
        <v>1131</v>
      </c>
      <c r="Y8" s="1" t="s">
        <v>1132</v>
      </c>
      <c r="Z8" s="1" t="s">
        <v>1151</v>
      </c>
      <c r="AA8" s="1" t="s">
        <v>113</v>
      </c>
      <c r="AB8" s="8" t="s">
        <v>1133</v>
      </c>
      <c r="AC8" s="8"/>
      <c r="AD8" s="1" t="s">
        <v>1134</v>
      </c>
      <c r="AE8" s="1" t="s">
        <v>1152</v>
      </c>
      <c r="AF8" s="8" t="s">
        <v>1153</v>
      </c>
      <c r="AG8" s="9">
        <f>EDATE(AF8,12)</f>
        <v>46600</v>
      </c>
      <c r="AH8" s="10" t="str">
        <f ca="1">IF(AD8&lt;&gt;"Active","Inactive",IF(AG8&lt;TODAY(),"Overdue",IF(AG8&lt;=TODAY()+60,"Due Soon","Current")))</f>
        <v>Current</v>
      </c>
      <c r="AI8" s="1"/>
    </row>
    <row r="9" spans="1:35">
      <c r="A9" s="1" t="s">
        <v>1120</v>
      </c>
      <c r="B9" s="1" t="s">
        <v>1121</v>
      </c>
      <c r="C9" s="1" t="s">
        <v>1122</v>
      </c>
      <c r="D9" s="1" t="s">
        <v>1157</v>
      </c>
      <c r="E9" s="1" t="s">
        <v>125</v>
      </c>
      <c r="F9" s="1" t="s">
        <v>1158</v>
      </c>
      <c r="G9" s="1" t="s">
        <v>1159</v>
      </c>
      <c r="H9" s="1" t="s">
        <v>1160</v>
      </c>
      <c r="I9" s="1" t="s">
        <v>1146</v>
      </c>
      <c r="J9" s="1" t="s">
        <v>129</v>
      </c>
      <c r="K9" s="1"/>
      <c r="L9" s="1"/>
      <c r="M9" s="1"/>
      <c r="N9" s="1" t="s">
        <v>1147</v>
      </c>
      <c r="O9" s="5">
        <v>2000</v>
      </c>
      <c r="P9" s="5">
        <v>720</v>
      </c>
      <c r="Q9" s="6">
        <f>IFERROR((O9-P9)/P9,0)</f>
        <v>1.7777777777777777</v>
      </c>
      <c r="R9" s="7">
        <v>1</v>
      </c>
      <c r="S9" s="1" t="s">
        <v>1161</v>
      </c>
      <c r="T9" s="1" t="s">
        <v>1122</v>
      </c>
      <c r="U9" s="1" t="s">
        <v>130</v>
      </c>
      <c r="V9" s="1" t="s">
        <v>1149</v>
      </c>
      <c r="W9" s="1" t="s">
        <v>1162</v>
      </c>
      <c r="X9" s="1" t="s">
        <v>1131</v>
      </c>
      <c r="Y9" s="1" t="s">
        <v>1132</v>
      </c>
      <c r="Z9" s="1" t="s">
        <v>1132</v>
      </c>
      <c r="AA9" s="1" t="s">
        <v>80</v>
      </c>
      <c r="AB9" s="8" t="s">
        <v>1133</v>
      </c>
      <c r="AC9" s="8"/>
      <c r="AD9" s="1" t="s">
        <v>1134</v>
      </c>
      <c r="AE9" s="1" t="s">
        <v>1152</v>
      </c>
      <c r="AF9" s="8" t="s">
        <v>1153</v>
      </c>
      <c r="AG9" s="9">
        <f>EDATE(AF9,12)</f>
        <v>46600</v>
      </c>
      <c r="AH9" s="10" t="str">
        <f ca="1">IF(AD9&lt;&gt;"Active","Inactive",IF(AG9&lt;TODAY(),"Overdue",IF(AG9&lt;=TODAY()+60,"Due Soon","Current")))</f>
        <v>Current</v>
      </c>
      <c r="AI9" s="1"/>
    </row>
    <row r="10" spans="1:35">
      <c r="A10" s="1" t="s">
        <v>1120</v>
      </c>
      <c r="B10" s="1" t="s">
        <v>1121</v>
      </c>
      <c r="C10" s="1" t="s">
        <v>1122</v>
      </c>
      <c r="D10" s="1" t="s">
        <v>1163</v>
      </c>
      <c r="E10" s="1" t="s">
        <v>136</v>
      </c>
      <c r="F10" s="1" t="s">
        <v>1164</v>
      </c>
      <c r="G10" s="1" t="s">
        <v>1165</v>
      </c>
      <c r="H10" s="1" t="s">
        <v>1166</v>
      </c>
      <c r="I10" s="1" t="s">
        <v>1167</v>
      </c>
      <c r="J10" s="1" t="s">
        <v>152</v>
      </c>
      <c r="K10" s="1"/>
      <c r="L10" s="1"/>
      <c r="M10" s="1" t="s">
        <v>1168</v>
      </c>
      <c r="N10" s="1" t="s">
        <v>1169</v>
      </c>
      <c r="O10" s="5">
        <v>20000</v>
      </c>
      <c r="P10" s="5">
        <v>11500</v>
      </c>
      <c r="Q10" s="6">
        <f>IFERROR((O10-P10)/P10,0)</f>
        <v>0.73913043478260865</v>
      </c>
      <c r="R10" s="7">
        <v>1</v>
      </c>
      <c r="S10" s="1" t="s">
        <v>1170</v>
      </c>
      <c r="T10" s="1" t="s">
        <v>1122</v>
      </c>
      <c r="U10" s="1" t="s">
        <v>153</v>
      </c>
      <c r="V10" s="1" t="s">
        <v>141</v>
      </c>
      <c r="W10" s="1" t="s">
        <v>1171</v>
      </c>
      <c r="X10" s="1" t="s">
        <v>1172</v>
      </c>
      <c r="Y10" s="1" t="s">
        <v>1132</v>
      </c>
      <c r="Z10" s="1" t="s">
        <v>1151</v>
      </c>
      <c r="AA10" s="1" t="s">
        <v>143</v>
      </c>
      <c r="AB10" s="8" t="s">
        <v>1133</v>
      </c>
      <c r="AC10" s="8"/>
      <c r="AD10" s="1" t="s">
        <v>1134</v>
      </c>
      <c r="AE10" s="1" t="s">
        <v>1173</v>
      </c>
      <c r="AF10" s="8" t="s">
        <v>1174</v>
      </c>
      <c r="AG10" s="9">
        <f>EDATE(AF10,12)</f>
        <v>46568</v>
      </c>
      <c r="AH10" s="10" t="str">
        <f ca="1">IF(AD10&lt;&gt;"Active","Inactive",IF(AG10&lt;TODAY(),"Overdue",IF(AG10&lt;=TODAY()+60,"Due Soon","Current")))</f>
        <v>Current</v>
      </c>
      <c r="AI10" s="1"/>
    </row>
    <row r="11" spans="1:35">
      <c r="A11" s="1" t="s">
        <v>1120</v>
      </c>
      <c r="B11" s="1" t="s">
        <v>1121</v>
      </c>
      <c r="C11" s="1" t="s">
        <v>1122</v>
      </c>
      <c r="D11" s="1" t="s">
        <v>1163</v>
      </c>
      <c r="E11" s="1" t="s">
        <v>136</v>
      </c>
      <c r="F11" s="1" t="s">
        <v>1175</v>
      </c>
      <c r="G11" s="1" t="s">
        <v>1176</v>
      </c>
      <c r="H11" s="1" t="s">
        <v>1177</v>
      </c>
      <c r="I11" s="1" t="s">
        <v>1178</v>
      </c>
      <c r="J11" s="1" t="s">
        <v>140</v>
      </c>
      <c r="K11" s="1"/>
      <c r="L11" s="1"/>
      <c r="M11" s="1"/>
      <c r="N11" s="1" t="s">
        <v>1179</v>
      </c>
      <c r="O11" s="5">
        <v>4000</v>
      </c>
      <c r="P11" s="5">
        <v>1450</v>
      </c>
      <c r="Q11" s="6">
        <f>IFERROR((O11-P11)/P11,0)</f>
        <v>1.7586206896551724</v>
      </c>
      <c r="R11" s="7">
        <v>1</v>
      </c>
      <c r="S11" s="1" t="s">
        <v>1170</v>
      </c>
      <c r="T11" s="1" t="s">
        <v>1122</v>
      </c>
      <c r="U11" s="1" t="s">
        <v>142</v>
      </c>
      <c r="V11" s="1" t="s">
        <v>141</v>
      </c>
      <c r="W11" s="1" t="s">
        <v>1180</v>
      </c>
      <c r="X11" s="1" t="s">
        <v>1131</v>
      </c>
      <c r="Y11" s="1" t="s">
        <v>1132</v>
      </c>
      <c r="Z11" s="1" t="s">
        <v>1132</v>
      </c>
      <c r="AA11" s="1" t="s">
        <v>80</v>
      </c>
      <c r="AB11" s="8" t="s">
        <v>1133</v>
      </c>
      <c r="AC11" s="8"/>
      <c r="AD11" s="1" t="s">
        <v>1134</v>
      </c>
      <c r="AE11" s="1" t="s">
        <v>1173</v>
      </c>
      <c r="AF11" s="8" t="s">
        <v>1174</v>
      </c>
      <c r="AG11" s="9">
        <f>EDATE(AF11,12)</f>
        <v>46568</v>
      </c>
      <c r="AH11" s="10" t="str">
        <f ca="1">IF(AD11&lt;&gt;"Active","Inactive",IF(AG11&lt;TODAY(),"Overdue",IF(AG11&lt;=TODAY()+60,"Due Soon","Current")))</f>
        <v>Current</v>
      </c>
      <c r="AI11" s="1"/>
    </row>
    <row r="12" spans="1:35">
      <c r="A12" s="1" t="s">
        <v>1120</v>
      </c>
      <c r="B12" s="1" t="s">
        <v>1121</v>
      </c>
      <c r="C12" s="1" t="s">
        <v>1122</v>
      </c>
      <c r="D12" s="1" t="s">
        <v>1181</v>
      </c>
      <c r="E12" s="1" t="s">
        <v>166</v>
      </c>
      <c r="F12" s="1" t="s">
        <v>1182</v>
      </c>
      <c r="G12" s="1" t="s">
        <v>169</v>
      </c>
      <c r="H12" s="1" t="s">
        <v>1183</v>
      </c>
      <c r="I12" s="1" t="s">
        <v>1184</v>
      </c>
      <c r="J12" s="1" t="s">
        <v>170</v>
      </c>
      <c r="K12" s="1" t="s">
        <v>171</v>
      </c>
      <c r="L12" s="1"/>
      <c r="M12" s="1" t="s">
        <v>1185</v>
      </c>
      <c r="N12" s="1" t="s">
        <v>1186</v>
      </c>
      <c r="O12" s="5">
        <v>500</v>
      </c>
      <c r="P12" s="5">
        <v>42</v>
      </c>
      <c r="Q12" s="6">
        <f>IFERROR((O12-P12)/P12,0)</f>
        <v>10.904761904761905</v>
      </c>
      <c r="R12" s="7">
        <v>1</v>
      </c>
      <c r="S12" s="1" t="s">
        <v>1187</v>
      </c>
      <c r="T12" s="1" t="s">
        <v>1122</v>
      </c>
      <c r="U12" s="1" t="s">
        <v>173</v>
      </c>
      <c r="V12" s="1" t="s">
        <v>1188</v>
      </c>
      <c r="W12" s="1" t="s">
        <v>1189</v>
      </c>
      <c r="X12" s="1" t="s">
        <v>1184</v>
      </c>
      <c r="Y12" s="1" t="s">
        <v>1132</v>
      </c>
      <c r="Z12" s="1" t="s">
        <v>1132</v>
      </c>
      <c r="AA12" s="1" t="s">
        <v>174</v>
      </c>
      <c r="AB12" s="8" t="s">
        <v>1133</v>
      </c>
      <c r="AC12" s="8"/>
      <c r="AD12" s="1" t="s">
        <v>1134</v>
      </c>
      <c r="AE12" s="1" t="s">
        <v>1190</v>
      </c>
      <c r="AF12" s="8" t="s">
        <v>340</v>
      </c>
      <c r="AG12" s="9">
        <f>EDATE(AF12,12)</f>
        <v>46631</v>
      </c>
      <c r="AH12" s="10" t="str">
        <f ca="1">IF(AD12&lt;&gt;"Active","Inactive",IF(AG12&lt;TODAY(),"Overdue",IF(AG12&lt;=TODAY()+60,"Due Soon","Current")))</f>
        <v>Current</v>
      </c>
      <c r="AI12" s="1"/>
    </row>
    <row r="13" spans="1:35">
      <c r="A13" s="1" t="s">
        <v>1120</v>
      </c>
      <c r="B13" s="1" t="s">
        <v>1121</v>
      </c>
      <c r="C13" s="1" t="s">
        <v>1122</v>
      </c>
      <c r="D13" s="1" t="s">
        <v>1191</v>
      </c>
      <c r="E13" s="1" t="s">
        <v>198</v>
      </c>
      <c r="F13" s="1" t="s">
        <v>1192</v>
      </c>
      <c r="G13" s="1" t="s">
        <v>1193</v>
      </c>
      <c r="H13" s="1" t="s">
        <v>1194</v>
      </c>
      <c r="I13" s="1" t="s">
        <v>1195</v>
      </c>
      <c r="J13" s="1" t="s">
        <v>202</v>
      </c>
      <c r="K13" s="1" t="s">
        <v>203</v>
      </c>
      <c r="L13" s="1"/>
      <c r="M13" s="1"/>
      <c r="N13" s="1" t="s">
        <v>1196</v>
      </c>
      <c r="O13" s="5">
        <v>150</v>
      </c>
      <c r="P13" s="5">
        <v>22</v>
      </c>
      <c r="Q13" s="6">
        <f>IFERROR((O13-P13)/P13,0)</f>
        <v>5.8181818181818183</v>
      </c>
      <c r="R13" s="7">
        <v>1</v>
      </c>
      <c r="S13" s="1" t="s">
        <v>1197</v>
      </c>
      <c r="T13" s="1" t="s">
        <v>1122</v>
      </c>
      <c r="U13" s="1" t="s">
        <v>205</v>
      </c>
      <c r="V13" s="1" t="s">
        <v>204</v>
      </c>
      <c r="W13" s="1" t="s">
        <v>200</v>
      </c>
      <c r="X13" s="1" t="s">
        <v>1131</v>
      </c>
      <c r="Y13" s="1" t="s">
        <v>1132</v>
      </c>
      <c r="Z13" s="1" t="s">
        <v>1132</v>
      </c>
      <c r="AA13" s="1" t="s">
        <v>206</v>
      </c>
      <c r="AB13" s="8" t="s">
        <v>1133</v>
      </c>
      <c r="AC13" s="8"/>
      <c r="AD13" s="1" t="s">
        <v>1134</v>
      </c>
      <c r="AE13" s="1" t="s">
        <v>1198</v>
      </c>
      <c r="AF13" s="8" t="s">
        <v>1199</v>
      </c>
      <c r="AG13" s="9">
        <f>EDATE(AF13,12)</f>
        <v>46614</v>
      </c>
      <c r="AH13" s="10" t="str">
        <f ca="1">IF(AD13&lt;&gt;"Active","Inactive",IF(AG13&lt;TODAY(),"Overdue",IF(AG13&lt;=TODAY()+60,"Due Soon","Current")))</f>
        <v>Current</v>
      </c>
      <c r="AI13" s="1"/>
    </row>
    <row r="14" spans="1:35">
      <c r="A14" s="1" t="s">
        <v>1120</v>
      </c>
      <c r="B14" s="1" t="s">
        <v>1121</v>
      </c>
      <c r="C14" s="1" t="s">
        <v>1122</v>
      </c>
      <c r="D14" s="1" t="s">
        <v>1200</v>
      </c>
      <c r="E14" s="1" t="s">
        <v>232</v>
      </c>
      <c r="F14" s="1" t="s">
        <v>1201</v>
      </c>
      <c r="G14" s="1" t="s">
        <v>247</v>
      </c>
      <c r="H14" s="1" t="s">
        <v>1202</v>
      </c>
      <c r="I14" s="1" t="s">
        <v>1203</v>
      </c>
      <c r="J14" s="1" t="s">
        <v>236</v>
      </c>
      <c r="K14" s="1" t="s">
        <v>248</v>
      </c>
      <c r="L14" s="1"/>
      <c r="M14" s="1"/>
      <c r="N14" s="1" t="s">
        <v>1204</v>
      </c>
      <c r="O14" s="5">
        <v>400</v>
      </c>
      <c r="P14" s="5">
        <v>60</v>
      </c>
      <c r="Q14" s="6">
        <f>IFERROR((O14-P14)/P14,0)</f>
        <v>5.666666666666667</v>
      </c>
      <c r="R14" s="7">
        <v>1</v>
      </c>
      <c r="S14" s="1" t="s">
        <v>1205</v>
      </c>
      <c r="T14" s="1" t="s">
        <v>1122</v>
      </c>
      <c r="U14" s="1" t="s">
        <v>239</v>
      </c>
      <c r="V14" s="1" t="s">
        <v>238</v>
      </c>
      <c r="W14" s="1" t="s">
        <v>1206</v>
      </c>
      <c r="X14" s="1" t="s">
        <v>1131</v>
      </c>
      <c r="Y14" s="1" t="s">
        <v>1132</v>
      </c>
      <c r="Z14" s="1" t="s">
        <v>1132</v>
      </c>
      <c r="AA14" s="1" t="s">
        <v>206</v>
      </c>
      <c r="AB14" s="8" t="s">
        <v>1133</v>
      </c>
      <c r="AC14" s="8"/>
      <c r="AD14" s="1" t="s">
        <v>1134</v>
      </c>
      <c r="AE14" s="1" t="s">
        <v>1207</v>
      </c>
      <c r="AF14" s="8" t="s">
        <v>1199</v>
      </c>
      <c r="AG14" s="9">
        <f>EDATE(AF14,12)</f>
        <v>46614</v>
      </c>
      <c r="AH14" s="10" t="str">
        <f ca="1">IF(AD14&lt;&gt;"Active","Inactive",IF(AG14&lt;TODAY(),"Overdue",IF(AG14&lt;=TODAY()+60,"Due Soon","Current")))</f>
        <v>Current</v>
      </c>
      <c r="AI14" s="1"/>
    </row>
    <row r="15" spans="1:35">
      <c r="A15" s="1" t="s">
        <v>1208</v>
      </c>
      <c r="B15" s="1" t="s">
        <v>1209</v>
      </c>
      <c r="C15" s="1" t="s">
        <v>1122</v>
      </c>
      <c r="D15" s="1" t="s">
        <v>1210</v>
      </c>
      <c r="E15" s="1" t="s">
        <v>232</v>
      </c>
      <c r="F15" s="1" t="s">
        <v>1211</v>
      </c>
      <c r="G15" s="1" t="s">
        <v>235</v>
      </c>
      <c r="H15" s="1" t="s">
        <v>1212</v>
      </c>
      <c r="I15" s="1" t="s">
        <v>1203</v>
      </c>
      <c r="J15" s="1" t="s">
        <v>236</v>
      </c>
      <c r="K15" s="1" t="s">
        <v>237</v>
      </c>
      <c r="L15" s="1"/>
      <c r="M15" s="1"/>
      <c r="N15" s="1" t="s">
        <v>1204</v>
      </c>
      <c r="O15" s="5">
        <v>180</v>
      </c>
      <c r="P15" s="5">
        <v>38</v>
      </c>
      <c r="Q15" s="6">
        <f>IFERROR((O15-P15)/P15,0)</f>
        <v>3.736842105263158</v>
      </c>
      <c r="R15" s="7">
        <v>1</v>
      </c>
      <c r="S15" s="1" t="s">
        <v>1205</v>
      </c>
      <c r="T15" s="1" t="s">
        <v>1122</v>
      </c>
      <c r="U15" s="1" t="s">
        <v>239</v>
      </c>
      <c r="V15" s="1" t="s">
        <v>238</v>
      </c>
      <c r="W15" s="1" t="s">
        <v>1213</v>
      </c>
      <c r="X15" s="1" t="s">
        <v>1131</v>
      </c>
      <c r="Y15" s="1" t="s">
        <v>1132</v>
      </c>
      <c r="Z15" s="1" t="s">
        <v>1132</v>
      </c>
      <c r="AA15" s="1" t="s">
        <v>206</v>
      </c>
      <c r="AB15" s="8" t="s">
        <v>1133</v>
      </c>
      <c r="AC15" s="8"/>
      <c r="AD15" s="1" t="s">
        <v>1134</v>
      </c>
      <c r="AE15" s="1" t="s">
        <v>1207</v>
      </c>
      <c r="AF15" s="8" t="s">
        <v>1199</v>
      </c>
      <c r="AG15" s="9">
        <f>EDATE(AF15,12)</f>
        <v>46614</v>
      </c>
      <c r="AH15" s="10" t="str">
        <f ca="1">IF(AD15&lt;&gt;"Active","Inactive",IF(AG15&lt;TODAY(),"Overdue",IF(AG15&lt;=TODAY()+60,"Due Soon","Current")))</f>
        <v>Current</v>
      </c>
      <c r="AI15" s="1"/>
    </row>
    <row r="16" spans="1:35">
      <c r="A16" s="1" t="s">
        <v>1120</v>
      </c>
      <c r="B16" s="1" t="s">
        <v>1121</v>
      </c>
      <c r="C16" s="1" t="s">
        <v>1122</v>
      </c>
      <c r="D16" s="1" t="s">
        <v>1214</v>
      </c>
      <c r="E16" s="1" t="s">
        <v>278</v>
      </c>
      <c r="F16" s="1" t="s">
        <v>1215</v>
      </c>
      <c r="G16" s="1" t="s">
        <v>1216</v>
      </c>
      <c r="H16" s="1" t="s">
        <v>1217</v>
      </c>
      <c r="I16" s="1" t="s">
        <v>285</v>
      </c>
      <c r="J16" s="1" t="s">
        <v>282</v>
      </c>
      <c r="K16" s="1" t="s">
        <v>283</v>
      </c>
      <c r="L16" s="1"/>
      <c r="M16" s="1"/>
      <c r="N16" s="1" t="s">
        <v>1218</v>
      </c>
      <c r="O16" s="5">
        <v>700</v>
      </c>
      <c r="P16" s="5">
        <v>145</v>
      </c>
      <c r="Q16" s="6">
        <f>IFERROR((O16-P16)/P16,0)</f>
        <v>3.8275862068965516</v>
      </c>
      <c r="R16" s="7">
        <v>1</v>
      </c>
      <c r="S16" s="1" t="s">
        <v>1219</v>
      </c>
      <c r="T16" s="1" t="s">
        <v>1122</v>
      </c>
      <c r="U16" s="1" t="s">
        <v>286</v>
      </c>
      <c r="V16" s="1" t="s">
        <v>285</v>
      </c>
      <c r="W16" s="1" t="s">
        <v>280</v>
      </c>
      <c r="X16" s="1" t="s">
        <v>1131</v>
      </c>
      <c r="Y16" s="1" t="s">
        <v>1132</v>
      </c>
      <c r="Z16" s="1" t="s">
        <v>1151</v>
      </c>
      <c r="AA16" s="1" t="s">
        <v>287</v>
      </c>
      <c r="AB16" s="8" t="s">
        <v>1133</v>
      </c>
      <c r="AC16" s="8"/>
      <c r="AD16" s="1" t="s">
        <v>1134</v>
      </c>
      <c r="AE16" s="1" t="s">
        <v>1220</v>
      </c>
      <c r="AF16" s="8" t="s">
        <v>1221</v>
      </c>
      <c r="AG16" s="9">
        <f>EDATE(AF16,12)</f>
        <v>46599</v>
      </c>
      <c r="AH16" s="10" t="str">
        <f ca="1">IF(AD16&lt;&gt;"Active","Inactive",IF(AG16&lt;TODAY(),"Overdue",IF(AG16&lt;=TODAY()+60,"Due Soon","Current")))</f>
        <v>Current</v>
      </c>
      <c r="AI16" s="1"/>
    </row>
    <row r="17" spans="1:35">
      <c r="A17" s="1" t="s">
        <v>1120</v>
      </c>
      <c r="B17" s="1" t="s">
        <v>1121</v>
      </c>
      <c r="C17" s="1" t="s">
        <v>1122</v>
      </c>
      <c r="D17" s="1" t="s">
        <v>1214</v>
      </c>
      <c r="E17" s="1" t="s">
        <v>278</v>
      </c>
      <c r="F17" s="1" t="s">
        <v>1222</v>
      </c>
      <c r="G17" s="1" t="s">
        <v>1223</v>
      </c>
      <c r="H17" s="1" t="s">
        <v>1224</v>
      </c>
      <c r="I17" s="1" t="s">
        <v>285</v>
      </c>
      <c r="J17" s="1" t="s">
        <v>282</v>
      </c>
      <c r="K17" s="1" t="s">
        <v>296</v>
      </c>
      <c r="L17" s="1"/>
      <c r="M17" s="1"/>
      <c r="N17" s="1" t="s">
        <v>1155</v>
      </c>
      <c r="O17" s="5">
        <v>300</v>
      </c>
      <c r="P17" s="5">
        <v>62</v>
      </c>
      <c r="Q17" s="6">
        <f>IFERROR((O17-P17)/P17,0)</f>
        <v>3.838709677419355</v>
      </c>
      <c r="R17" s="7">
        <v>1</v>
      </c>
      <c r="S17" s="1" t="s">
        <v>1219</v>
      </c>
      <c r="T17" s="1" t="s">
        <v>1122</v>
      </c>
      <c r="U17" s="1" t="s">
        <v>286</v>
      </c>
      <c r="V17" s="1" t="s">
        <v>285</v>
      </c>
      <c r="W17" s="1" t="s">
        <v>1225</v>
      </c>
      <c r="X17" s="1" t="s">
        <v>1131</v>
      </c>
      <c r="Y17" s="1" t="s">
        <v>1132</v>
      </c>
      <c r="Z17" s="1" t="s">
        <v>1151</v>
      </c>
      <c r="AA17" s="1" t="s">
        <v>297</v>
      </c>
      <c r="AB17" s="8" t="s">
        <v>1133</v>
      </c>
      <c r="AC17" s="8"/>
      <c r="AD17" s="1" t="s">
        <v>1134</v>
      </c>
      <c r="AE17" s="1" t="s">
        <v>1220</v>
      </c>
      <c r="AF17" s="8" t="s">
        <v>1221</v>
      </c>
      <c r="AG17" s="9">
        <f>EDATE(AF17,12)</f>
        <v>46599</v>
      </c>
      <c r="AH17" s="10" t="str">
        <f ca="1">IF(AD17&lt;&gt;"Active","Inactive",IF(AG17&lt;TODAY(),"Overdue",IF(AG17&lt;=TODAY()+60,"Due Soon","Current")))</f>
        <v>Current</v>
      </c>
      <c r="AI17" s="1"/>
    </row>
    <row r="18" spans="1:35">
      <c r="A18" s="1" t="s">
        <v>1208</v>
      </c>
      <c r="B18" s="1" t="s">
        <v>1209</v>
      </c>
      <c r="C18" s="1" t="s">
        <v>1122</v>
      </c>
      <c r="D18" s="1" t="s">
        <v>1226</v>
      </c>
      <c r="E18" s="1" t="s">
        <v>656</v>
      </c>
      <c r="F18" s="1" t="s">
        <v>1227</v>
      </c>
      <c r="G18" s="1" t="s">
        <v>1228</v>
      </c>
      <c r="H18" s="1" t="s">
        <v>1229</v>
      </c>
      <c r="I18" s="1" t="s">
        <v>1230</v>
      </c>
      <c r="J18" s="1" t="s">
        <v>659</v>
      </c>
      <c r="K18" s="1" t="s">
        <v>676</v>
      </c>
      <c r="L18" s="1"/>
      <c r="M18" s="1"/>
      <c r="N18" s="1" t="s">
        <v>1231</v>
      </c>
      <c r="O18" s="5">
        <v>400</v>
      </c>
      <c r="P18" s="5">
        <v>95</v>
      </c>
      <c r="Q18" s="6">
        <f>IFERROR((O18-P18)/P18,0)</f>
        <v>3.2105263157894739</v>
      </c>
      <c r="R18" s="7">
        <v>1</v>
      </c>
      <c r="S18" s="1" t="s">
        <v>1232</v>
      </c>
      <c r="T18" s="1" t="s">
        <v>1122</v>
      </c>
      <c r="U18" s="1" t="s">
        <v>662</v>
      </c>
      <c r="V18" s="1" t="s">
        <v>1233</v>
      </c>
      <c r="W18" s="1" t="s">
        <v>1234</v>
      </c>
      <c r="X18" s="1" t="s">
        <v>1131</v>
      </c>
      <c r="Y18" s="1" t="s">
        <v>1132</v>
      </c>
      <c r="Z18" s="1" t="s">
        <v>1132</v>
      </c>
      <c r="AA18" s="1" t="s">
        <v>663</v>
      </c>
      <c r="AB18" s="8" t="s">
        <v>1133</v>
      </c>
      <c r="AC18" s="8"/>
      <c r="AD18" s="1" t="s">
        <v>1134</v>
      </c>
      <c r="AE18" s="1" t="s">
        <v>1235</v>
      </c>
      <c r="AF18" s="8" t="s">
        <v>340</v>
      </c>
      <c r="AG18" s="9">
        <f>EDATE(AF18,12)</f>
        <v>46631</v>
      </c>
      <c r="AH18" s="10" t="str">
        <f ca="1">IF(AD18&lt;&gt;"Active","Inactive",IF(AG18&lt;TODAY(),"Overdue",IF(AG18&lt;=TODAY()+60,"Due Soon","Current")))</f>
        <v>Current</v>
      </c>
      <c r="AI18" s="1"/>
    </row>
    <row r="19" spans="1:35">
      <c r="A19" s="1" t="s">
        <v>1120</v>
      </c>
      <c r="B19" s="1" t="s">
        <v>1121</v>
      </c>
      <c r="C19" s="1" t="s">
        <v>1236</v>
      </c>
      <c r="D19" s="1" t="s">
        <v>1237</v>
      </c>
      <c r="E19" s="1" t="s">
        <v>1238</v>
      </c>
      <c r="F19" s="1" t="s">
        <v>1239</v>
      </c>
      <c r="G19" s="1" t="s">
        <v>1240</v>
      </c>
      <c r="H19" s="1" t="s">
        <v>1241</v>
      </c>
      <c r="I19" s="1" t="s">
        <v>1242</v>
      </c>
      <c r="J19" s="1"/>
      <c r="K19" s="1" t="s">
        <v>1243</v>
      </c>
      <c r="L19" s="1"/>
      <c r="M19" s="1"/>
      <c r="N19" s="1" t="s">
        <v>1244</v>
      </c>
      <c r="O19" s="5">
        <v>3200</v>
      </c>
      <c r="P19" s="5">
        <v>900</v>
      </c>
      <c r="Q19" s="6">
        <f>IFERROR((O19-P19)/P19,0)</f>
        <v>2.5555555555555554</v>
      </c>
      <c r="R19" s="7">
        <v>1</v>
      </c>
      <c r="S19" s="1" t="s">
        <v>1245</v>
      </c>
      <c r="T19" s="1" t="s">
        <v>1236</v>
      </c>
      <c r="U19" s="1" t="s">
        <v>1246</v>
      </c>
      <c r="V19" s="1" t="s">
        <v>1247</v>
      </c>
      <c r="W19" s="1" t="s">
        <v>1248</v>
      </c>
      <c r="X19" s="1" t="s">
        <v>1242</v>
      </c>
      <c r="Y19" s="1" t="s">
        <v>1132</v>
      </c>
      <c r="Z19" s="1" t="s">
        <v>1151</v>
      </c>
      <c r="AA19" s="1" t="s">
        <v>113</v>
      </c>
      <c r="AB19" s="8" t="s">
        <v>1133</v>
      </c>
      <c r="AC19" s="8"/>
      <c r="AD19" s="1" t="s">
        <v>1134</v>
      </c>
      <c r="AE19" s="1" t="s">
        <v>1249</v>
      </c>
      <c r="AF19" s="8" t="s">
        <v>1250</v>
      </c>
      <c r="AG19" s="9">
        <f>EDATE(AF19,12)</f>
        <v>46619</v>
      </c>
      <c r="AH19" s="10" t="str">
        <f ca="1">IF(AD19&lt;&gt;"Active","Inactive",IF(AG19&lt;TODAY(),"Overdue",IF(AG19&lt;=TODAY()+60,"Due Soon","Current")))</f>
        <v>Current</v>
      </c>
      <c r="AI19" s="1"/>
    </row>
  </sheetData>
  <mergeCells count="2">
    <mergeCell ref="A2:AI2"/>
    <mergeCell ref="A1:AI1"/>
  </mergeCells>
  <conditionalFormatting sqref="AH5:AH19">
    <cfRule type="expression" dxfId="1" priority="1">
      <formula>AH5="Overdue"</formula>
    </cfRule>
    <cfRule type="expression" dxfId="0" priority="2">
      <formula>AH5="Due Soon"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6"/>
  <sheetViews>
    <sheetView showGridLines="0" zoomScale="85" workbookViewId="0">
      <pane xSplit="9" ySplit="4" topLeftCell="J5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6" customWidth="1"/>
    <col min="3" max="3" width="18" customWidth="1"/>
    <col min="4" max="4" width="13" customWidth="1"/>
    <col min="5" max="6" width="20" customWidth="1"/>
    <col min="7" max="9" width="16" customWidth="1"/>
    <col min="10" max="10" width="18" customWidth="1"/>
    <col min="11" max="11" width="14" customWidth="1"/>
    <col min="12" max="12" width="23" customWidth="1"/>
    <col min="13" max="13" width="12" customWidth="1"/>
    <col min="14" max="14" width="13" customWidth="1"/>
    <col min="15" max="16" width="10" customWidth="1"/>
    <col min="17" max="17" width="15" customWidth="1"/>
    <col min="18" max="18" width="17" customWidth="1"/>
    <col min="19" max="19" width="14" customWidth="1"/>
    <col min="20" max="21" width="20" customWidth="1"/>
    <col min="22" max="22" width="14" customWidth="1"/>
    <col min="23" max="23" width="18" customWidth="1"/>
    <col min="24" max="24" width="20" customWidth="1"/>
    <col min="25" max="25" width="14" customWidth="1"/>
    <col min="26" max="26" width="28" customWidth="1"/>
  </cols>
  <sheetData>
    <row r="1" spans="1:26" ht="27.95" customHeight="1">
      <c r="A1" s="23" t="s">
        <v>1251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30" customHeight="1">
      <c r="A2" s="25" t="s">
        <v>1252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4" spans="1:26" ht="38.1" customHeight="1">
      <c r="A4" s="4" t="s">
        <v>1253</v>
      </c>
      <c r="B4" s="4" t="s">
        <v>1254</v>
      </c>
      <c r="C4" s="4" t="s">
        <v>1255</v>
      </c>
      <c r="D4" s="4" t="s">
        <v>32</v>
      </c>
      <c r="E4" s="4" t="s">
        <v>1256</v>
      </c>
      <c r="F4" s="4" t="s">
        <v>1257</v>
      </c>
      <c r="G4" s="4" t="s">
        <v>45</v>
      </c>
      <c r="H4" s="4" t="s">
        <v>46</v>
      </c>
      <c r="I4" s="4" t="s">
        <v>1258</v>
      </c>
      <c r="J4" s="4" t="s">
        <v>36</v>
      </c>
      <c r="K4" s="4" t="s">
        <v>35</v>
      </c>
      <c r="L4" s="4" t="s">
        <v>34</v>
      </c>
      <c r="M4" s="4" t="s">
        <v>38</v>
      </c>
      <c r="N4" s="4" t="s">
        <v>39</v>
      </c>
      <c r="O4" s="4" t="s">
        <v>40</v>
      </c>
      <c r="P4" s="4" t="s">
        <v>41</v>
      </c>
      <c r="Q4" s="4" t="s">
        <v>42</v>
      </c>
      <c r="R4" s="4" t="s">
        <v>43</v>
      </c>
      <c r="S4" s="4" t="s">
        <v>1259</v>
      </c>
      <c r="T4" s="4" t="s">
        <v>20</v>
      </c>
      <c r="U4" s="4" t="s">
        <v>44</v>
      </c>
      <c r="V4" s="4" t="s">
        <v>52</v>
      </c>
      <c r="W4" s="4" t="s">
        <v>1260</v>
      </c>
      <c r="X4" s="4" t="s">
        <v>53</v>
      </c>
      <c r="Y4" s="4" t="s">
        <v>1261</v>
      </c>
      <c r="Z4" s="4" t="s">
        <v>60</v>
      </c>
    </row>
    <row r="5" spans="1:26">
      <c r="A5" s="1" t="s">
        <v>1262</v>
      </c>
      <c r="B5" s="1" t="s">
        <v>1263</v>
      </c>
      <c r="C5" s="1" t="s">
        <v>1264</v>
      </c>
      <c r="D5" s="1" t="s">
        <v>64</v>
      </c>
      <c r="E5" s="1" t="s">
        <v>1265</v>
      </c>
      <c r="F5" s="1" t="s">
        <v>1266</v>
      </c>
      <c r="G5" s="1" t="s">
        <v>71</v>
      </c>
      <c r="H5" s="1" t="s">
        <v>72</v>
      </c>
      <c r="I5" s="1" t="s">
        <v>1267</v>
      </c>
      <c r="J5" s="1" t="s">
        <v>1125</v>
      </c>
      <c r="K5" s="1" t="s">
        <v>199</v>
      </c>
      <c r="L5" s="1" t="str">
        <f>'CDM Master'!E5</f>
        <v>Inpatient Nursing</v>
      </c>
      <c r="M5" s="1" t="str">
        <f>'CDM Master'!J5</f>
        <v>0120</v>
      </c>
      <c r="N5" s="1">
        <f>'CDM Master'!K5</f>
        <v>0</v>
      </c>
      <c r="O5" s="1">
        <f>'CDM Master'!L5</f>
        <v>0</v>
      </c>
      <c r="P5" s="1">
        <v>2</v>
      </c>
      <c r="Q5" s="3">
        <f>'CDM Master'!O5</f>
        <v>3500</v>
      </c>
      <c r="R5" s="3">
        <f>P5*Q5</f>
        <v>7000</v>
      </c>
      <c r="S5" s="3">
        <v>7000</v>
      </c>
      <c r="T5" s="3">
        <f>S5*20%</f>
        <v>1400</v>
      </c>
      <c r="U5" s="3">
        <f>R5-S5</f>
        <v>0</v>
      </c>
      <c r="V5" s="1" t="s">
        <v>77</v>
      </c>
      <c r="W5" s="1" t="str">
        <f>'CDM Master'!V5</f>
        <v>ADT</v>
      </c>
      <c r="X5" s="1" t="s">
        <v>78</v>
      </c>
      <c r="Y5" s="1" t="s">
        <v>79</v>
      </c>
      <c r="Z5" s="1" t="s">
        <v>1268</v>
      </c>
    </row>
    <row r="6" spans="1:26">
      <c r="A6" s="1" t="s">
        <v>1262</v>
      </c>
      <c r="B6" s="1" t="s">
        <v>1263</v>
      </c>
      <c r="C6" s="1" t="s">
        <v>1264</v>
      </c>
      <c r="D6" s="1" t="s">
        <v>64</v>
      </c>
      <c r="E6" s="1" t="s">
        <v>1265</v>
      </c>
      <c r="F6" s="1" t="s">
        <v>1266</v>
      </c>
      <c r="G6" s="1" t="s">
        <v>71</v>
      </c>
      <c r="H6" s="1" t="s">
        <v>72</v>
      </c>
      <c r="I6" s="1" t="s">
        <v>1267</v>
      </c>
      <c r="J6" s="1" t="s">
        <v>1144</v>
      </c>
      <c r="K6" s="1" t="s">
        <v>199</v>
      </c>
      <c r="L6" s="1" t="str">
        <f>'CDM Master'!E6</f>
        <v>Intensive Care</v>
      </c>
      <c r="M6" s="1" t="str">
        <f>'CDM Master'!J6</f>
        <v>0200</v>
      </c>
      <c r="N6" s="1">
        <f>'CDM Master'!K6</f>
        <v>0</v>
      </c>
      <c r="O6" s="1">
        <f>'CDM Master'!L6</f>
        <v>0</v>
      </c>
      <c r="P6" s="1">
        <v>1</v>
      </c>
      <c r="Q6" s="3">
        <f>'CDM Master'!O6</f>
        <v>8000</v>
      </c>
      <c r="R6" s="3">
        <f>P6*Q6</f>
        <v>8000</v>
      </c>
      <c r="S6" s="3">
        <v>9000</v>
      </c>
      <c r="T6" s="3">
        <f>S6*20%</f>
        <v>1800</v>
      </c>
      <c r="U6" s="3">
        <f>R6-S6</f>
        <v>-1000</v>
      </c>
      <c r="V6" s="1" t="s">
        <v>77</v>
      </c>
      <c r="W6" s="1" t="str">
        <f>'CDM Master'!V6</f>
        <v>ADT</v>
      </c>
      <c r="X6" s="1" t="s">
        <v>78</v>
      </c>
      <c r="Y6" s="1" t="s">
        <v>79</v>
      </c>
      <c r="Z6" s="1" t="s">
        <v>1268</v>
      </c>
    </row>
    <row r="7" spans="1:26">
      <c r="A7" s="1" t="s">
        <v>1262</v>
      </c>
      <c r="B7" s="1" t="s">
        <v>1263</v>
      </c>
      <c r="C7" s="1" t="s">
        <v>1264</v>
      </c>
      <c r="D7" s="1" t="s">
        <v>64</v>
      </c>
      <c r="E7" s="1" t="s">
        <v>1265</v>
      </c>
      <c r="F7" s="1" t="s">
        <v>1266</v>
      </c>
      <c r="G7" s="1" t="s">
        <v>71</v>
      </c>
      <c r="H7" s="1" t="s">
        <v>72</v>
      </c>
      <c r="I7" s="1" t="s">
        <v>1267</v>
      </c>
      <c r="J7" s="1" t="s">
        <v>119</v>
      </c>
      <c r="K7" s="1" t="s">
        <v>199</v>
      </c>
      <c r="L7" s="1" t="str">
        <f>'CDM Master'!E7</f>
        <v>Operating Room</v>
      </c>
      <c r="M7" s="1" t="str">
        <f>'CDM Master'!J7</f>
        <v>0360</v>
      </c>
      <c r="N7" s="1">
        <f>'CDM Master'!K7</f>
        <v>0</v>
      </c>
      <c r="O7" s="1">
        <f>'CDM Master'!L7</f>
        <v>0</v>
      </c>
      <c r="P7" s="1">
        <v>2</v>
      </c>
      <c r="Q7" s="3">
        <f>'CDM Master'!O7</f>
        <v>10000</v>
      </c>
      <c r="R7" s="3">
        <f>P7*Q7</f>
        <v>20000</v>
      </c>
      <c r="S7" s="3">
        <v>1800</v>
      </c>
      <c r="T7" s="3">
        <f>S7*20%</f>
        <v>360</v>
      </c>
      <c r="U7" s="3">
        <f>R7-S7</f>
        <v>18200</v>
      </c>
      <c r="V7" s="1" t="s">
        <v>77</v>
      </c>
      <c r="W7" s="1" t="str">
        <f>'CDM Master'!V7</f>
        <v>OpTime</v>
      </c>
      <c r="X7" s="1" t="s">
        <v>78</v>
      </c>
      <c r="Y7" s="1" t="s">
        <v>79</v>
      </c>
      <c r="Z7" s="1" t="s">
        <v>1268</v>
      </c>
    </row>
    <row r="8" spans="1:26">
      <c r="A8" s="1" t="s">
        <v>1262</v>
      </c>
      <c r="B8" s="1" t="s">
        <v>1263</v>
      </c>
      <c r="C8" s="1" t="s">
        <v>1264</v>
      </c>
      <c r="D8" s="1" t="s">
        <v>64</v>
      </c>
      <c r="E8" s="1" t="s">
        <v>1265</v>
      </c>
      <c r="F8" s="1" t="s">
        <v>1266</v>
      </c>
      <c r="G8" s="1" t="s">
        <v>71</v>
      </c>
      <c r="H8" s="1" t="s">
        <v>72</v>
      </c>
      <c r="I8" s="1" t="s">
        <v>1267</v>
      </c>
      <c r="J8" s="1" t="s">
        <v>1158</v>
      </c>
      <c r="K8" s="1" t="s">
        <v>199</v>
      </c>
      <c r="L8" s="1" t="str">
        <f>'CDM Master'!E8</f>
        <v>Operating Room</v>
      </c>
      <c r="M8" s="1" t="str">
        <f>'CDM Master'!J8</f>
        <v>0360</v>
      </c>
      <c r="N8" s="1">
        <f>'CDM Master'!K8</f>
        <v>0</v>
      </c>
      <c r="O8" s="1">
        <f>'CDM Master'!L8</f>
        <v>0</v>
      </c>
      <c r="P8" s="1">
        <v>1</v>
      </c>
      <c r="Q8" s="3">
        <f>'CDM Master'!O8</f>
        <v>1250</v>
      </c>
      <c r="R8" s="3">
        <f>P8*Q8</f>
        <v>1250</v>
      </c>
      <c r="S8" s="3">
        <v>1500</v>
      </c>
      <c r="T8" s="3">
        <f>S8*20%</f>
        <v>300</v>
      </c>
      <c r="U8" s="3">
        <f>R8-S8</f>
        <v>-250</v>
      </c>
      <c r="V8" s="1" t="s">
        <v>77</v>
      </c>
      <c r="W8" s="1" t="str">
        <f>'CDM Master'!V8</f>
        <v>OpTime</v>
      </c>
      <c r="X8" s="1" t="s">
        <v>78</v>
      </c>
      <c r="Y8" s="1" t="s">
        <v>79</v>
      </c>
      <c r="Z8" s="1" t="s">
        <v>1268</v>
      </c>
    </row>
    <row r="9" spans="1:26">
      <c r="A9" s="1" t="s">
        <v>1262</v>
      </c>
      <c r="B9" s="1" t="s">
        <v>1263</v>
      </c>
      <c r="C9" s="1" t="s">
        <v>1264</v>
      </c>
      <c r="D9" s="1" t="s">
        <v>64</v>
      </c>
      <c r="E9" s="1" t="s">
        <v>1265</v>
      </c>
      <c r="F9" s="1" t="s">
        <v>1266</v>
      </c>
      <c r="G9" s="1" t="s">
        <v>71</v>
      </c>
      <c r="H9" s="1" t="s">
        <v>72</v>
      </c>
      <c r="I9" s="1" t="s">
        <v>1267</v>
      </c>
      <c r="J9" s="1" t="s">
        <v>1164</v>
      </c>
      <c r="K9" s="1" t="s">
        <v>199</v>
      </c>
      <c r="L9" s="1" t="str">
        <f>'CDM Master'!E9</f>
        <v>Recovery Room</v>
      </c>
      <c r="M9" s="1" t="str">
        <f>'CDM Master'!J9</f>
        <v>0710</v>
      </c>
      <c r="N9" s="1">
        <f>'CDM Master'!K9</f>
        <v>0</v>
      </c>
      <c r="O9" s="1">
        <f>'CDM Master'!L9</f>
        <v>0</v>
      </c>
      <c r="P9" s="1">
        <v>1</v>
      </c>
      <c r="Q9" s="3">
        <f>'CDM Master'!O9</f>
        <v>2000</v>
      </c>
      <c r="R9" s="3">
        <f>P9*Q9</f>
        <v>2000</v>
      </c>
      <c r="S9" s="3">
        <v>9000</v>
      </c>
      <c r="T9" s="3">
        <f>S9*20%</f>
        <v>1800</v>
      </c>
      <c r="U9" s="3">
        <f>R9-S9</f>
        <v>-7000</v>
      </c>
      <c r="V9" s="1" t="s">
        <v>77</v>
      </c>
      <c r="W9" s="1" t="str">
        <f>'CDM Master'!V9</f>
        <v>OpTime</v>
      </c>
      <c r="X9" s="1" t="s">
        <v>78</v>
      </c>
      <c r="Y9" s="1" t="s">
        <v>79</v>
      </c>
      <c r="Z9" s="1" t="s">
        <v>1268</v>
      </c>
    </row>
    <row r="10" spans="1:26">
      <c r="A10" s="1" t="s">
        <v>1262</v>
      </c>
      <c r="B10" s="1" t="s">
        <v>1263</v>
      </c>
      <c r="C10" s="1" t="s">
        <v>1264</v>
      </c>
      <c r="D10" s="1" t="s">
        <v>64</v>
      </c>
      <c r="E10" s="1" t="s">
        <v>1265</v>
      </c>
      <c r="F10" s="1" t="s">
        <v>1266</v>
      </c>
      <c r="G10" s="1" t="s">
        <v>71</v>
      </c>
      <c r="H10" s="1" t="s">
        <v>72</v>
      </c>
      <c r="I10" s="1" t="s">
        <v>1267</v>
      </c>
      <c r="J10" s="1" t="s">
        <v>1175</v>
      </c>
      <c r="K10" s="1" t="s">
        <v>199</v>
      </c>
      <c r="L10" s="1" t="str">
        <f>'CDM Master'!E10</f>
        <v>Surgical Supplies</v>
      </c>
      <c r="M10" s="1" t="str">
        <f>'CDM Master'!J10</f>
        <v>0278</v>
      </c>
      <c r="N10" s="1">
        <f>'CDM Master'!K10</f>
        <v>0</v>
      </c>
      <c r="O10" s="1">
        <f>'CDM Master'!L10</f>
        <v>0</v>
      </c>
      <c r="P10" s="1">
        <v>1</v>
      </c>
      <c r="Q10" s="3">
        <f>'CDM Master'!O10</f>
        <v>20000</v>
      </c>
      <c r="R10" s="3">
        <f>P10*Q10</f>
        <v>20000</v>
      </c>
      <c r="S10" s="3">
        <v>1800</v>
      </c>
      <c r="T10" s="3">
        <f>S10*20%</f>
        <v>360</v>
      </c>
      <c r="U10" s="3">
        <f>R10-S10</f>
        <v>18200</v>
      </c>
      <c r="V10" s="1" t="s">
        <v>77</v>
      </c>
      <c r="W10" s="1" t="str">
        <f>'CDM Master'!V10</f>
        <v>Inventory</v>
      </c>
      <c r="X10" s="1" t="s">
        <v>78</v>
      </c>
      <c r="Y10" s="1" t="s">
        <v>79</v>
      </c>
      <c r="Z10" s="1" t="s">
        <v>1268</v>
      </c>
    </row>
    <row r="11" spans="1:26">
      <c r="A11" s="1" t="s">
        <v>1262</v>
      </c>
      <c r="B11" s="1" t="s">
        <v>1263</v>
      </c>
      <c r="C11" s="1" t="s">
        <v>1264</v>
      </c>
      <c r="D11" s="1" t="s">
        <v>64</v>
      </c>
      <c r="E11" s="1" t="s">
        <v>1265</v>
      </c>
      <c r="F11" s="1" t="s">
        <v>1266</v>
      </c>
      <c r="G11" s="1" t="s">
        <v>71</v>
      </c>
      <c r="H11" s="1" t="s">
        <v>72</v>
      </c>
      <c r="I11" s="1" t="s">
        <v>1267</v>
      </c>
      <c r="J11" s="1" t="s">
        <v>1182</v>
      </c>
      <c r="K11" s="1" t="s">
        <v>199</v>
      </c>
      <c r="L11" s="1" t="str">
        <f>'CDM Master'!E11</f>
        <v>Surgical Supplies</v>
      </c>
      <c r="M11" s="1" t="str">
        <f>'CDM Master'!J11</f>
        <v>0270</v>
      </c>
      <c r="N11" s="1">
        <f>'CDM Master'!K11</f>
        <v>0</v>
      </c>
      <c r="O11" s="1">
        <f>'CDM Master'!L11</f>
        <v>0</v>
      </c>
      <c r="P11" s="1">
        <v>4</v>
      </c>
      <c r="Q11" s="3">
        <f>'CDM Master'!O11</f>
        <v>4000</v>
      </c>
      <c r="R11" s="3">
        <f>P11*Q11</f>
        <v>16000</v>
      </c>
      <c r="S11" s="3">
        <v>1200</v>
      </c>
      <c r="T11" s="3">
        <f>S11*20%</f>
        <v>240</v>
      </c>
      <c r="U11" s="3">
        <f>R11-S11</f>
        <v>14800</v>
      </c>
      <c r="V11" s="1" t="s">
        <v>77</v>
      </c>
      <c r="W11" s="1" t="str">
        <f>'CDM Master'!V11</f>
        <v>Inventory</v>
      </c>
      <c r="X11" s="1" t="s">
        <v>78</v>
      </c>
      <c r="Y11" s="1" t="s">
        <v>79</v>
      </c>
      <c r="Z11" s="1" t="s">
        <v>1268</v>
      </c>
    </row>
    <row r="12" spans="1:26">
      <c r="A12" s="1" t="s">
        <v>1262</v>
      </c>
      <c r="B12" s="1" t="s">
        <v>1263</v>
      </c>
      <c r="C12" s="1" t="s">
        <v>1264</v>
      </c>
      <c r="D12" s="1" t="s">
        <v>64</v>
      </c>
      <c r="E12" s="1" t="s">
        <v>1265</v>
      </c>
      <c r="F12" s="1" t="s">
        <v>1266</v>
      </c>
      <c r="G12" s="1" t="s">
        <v>71</v>
      </c>
      <c r="H12" s="1" t="s">
        <v>72</v>
      </c>
      <c r="I12" s="1" t="s">
        <v>1267</v>
      </c>
      <c r="J12" s="1" t="s">
        <v>1192</v>
      </c>
      <c r="K12" s="1" t="s">
        <v>199</v>
      </c>
      <c r="L12" s="1" t="str">
        <f>'CDM Master'!E12</f>
        <v>Pharmacy</v>
      </c>
      <c r="M12" s="1" t="str">
        <f>'CDM Master'!J12</f>
        <v>0250</v>
      </c>
      <c r="N12" s="1" t="str">
        <f>'CDM Master'!K12</f>
        <v>J0690</v>
      </c>
      <c r="O12" s="1">
        <f>'CDM Master'!L12</f>
        <v>0</v>
      </c>
      <c r="P12" s="1">
        <v>2</v>
      </c>
      <c r="Q12" s="3">
        <f>'CDM Master'!O12</f>
        <v>500</v>
      </c>
      <c r="R12" s="3">
        <f>P12*Q12</f>
        <v>1000</v>
      </c>
      <c r="S12" s="3">
        <v>180</v>
      </c>
      <c r="T12" s="3">
        <f>S12*20%</f>
        <v>36</v>
      </c>
      <c r="U12" s="3">
        <f>R12-S12</f>
        <v>820</v>
      </c>
      <c r="V12" s="1" t="s">
        <v>77</v>
      </c>
      <c r="W12" s="1" t="str">
        <f>'CDM Master'!V12</f>
        <v>Willow/MAR</v>
      </c>
      <c r="X12" s="1" t="s">
        <v>78</v>
      </c>
      <c r="Y12" s="1" t="s">
        <v>79</v>
      </c>
      <c r="Z12" s="1" t="s">
        <v>1268</v>
      </c>
    </row>
    <row r="13" spans="1:26">
      <c r="A13" s="1" t="s">
        <v>1262</v>
      </c>
      <c r="B13" s="1" t="s">
        <v>1263</v>
      </c>
      <c r="C13" s="1" t="s">
        <v>1264</v>
      </c>
      <c r="D13" s="1" t="s">
        <v>64</v>
      </c>
      <c r="E13" s="1" t="s">
        <v>1265</v>
      </c>
      <c r="F13" s="1" t="s">
        <v>1266</v>
      </c>
      <c r="G13" s="1" t="s">
        <v>71</v>
      </c>
      <c r="H13" s="1" t="s">
        <v>72</v>
      </c>
      <c r="I13" s="1" t="s">
        <v>1267</v>
      </c>
      <c r="J13" s="1" t="s">
        <v>1201</v>
      </c>
      <c r="K13" s="1" t="s">
        <v>199</v>
      </c>
      <c r="L13" s="1" t="str">
        <f>'CDM Master'!E13</f>
        <v>Laboratory</v>
      </c>
      <c r="M13" s="1" t="str">
        <f>'CDM Master'!J13</f>
        <v>0300</v>
      </c>
      <c r="N13" s="1" t="str">
        <f>'CDM Master'!K13</f>
        <v>85025</v>
      </c>
      <c r="O13" s="1">
        <f>'CDM Master'!L13</f>
        <v>0</v>
      </c>
      <c r="P13" s="1">
        <v>1</v>
      </c>
      <c r="Q13" s="3">
        <f>'CDM Master'!O13</f>
        <v>150</v>
      </c>
      <c r="R13" s="3">
        <f>P13*Q13</f>
        <v>150</v>
      </c>
      <c r="S13" s="3">
        <v>260</v>
      </c>
      <c r="T13" s="3">
        <f>S13*20%</f>
        <v>52</v>
      </c>
      <c r="U13" s="3">
        <f>R13-S13</f>
        <v>-110</v>
      </c>
      <c r="V13" s="1" t="s">
        <v>77</v>
      </c>
      <c r="W13" s="1" t="str">
        <f>'CDM Master'!V13</f>
        <v>LIS</v>
      </c>
      <c r="X13" s="1" t="s">
        <v>78</v>
      </c>
      <c r="Y13" s="1" t="s">
        <v>79</v>
      </c>
      <c r="Z13" s="1" t="s">
        <v>1268</v>
      </c>
    </row>
    <row r="14" spans="1:26">
      <c r="A14" s="1" t="s">
        <v>1262</v>
      </c>
      <c r="B14" s="1" t="s">
        <v>1263</v>
      </c>
      <c r="C14" s="1" t="s">
        <v>1264</v>
      </c>
      <c r="D14" s="1" t="s">
        <v>64</v>
      </c>
      <c r="E14" s="1" t="s">
        <v>1265</v>
      </c>
      <c r="F14" s="1" t="s">
        <v>1266</v>
      </c>
      <c r="G14" s="1" t="s">
        <v>71</v>
      </c>
      <c r="H14" s="1" t="s">
        <v>72</v>
      </c>
      <c r="I14" s="1" t="s">
        <v>1267</v>
      </c>
      <c r="J14" s="1" t="s">
        <v>1215</v>
      </c>
      <c r="K14" s="1" t="s">
        <v>199</v>
      </c>
      <c r="L14" s="1" t="str">
        <f>'CDM Master'!E14</f>
        <v>Radiology</v>
      </c>
      <c r="M14" s="1" t="str">
        <f>'CDM Master'!J14</f>
        <v>0320</v>
      </c>
      <c r="N14" s="1" t="str">
        <f>'CDM Master'!K14</f>
        <v>73560</v>
      </c>
      <c r="O14" s="1">
        <f>'CDM Master'!L14</f>
        <v>0</v>
      </c>
      <c r="P14" s="1">
        <v>1</v>
      </c>
      <c r="Q14" s="3">
        <f>'CDM Master'!O14</f>
        <v>400</v>
      </c>
      <c r="R14" s="3">
        <f>P14*Q14</f>
        <v>400</v>
      </c>
      <c r="S14" s="3">
        <v>450</v>
      </c>
      <c r="T14" s="3">
        <f>S14*20%</f>
        <v>90</v>
      </c>
      <c r="U14" s="3">
        <f>R14-S14</f>
        <v>-50</v>
      </c>
      <c r="V14" s="1" t="s">
        <v>77</v>
      </c>
      <c r="W14" s="1" t="str">
        <f>'CDM Master'!V14</f>
        <v>RIS/PACS</v>
      </c>
      <c r="X14" s="1" t="s">
        <v>78</v>
      </c>
      <c r="Y14" s="1" t="s">
        <v>79</v>
      </c>
      <c r="Z14" s="1" t="s">
        <v>1268</v>
      </c>
    </row>
    <row r="15" spans="1:26">
      <c r="A15" s="1" t="s">
        <v>1262</v>
      </c>
      <c r="B15" s="1" t="s">
        <v>1263</v>
      </c>
      <c r="C15" s="1" t="s">
        <v>1264</v>
      </c>
      <c r="D15" s="1" t="s">
        <v>64</v>
      </c>
      <c r="E15" s="1" t="s">
        <v>1265</v>
      </c>
      <c r="F15" s="1" t="s">
        <v>1266</v>
      </c>
      <c r="G15" s="1" t="s">
        <v>71</v>
      </c>
      <c r="H15" s="1" t="s">
        <v>72</v>
      </c>
      <c r="I15" s="1" t="s">
        <v>1267</v>
      </c>
      <c r="J15" s="1" t="s">
        <v>1222</v>
      </c>
      <c r="K15" s="1" t="s">
        <v>199</v>
      </c>
      <c r="L15" s="1" t="str">
        <f>'CDM Master'!E15</f>
        <v>Radiology</v>
      </c>
      <c r="M15" s="1" t="str">
        <f>'CDM Master'!J15</f>
        <v>0320</v>
      </c>
      <c r="N15" s="1" t="str">
        <f>'CDM Master'!K15</f>
        <v>71046</v>
      </c>
      <c r="O15" s="1">
        <f>'CDM Master'!L15</f>
        <v>0</v>
      </c>
      <c r="P15" s="1">
        <v>3</v>
      </c>
      <c r="Q15" s="3">
        <f>'CDM Master'!O15</f>
        <v>180</v>
      </c>
      <c r="R15" s="3">
        <f>P15*Q15</f>
        <v>540</v>
      </c>
      <c r="S15" s="3">
        <v>600</v>
      </c>
      <c r="T15" s="3">
        <f>S15*20%</f>
        <v>120</v>
      </c>
      <c r="U15" s="3">
        <f>R15-S15</f>
        <v>-60</v>
      </c>
      <c r="V15" s="1" t="s">
        <v>77</v>
      </c>
      <c r="W15" s="1" t="str">
        <f>'CDM Master'!V15</f>
        <v>RIS/PACS</v>
      </c>
      <c r="X15" s="1" t="s">
        <v>78</v>
      </c>
      <c r="Y15" s="1" t="s">
        <v>79</v>
      </c>
      <c r="Z15" s="1" t="s">
        <v>1268</v>
      </c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0" t="s">
        <v>26</v>
      </c>
      <c r="P16" s="20"/>
      <c r="Q16" s="20"/>
      <c r="R16" s="21">
        <f>SUM(R5:R15)</f>
        <v>76340</v>
      </c>
      <c r="S16" s="21">
        <f>SUM(S5:S15)</f>
        <v>32790</v>
      </c>
      <c r="T16" s="21">
        <f>SUM(T5:T15)</f>
        <v>6558</v>
      </c>
      <c r="U16" s="21">
        <f>SUM(U5:U15)</f>
        <v>43550</v>
      </c>
      <c r="V16" s="1"/>
      <c r="W16" s="1"/>
      <c r="X16" s="1"/>
      <c r="Y16" s="1"/>
      <c r="Z16" s="1"/>
    </row>
  </sheetData>
  <mergeCells count="2">
    <mergeCell ref="A1:Z1"/>
    <mergeCell ref="A2:Z2"/>
  </mergeCells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2" customWidth="1"/>
    <col min="2" max="2" width="9" customWidth="1"/>
    <col min="3" max="3" width="28" customWidth="1"/>
    <col min="4" max="4" width="18" customWidth="1"/>
    <col min="5" max="5" width="20" customWidth="1"/>
    <col min="6" max="7" width="14" customWidth="1"/>
    <col min="8" max="8" width="42" customWidth="1"/>
    <col min="9" max="9" width="22" customWidth="1"/>
    <col min="10" max="10" width="20" customWidth="1"/>
    <col min="11" max="11" width="13" customWidth="1"/>
    <col min="12" max="12" width="17" customWidth="1"/>
    <col min="13" max="13" width="11" customWidth="1"/>
    <col min="14" max="14" width="20" customWidth="1"/>
    <col min="15" max="15" width="14" customWidth="1"/>
    <col min="16" max="16" width="11" customWidth="1"/>
    <col min="17" max="17" width="28" customWidth="1"/>
    <col min="18" max="18" width="30" customWidth="1"/>
  </cols>
  <sheetData>
    <row r="1" spans="1:18" ht="27.95" customHeight="1">
      <c r="A1" s="23" t="s">
        <v>1269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0" customHeight="1">
      <c r="A2" s="25" t="s">
        <v>1270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4" spans="1:18" ht="38.1" customHeight="1">
      <c r="A4" s="4" t="s">
        <v>1271</v>
      </c>
      <c r="B4" s="4" t="s">
        <v>1272</v>
      </c>
      <c r="C4" s="4" t="s">
        <v>1273</v>
      </c>
      <c r="D4" s="4" t="s">
        <v>1274</v>
      </c>
      <c r="E4" s="4" t="s">
        <v>1275</v>
      </c>
      <c r="F4" s="4" t="s">
        <v>32</v>
      </c>
      <c r="G4" s="4" t="s">
        <v>1094</v>
      </c>
      <c r="H4" s="4" t="s">
        <v>1276</v>
      </c>
      <c r="I4" s="4" t="s">
        <v>1277</v>
      </c>
      <c r="J4" s="4" t="s">
        <v>1278</v>
      </c>
      <c r="K4" s="4" t="s">
        <v>1279</v>
      </c>
      <c r="L4" s="4" t="s">
        <v>55</v>
      </c>
      <c r="M4" s="4" t="s">
        <v>1280</v>
      </c>
      <c r="N4" s="4" t="s">
        <v>1115</v>
      </c>
      <c r="O4" s="4" t="s">
        <v>1112</v>
      </c>
      <c r="P4" s="4" t="s">
        <v>1114</v>
      </c>
      <c r="Q4" s="4" t="s">
        <v>1281</v>
      </c>
      <c r="R4" s="4" t="s">
        <v>1282</v>
      </c>
    </row>
    <row r="5" spans="1:18">
      <c r="A5" s="1" t="s">
        <v>1283</v>
      </c>
      <c r="B5" s="1">
        <v>10</v>
      </c>
      <c r="C5" s="1" t="s">
        <v>1284</v>
      </c>
      <c r="D5" s="1" t="s">
        <v>1285</v>
      </c>
      <c r="E5" s="1" t="s">
        <v>1286</v>
      </c>
      <c r="F5" s="1" t="s">
        <v>1287</v>
      </c>
      <c r="G5" s="1" t="s">
        <v>1122</v>
      </c>
      <c r="H5" s="1" t="s">
        <v>1288</v>
      </c>
      <c r="I5" s="1" t="s">
        <v>1289</v>
      </c>
      <c r="J5" s="1" t="s">
        <v>1290</v>
      </c>
      <c r="K5" s="1" t="s">
        <v>354</v>
      </c>
      <c r="L5" s="1" t="s">
        <v>1291</v>
      </c>
      <c r="M5" s="1" t="s">
        <v>1292</v>
      </c>
      <c r="N5" s="1" t="s">
        <v>1293</v>
      </c>
      <c r="O5" s="1" t="s">
        <v>1133</v>
      </c>
      <c r="P5" s="1" t="s">
        <v>1134</v>
      </c>
      <c r="Q5" s="1" t="s">
        <v>1294</v>
      </c>
      <c r="R5" s="1" t="s">
        <v>1295</v>
      </c>
    </row>
    <row r="6" spans="1:18">
      <c r="A6" s="1" t="s">
        <v>1296</v>
      </c>
      <c r="B6" s="1">
        <v>20</v>
      </c>
      <c r="C6" s="1" t="s">
        <v>1297</v>
      </c>
      <c r="D6" s="1" t="s">
        <v>1298</v>
      </c>
      <c r="E6" s="1" t="s">
        <v>1299</v>
      </c>
      <c r="F6" s="1" t="s">
        <v>616</v>
      </c>
      <c r="G6" s="1" t="s">
        <v>1122</v>
      </c>
      <c r="H6" s="1" t="s">
        <v>1300</v>
      </c>
      <c r="I6" s="1" t="s">
        <v>1289</v>
      </c>
      <c r="J6" s="1" t="s">
        <v>1301</v>
      </c>
      <c r="K6" s="1" t="s">
        <v>354</v>
      </c>
      <c r="L6" s="1" t="s">
        <v>1302</v>
      </c>
      <c r="M6" s="1" t="s">
        <v>1292</v>
      </c>
      <c r="N6" s="1" t="s">
        <v>1301</v>
      </c>
      <c r="O6" s="1" t="s">
        <v>1133</v>
      </c>
      <c r="P6" s="1" t="s">
        <v>1134</v>
      </c>
      <c r="Q6" s="1" t="s">
        <v>1303</v>
      </c>
      <c r="R6" s="1" t="s">
        <v>1304</v>
      </c>
    </row>
    <row r="7" spans="1:18">
      <c r="A7" s="1" t="s">
        <v>1305</v>
      </c>
      <c r="B7" s="1">
        <v>30</v>
      </c>
      <c r="C7" s="1" t="s">
        <v>1306</v>
      </c>
      <c r="D7" s="1" t="s">
        <v>1285</v>
      </c>
      <c r="E7" s="1" t="s">
        <v>1286</v>
      </c>
      <c r="F7" s="1" t="s">
        <v>1287</v>
      </c>
      <c r="G7" s="1" t="s">
        <v>1287</v>
      </c>
      <c r="H7" s="1" t="s">
        <v>1307</v>
      </c>
      <c r="I7" s="1" t="s">
        <v>1308</v>
      </c>
      <c r="J7" s="1" t="s">
        <v>1309</v>
      </c>
      <c r="K7" s="1" t="s">
        <v>354</v>
      </c>
      <c r="L7" s="1" t="s">
        <v>1310</v>
      </c>
      <c r="M7" s="1" t="s">
        <v>1311</v>
      </c>
      <c r="N7" s="1" t="s">
        <v>1293</v>
      </c>
      <c r="O7" s="1" t="s">
        <v>1133</v>
      </c>
      <c r="P7" s="1" t="s">
        <v>1134</v>
      </c>
      <c r="Q7" s="1" t="s">
        <v>1312</v>
      </c>
      <c r="R7" s="1" t="s">
        <v>1313</v>
      </c>
    </row>
    <row r="8" spans="1:18">
      <c r="A8" s="1" t="s">
        <v>1314</v>
      </c>
      <c r="B8" s="1">
        <v>40</v>
      </c>
      <c r="C8" s="1" t="s">
        <v>1315</v>
      </c>
      <c r="D8" s="1" t="s">
        <v>141</v>
      </c>
      <c r="E8" s="1" t="s">
        <v>153</v>
      </c>
      <c r="F8" s="1" t="s">
        <v>64</v>
      </c>
      <c r="G8" s="1" t="s">
        <v>1122</v>
      </c>
      <c r="H8" s="1" t="s">
        <v>1316</v>
      </c>
      <c r="I8" s="1" t="s">
        <v>1317</v>
      </c>
      <c r="J8" s="1" t="s">
        <v>1318</v>
      </c>
      <c r="K8" s="1" t="s">
        <v>354</v>
      </c>
      <c r="L8" s="1" t="s">
        <v>1319</v>
      </c>
      <c r="M8" s="1" t="s">
        <v>1311</v>
      </c>
      <c r="N8" s="1" t="s">
        <v>1320</v>
      </c>
      <c r="O8" s="1" t="s">
        <v>1133</v>
      </c>
      <c r="P8" s="1" t="s">
        <v>1134</v>
      </c>
      <c r="Q8" s="1" t="s">
        <v>1321</v>
      </c>
      <c r="R8" s="1" t="s">
        <v>1322</v>
      </c>
    </row>
    <row r="9" spans="1:18">
      <c r="A9" s="1" t="s">
        <v>1323</v>
      </c>
      <c r="B9" s="1">
        <v>50</v>
      </c>
      <c r="C9" s="1" t="s">
        <v>1324</v>
      </c>
      <c r="D9" s="1" t="s">
        <v>1247</v>
      </c>
      <c r="E9" s="1" t="s">
        <v>1325</v>
      </c>
      <c r="F9" s="1" t="s">
        <v>1287</v>
      </c>
      <c r="G9" s="1" t="s">
        <v>1236</v>
      </c>
      <c r="H9" s="1" t="s">
        <v>1326</v>
      </c>
      <c r="I9" s="1" t="s">
        <v>1327</v>
      </c>
      <c r="J9" s="1" t="s">
        <v>1328</v>
      </c>
      <c r="K9" s="1" t="s">
        <v>1329</v>
      </c>
      <c r="L9" s="1" t="s">
        <v>1330</v>
      </c>
      <c r="M9" s="1" t="s">
        <v>1331</v>
      </c>
      <c r="N9" s="1" t="s">
        <v>1332</v>
      </c>
      <c r="O9" s="1" t="s">
        <v>1133</v>
      </c>
      <c r="P9" s="1" t="s">
        <v>1134</v>
      </c>
      <c r="Q9" s="1" t="s">
        <v>1333</v>
      </c>
      <c r="R9" s="1" t="s">
        <v>1334</v>
      </c>
    </row>
    <row r="10" spans="1:18">
      <c r="A10" s="1" t="s">
        <v>1335</v>
      </c>
      <c r="B10" s="1">
        <v>60</v>
      </c>
      <c r="C10" s="1" t="s">
        <v>1336</v>
      </c>
      <c r="D10" s="1" t="s">
        <v>1285</v>
      </c>
      <c r="E10" s="1" t="s">
        <v>1286</v>
      </c>
      <c r="F10" s="1" t="s">
        <v>1287</v>
      </c>
      <c r="G10" s="1" t="s">
        <v>1287</v>
      </c>
      <c r="H10" s="1" t="s">
        <v>1337</v>
      </c>
      <c r="I10" s="1" t="s">
        <v>1338</v>
      </c>
      <c r="J10" s="1" t="s">
        <v>1339</v>
      </c>
      <c r="K10" s="1" t="s">
        <v>1329</v>
      </c>
      <c r="L10" s="1"/>
      <c r="M10" s="1" t="s">
        <v>1331</v>
      </c>
      <c r="N10" s="1" t="s">
        <v>1293</v>
      </c>
      <c r="O10" s="1" t="s">
        <v>1133</v>
      </c>
      <c r="P10" s="1" t="s">
        <v>1134</v>
      </c>
      <c r="Q10" s="1" t="s">
        <v>1340</v>
      </c>
      <c r="R10" s="1" t="s">
        <v>1341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10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2" customWidth="1"/>
    <col min="3" max="3" width="14" customWidth="1"/>
    <col min="4" max="4" width="32" customWidth="1"/>
    <col min="5" max="5" width="44" customWidth="1"/>
    <col min="6" max="6" width="12" customWidth="1"/>
    <col min="7" max="7" width="11" customWidth="1"/>
    <col min="8" max="8" width="18" customWidth="1"/>
    <col min="9" max="9" width="17" customWidth="1"/>
    <col min="10" max="10" width="20" customWidth="1"/>
    <col min="11" max="11" width="26" customWidth="1"/>
    <col min="12" max="12" width="11" customWidth="1"/>
    <col min="13" max="14" width="14" customWidth="1"/>
  </cols>
  <sheetData>
    <row r="1" spans="1:14" ht="27.95" customHeight="1">
      <c r="A1" s="23" t="s">
        <v>1342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0" customHeight="1">
      <c r="A2" s="25" t="s">
        <v>1343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4" spans="1:14" ht="38.1" customHeight="1">
      <c r="A4" s="4" t="s">
        <v>1344</v>
      </c>
      <c r="B4" s="4" t="s">
        <v>1345</v>
      </c>
      <c r="C4" s="4" t="s">
        <v>1346</v>
      </c>
      <c r="D4" s="4" t="s">
        <v>1347</v>
      </c>
      <c r="E4" s="4" t="s">
        <v>1348</v>
      </c>
      <c r="F4" s="4" t="s">
        <v>1349</v>
      </c>
      <c r="G4" s="4" t="s">
        <v>1280</v>
      </c>
      <c r="H4" s="4" t="s">
        <v>1350</v>
      </c>
      <c r="I4" s="4" t="s">
        <v>55</v>
      </c>
      <c r="J4" s="4" t="s">
        <v>1115</v>
      </c>
      <c r="K4" s="4" t="s">
        <v>1351</v>
      </c>
      <c r="L4" s="4" t="s">
        <v>1114</v>
      </c>
      <c r="M4" s="4" t="s">
        <v>1352</v>
      </c>
      <c r="N4" s="4" t="s">
        <v>1353</v>
      </c>
    </row>
    <row r="5" spans="1:14">
      <c r="A5" s="1" t="s">
        <v>1354</v>
      </c>
      <c r="B5" s="1" t="s">
        <v>1355</v>
      </c>
      <c r="C5" s="1" t="s">
        <v>1356</v>
      </c>
      <c r="D5" s="1" t="s">
        <v>1357</v>
      </c>
      <c r="E5" s="1" t="s">
        <v>1358</v>
      </c>
      <c r="F5" s="1" t="s">
        <v>354</v>
      </c>
      <c r="G5" s="1" t="s">
        <v>1292</v>
      </c>
      <c r="H5" s="1" t="s">
        <v>38</v>
      </c>
      <c r="I5" s="1" t="s">
        <v>1359</v>
      </c>
      <c r="J5" s="1" t="s">
        <v>1360</v>
      </c>
      <c r="K5" s="1" t="s">
        <v>1361</v>
      </c>
      <c r="L5" s="1" t="s">
        <v>1134</v>
      </c>
      <c r="M5" s="1" t="s">
        <v>340</v>
      </c>
      <c r="N5" s="1" t="s">
        <v>1362</v>
      </c>
    </row>
    <row r="6" spans="1:14">
      <c r="A6" s="1" t="s">
        <v>1363</v>
      </c>
      <c r="B6" s="1" t="s">
        <v>1355</v>
      </c>
      <c r="C6" s="1" t="s">
        <v>1356</v>
      </c>
      <c r="D6" s="1" t="s">
        <v>1364</v>
      </c>
      <c r="E6" s="1" t="s">
        <v>1365</v>
      </c>
      <c r="F6" s="1" t="s">
        <v>354</v>
      </c>
      <c r="G6" s="1" t="s">
        <v>1292</v>
      </c>
      <c r="H6" s="1" t="s">
        <v>39</v>
      </c>
      <c r="I6" s="1" t="s">
        <v>1302</v>
      </c>
      <c r="J6" s="1" t="s">
        <v>1301</v>
      </c>
      <c r="K6" s="1" t="s">
        <v>1366</v>
      </c>
      <c r="L6" s="1" t="s">
        <v>1134</v>
      </c>
      <c r="M6" s="1" t="s">
        <v>340</v>
      </c>
      <c r="N6" s="1" t="s">
        <v>1362</v>
      </c>
    </row>
    <row r="7" spans="1:14">
      <c r="A7" s="1" t="s">
        <v>1367</v>
      </c>
      <c r="B7" s="1" t="s">
        <v>1355</v>
      </c>
      <c r="C7" s="1" t="s">
        <v>1356</v>
      </c>
      <c r="D7" s="1" t="s">
        <v>1368</v>
      </c>
      <c r="E7" s="1" t="s">
        <v>1369</v>
      </c>
      <c r="F7" s="1" t="s">
        <v>354</v>
      </c>
      <c r="G7" s="1" t="s">
        <v>1292</v>
      </c>
      <c r="H7" s="1" t="s">
        <v>41</v>
      </c>
      <c r="I7" s="1" t="s">
        <v>1370</v>
      </c>
      <c r="J7" s="1" t="s">
        <v>1371</v>
      </c>
      <c r="K7" s="1" t="s">
        <v>1372</v>
      </c>
      <c r="L7" s="1" t="s">
        <v>1134</v>
      </c>
      <c r="M7" s="1" t="s">
        <v>67</v>
      </c>
      <c r="N7" s="1" t="s">
        <v>1362</v>
      </c>
    </row>
    <row r="8" spans="1:14">
      <c r="A8" s="1" t="s">
        <v>1373</v>
      </c>
      <c r="B8" s="1" t="s">
        <v>1355</v>
      </c>
      <c r="C8" s="1" t="s">
        <v>1356</v>
      </c>
      <c r="D8" s="1" t="s">
        <v>1374</v>
      </c>
      <c r="E8" s="1" t="s">
        <v>1375</v>
      </c>
      <c r="F8" s="1" t="s">
        <v>354</v>
      </c>
      <c r="G8" s="1" t="s">
        <v>1292</v>
      </c>
      <c r="H8" s="1" t="s">
        <v>1376</v>
      </c>
      <c r="I8" s="1" t="s">
        <v>1377</v>
      </c>
      <c r="J8" s="1" t="s">
        <v>1378</v>
      </c>
      <c r="K8" s="1" t="s">
        <v>1379</v>
      </c>
      <c r="L8" s="1" t="s">
        <v>1134</v>
      </c>
      <c r="M8" s="1" t="s">
        <v>67</v>
      </c>
      <c r="N8" s="1" t="s">
        <v>1362</v>
      </c>
    </row>
    <row r="9" spans="1:14">
      <c r="A9" s="1" t="s">
        <v>1380</v>
      </c>
      <c r="B9" s="1" t="s">
        <v>1355</v>
      </c>
      <c r="C9" s="1" t="s">
        <v>1356</v>
      </c>
      <c r="D9" s="1" t="s">
        <v>1381</v>
      </c>
      <c r="E9" s="1" t="s">
        <v>1382</v>
      </c>
      <c r="F9" s="1" t="s">
        <v>354</v>
      </c>
      <c r="G9" s="1" t="s">
        <v>1311</v>
      </c>
      <c r="H9" s="1" t="s">
        <v>1383</v>
      </c>
      <c r="I9" s="1" t="s">
        <v>1384</v>
      </c>
      <c r="J9" s="1" t="s">
        <v>1385</v>
      </c>
      <c r="K9" s="1" t="s">
        <v>1386</v>
      </c>
      <c r="L9" s="1" t="s">
        <v>1134</v>
      </c>
      <c r="M9" s="1" t="s">
        <v>88</v>
      </c>
      <c r="N9" s="1" t="s">
        <v>1362</v>
      </c>
    </row>
    <row r="10" spans="1:14">
      <c r="A10" s="1" t="s">
        <v>1387</v>
      </c>
      <c r="B10" s="1" t="s">
        <v>1355</v>
      </c>
      <c r="C10" s="1" t="s">
        <v>1356</v>
      </c>
      <c r="D10" s="1" t="s">
        <v>1388</v>
      </c>
      <c r="E10" s="1" t="s">
        <v>1389</v>
      </c>
      <c r="F10" s="1" t="s">
        <v>354</v>
      </c>
      <c r="G10" s="1" t="s">
        <v>1311</v>
      </c>
      <c r="H10" s="1" t="s">
        <v>1390</v>
      </c>
      <c r="I10" s="1" t="s">
        <v>1391</v>
      </c>
      <c r="J10" s="1" t="s">
        <v>1320</v>
      </c>
      <c r="K10" s="1" t="s">
        <v>1392</v>
      </c>
      <c r="L10" s="1" t="s">
        <v>1134</v>
      </c>
      <c r="M10" s="1" t="s">
        <v>88</v>
      </c>
      <c r="N10" s="1" t="s">
        <v>1362</v>
      </c>
    </row>
  </sheetData>
  <mergeCells count="2">
    <mergeCell ref="A2:N2"/>
    <mergeCell ref="A1:N1"/>
  </mergeCells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7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7" customWidth="1"/>
    <col min="4" max="4" width="18" customWidth="1"/>
    <col min="5" max="5" width="14" customWidth="1"/>
    <col min="6" max="6" width="17" customWidth="1"/>
    <col min="7" max="7" width="24" customWidth="1"/>
    <col min="8" max="8" width="14" customWidth="1"/>
    <col min="9" max="9" width="13" customWidth="1"/>
    <col min="10" max="10" width="17" customWidth="1"/>
    <col min="11" max="11" width="38" customWidth="1"/>
    <col min="12" max="12" width="14" customWidth="1"/>
    <col min="13" max="13" width="18" customWidth="1"/>
    <col min="14" max="15" width="14" customWidth="1"/>
    <col min="16" max="16" width="11" customWidth="1"/>
    <col min="17" max="18" width="22" customWidth="1"/>
  </cols>
  <sheetData>
    <row r="1" spans="1:18" ht="27.95" customHeight="1">
      <c r="A1" s="23" t="s">
        <v>1393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0" customHeight="1">
      <c r="A2" s="25" t="s">
        <v>1394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4" spans="1:18" ht="38.1" customHeight="1">
      <c r="A4" s="4" t="s">
        <v>1395</v>
      </c>
      <c r="B4" s="4" t="s">
        <v>45</v>
      </c>
      <c r="C4" s="4" t="s">
        <v>46</v>
      </c>
      <c r="D4" s="4" t="s">
        <v>33</v>
      </c>
      <c r="E4" s="4" t="s">
        <v>32</v>
      </c>
      <c r="F4" s="4" t="s">
        <v>1396</v>
      </c>
      <c r="G4" s="4" t="s">
        <v>1397</v>
      </c>
      <c r="H4" s="4" t="s">
        <v>1398</v>
      </c>
      <c r="I4" s="4" t="s">
        <v>1399</v>
      </c>
      <c r="J4" s="4" t="s">
        <v>1400</v>
      </c>
      <c r="K4" s="4" t="s">
        <v>1401</v>
      </c>
      <c r="L4" s="4" t="s">
        <v>1402</v>
      </c>
      <c r="M4" s="4" t="s">
        <v>1403</v>
      </c>
      <c r="N4" s="4" t="s">
        <v>1112</v>
      </c>
      <c r="O4" s="4" t="s">
        <v>1113</v>
      </c>
      <c r="P4" s="4" t="s">
        <v>1114</v>
      </c>
      <c r="Q4" s="4" t="s">
        <v>1115</v>
      </c>
      <c r="R4" s="4" t="s">
        <v>60</v>
      </c>
    </row>
    <row r="5" spans="1:18">
      <c r="A5" s="1" t="s">
        <v>1404</v>
      </c>
      <c r="B5" s="1" t="s">
        <v>71</v>
      </c>
      <c r="C5" s="1" t="s">
        <v>72</v>
      </c>
      <c r="D5" s="1" t="s">
        <v>1121</v>
      </c>
      <c r="E5" s="1" t="s">
        <v>64</v>
      </c>
      <c r="F5" s="1" t="s">
        <v>1258</v>
      </c>
      <c r="G5" s="1" t="s">
        <v>1267</v>
      </c>
      <c r="H5" s="3">
        <v>30000</v>
      </c>
      <c r="I5" s="3">
        <v>0</v>
      </c>
      <c r="J5" s="1" t="s">
        <v>1167</v>
      </c>
      <c r="K5" s="1" t="s">
        <v>1405</v>
      </c>
      <c r="L5" s="11">
        <v>0.2</v>
      </c>
      <c r="M5" s="1" t="s">
        <v>1151</v>
      </c>
      <c r="N5" s="1" t="s">
        <v>1133</v>
      </c>
      <c r="O5" s="1" t="s">
        <v>1406</v>
      </c>
      <c r="P5" s="1" t="s">
        <v>1134</v>
      </c>
      <c r="Q5" s="1" t="s">
        <v>1407</v>
      </c>
      <c r="R5" s="1" t="s">
        <v>1408</v>
      </c>
    </row>
    <row r="6" spans="1:18">
      <c r="A6" s="1" t="s">
        <v>1409</v>
      </c>
      <c r="B6" s="1" t="s">
        <v>71</v>
      </c>
      <c r="C6" s="1" t="s">
        <v>72</v>
      </c>
      <c r="D6" s="1" t="s">
        <v>1209</v>
      </c>
      <c r="E6" s="1" t="s">
        <v>616</v>
      </c>
      <c r="F6" s="1" t="s">
        <v>1410</v>
      </c>
      <c r="G6" s="1" t="s">
        <v>1411</v>
      </c>
      <c r="H6" s="3">
        <v>0</v>
      </c>
      <c r="I6" s="3">
        <v>0</v>
      </c>
      <c r="J6" s="1" t="s">
        <v>1184</v>
      </c>
      <c r="K6" s="1" t="s">
        <v>1412</v>
      </c>
      <c r="L6" s="11">
        <v>0.2</v>
      </c>
      <c r="M6" s="1" t="s">
        <v>1151</v>
      </c>
      <c r="N6" s="1" t="s">
        <v>1133</v>
      </c>
      <c r="O6" s="1" t="s">
        <v>1406</v>
      </c>
      <c r="P6" s="1" t="s">
        <v>1134</v>
      </c>
      <c r="Q6" s="1" t="s">
        <v>1407</v>
      </c>
      <c r="R6" s="1" t="s">
        <v>1408</v>
      </c>
    </row>
    <row r="7" spans="1:18">
      <c r="A7" s="1" t="s">
        <v>1413</v>
      </c>
      <c r="B7" s="1" t="s">
        <v>1414</v>
      </c>
      <c r="C7" s="1" t="s">
        <v>1415</v>
      </c>
      <c r="D7" s="1" t="s">
        <v>1287</v>
      </c>
      <c r="E7" s="1" t="s">
        <v>1287</v>
      </c>
      <c r="F7" s="1" t="s">
        <v>1416</v>
      </c>
      <c r="G7" s="1" t="s">
        <v>1417</v>
      </c>
      <c r="H7" s="3">
        <v>0</v>
      </c>
      <c r="I7" s="3">
        <v>0</v>
      </c>
      <c r="J7" s="1" t="s">
        <v>1418</v>
      </c>
      <c r="K7" s="1" t="s">
        <v>1419</v>
      </c>
      <c r="L7" s="11">
        <v>0</v>
      </c>
      <c r="M7" s="1" t="s">
        <v>1132</v>
      </c>
      <c r="N7" s="1" t="s">
        <v>1133</v>
      </c>
      <c r="O7" s="1" t="s">
        <v>1406</v>
      </c>
      <c r="P7" s="1" t="s">
        <v>1134</v>
      </c>
      <c r="Q7" s="1" t="s">
        <v>1420</v>
      </c>
      <c r="R7" s="1" t="s">
        <v>1408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9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8" customWidth="1"/>
    <col min="2" max="2" width="37" customWidth="1"/>
    <col min="3" max="3" width="18" customWidth="1"/>
    <col min="4" max="4" width="19" customWidth="1"/>
    <col min="5" max="5" width="35" customWidth="1"/>
    <col min="6" max="6" width="13" customWidth="1"/>
    <col min="7" max="7" width="14" customWidth="1"/>
    <col min="8" max="8" width="13" customWidth="1"/>
    <col min="9" max="9" width="16" customWidth="1"/>
    <col min="10" max="10" width="18" customWidth="1"/>
    <col min="11" max="12" width="16" customWidth="1"/>
    <col min="13" max="13" width="19" customWidth="1"/>
    <col min="14" max="15" width="20" customWidth="1"/>
    <col min="16" max="16" width="24" customWidth="1"/>
    <col min="17" max="18" width="14" customWidth="1"/>
    <col min="19" max="19" width="18" customWidth="1"/>
    <col min="20" max="20" width="19" customWidth="1"/>
    <col min="21" max="21" width="25" customWidth="1"/>
  </cols>
  <sheetData>
    <row r="1" spans="1:21" ht="27.95" customHeight="1">
      <c r="A1" s="23" t="s">
        <v>1421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</row>
    <row r="2" spans="1:21" ht="30" customHeight="1">
      <c r="A2" s="25" t="s">
        <v>1422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4" spans="1:21" ht="38.1" customHeight="1">
      <c r="A4" s="4" t="s">
        <v>1423</v>
      </c>
      <c r="B4" s="4" t="s">
        <v>1424</v>
      </c>
      <c r="C4" s="4" t="s">
        <v>1425</v>
      </c>
      <c r="D4" s="4" t="s">
        <v>1426</v>
      </c>
      <c r="E4" s="4" t="s">
        <v>1427</v>
      </c>
      <c r="F4" s="4" t="s">
        <v>16</v>
      </c>
      <c r="G4" s="4" t="s">
        <v>1428</v>
      </c>
      <c r="H4" s="4" t="s">
        <v>1429</v>
      </c>
      <c r="I4" s="4" t="s">
        <v>1430</v>
      </c>
      <c r="J4" s="4" t="s">
        <v>1431</v>
      </c>
      <c r="K4" s="4" t="s">
        <v>45</v>
      </c>
      <c r="L4" s="4" t="s">
        <v>46</v>
      </c>
      <c r="M4" s="4" t="s">
        <v>1432</v>
      </c>
      <c r="N4" s="4" t="s">
        <v>1433</v>
      </c>
      <c r="O4" s="4" t="s">
        <v>1434</v>
      </c>
      <c r="P4" s="4" t="s">
        <v>1396</v>
      </c>
      <c r="Q4" s="4" t="s">
        <v>1435</v>
      </c>
      <c r="R4" s="4" t="s">
        <v>1436</v>
      </c>
      <c r="S4" s="4" t="s">
        <v>1437</v>
      </c>
      <c r="T4" s="4" t="s">
        <v>1438</v>
      </c>
      <c r="U4" s="4" t="s">
        <v>60</v>
      </c>
    </row>
    <row r="5" spans="1:21">
      <c r="A5" s="1" t="s">
        <v>65</v>
      </c>
      <c r="B5" s="1" t="s">
        <v>1439</v>
      </c>
      <c r="C5" s="1" t="s">
        <v>1440</v>
      </c>
      <c r="D5" s="1" t="s">
        <v>1211</v>
      </c>
      <c r="E5" s="1" t="str">
        <f>'CDM Master'!G18</f>
        <v>Hospital Outpatient Clinic Visit, Level 4</v>
      </c>
      <c r="F5" s="1" t="s">
        <v>616</v>
      </c>
      <c r="G5" s="1" t="s">
        <v>39</v>
      </c>
      <c r="H5" s="1" t="str">
        <f>'CDM Master'!K18</f>
        <v>99214</v>
      </c>
      <c r="I5" s="3">
        <f>'CDM Master'!O18</f>
        <v>400</v>
      </c>
      <c r="J5" s="3">
        <f>I5*65%</f>
        <v>260</v>
      </c>
      <c r="K5" s="3" t="s">
        <v>71</v>
      </c>
      <c r="L5" s="3" t="s">
        <v>72</v>
      </c>
      <c r="M5" s="3">
        <f>I5*72%</f>
        <v>288</v>
      </c>
      <c r="N5" s="3">
        <f>I5*55%</f>
        <v>220.00000000000003</v>
      </c>
      <c r="O5" s="3">
        <f>I5*88%</f>
        <v>352</v>
      </c>
      <c r="P5" s="1" t="s">
        <v>1441</v>
      </c>
      <c r="Q5" s="1" t="s">
        <v>340</v>
      </c>
      <c r="R5" s="1" t="s">
        <v>1151</v>
      </c>
      <c r="S5" s="1" t="s">
        <v>1151</v>
      </c>
      <c r="T5" s="1" t="s">
        <v>1211</v>
      </c>
      <c r="U5" s="1" t="s">
        <v>1442</v>
      </c>
    </row>
    <row r="6" spans="1:21">
      <c r="A6" s="1" t="s">
        <v>65</v>
      </c>
      <c r="B6" s="1" t="s">
        <v>1439</v>
      </c>
      <c r="C6" s="1" t="s">
        <v>1440</v>
      </c>
      <c r="D6" s="1" t="s">
        <v>1192</v>
      </c>
      <c r="E6" s="1" t="str">
        <f>'CDM Master'!G12</f>
        <v>Cefazolin 1 g Injection</v>
      </c>
      <c r="F6" s="1" t="s">
        <v>616</v>
      </c>
      <c r="G6" s="1" t="s">
        <v>39</v>
      </c>
      <c r="H6" s="1" t="str">
        <f>'CDM Master'!K12</f>
        <v>J0690</v>
      </c>
      <c r="I6" s="3">
        <f>'CDM Master'!O12</f>
        <v>500</v>
      </c>
      <c r="J6" s="3">
        <f>I6*65%</f>
        <v>325</v>
      </c>
      <c r="K6" s="3" t="s">
        <v>71</v>
      </c>
      <c r="L6" s="3" t="s">
        <v>72</v>
      </c>
      <c r="M6" s="3">
        <f>I6*72%</f>
        <v>360</v>
      </c>
      <c r="N6" s="3">
        <f>I6*55%</f>
        <v>275</v>
      </c>
      <c r="O6" s="3">
        <f>I6*88%</f>
        <v>440</v>
      </c>
      <c r="P6" s="1" t="s">
        <v>1441</v>
      </c>
      <c r="Q6" s="1" t="s">
        <v>340</v>
      </c>
      <c r="R6" s="1" t="s">
        <v>1151</v>
      </c>
      <c r="S6" s="1" t="s">
        <v>1151</v>
      </c>
      <c r="T6" s="1" t="s">
        <v>1192</v>
      </c>
      <c r="U6" s="1" t="s">
        <v>1442</v>
      </c>
    </row>
    <row r="7" spans="1:21">
      <c r="A7" s="1" t="s">
        <v>65</v>
      </c>
      <c r="B7" s="1" t="s">
        <v>1439</v>
      </c>
      <c r="C7" s="1" t="s">
        <v>1440</v>
      </c>
      <c r="D7" s="1" t="s">
        <v>1215</v>
      </c>
      <c r="E7" s="1" t="str">
        <f>'CDM Master'!G14</f>
        <v>Knee X-ray, 1-2 Views</v>
      </c>
      <c r="F7" s="1" t="s">
        <v>616</v>
      </c>
      <c r="G7" s="1" t="s">
        <v>39</v>
      </c>
      <c r="H7" s="1" t="str">
        <f>'CDM Master'!K14</f>
        <v>73560</v>
      </c>
      <c r="I7" s="3">
        <f>'CDM Master'!O14</f>
        <v>400</v>
      </c>
      <c r="J7" s="3">
        <f>I7*65%</f>
        <v>260</v>
      </c>
      <c r="K7" s="3" t="s">
        <v>71</v>
      </c>
      <c r="L7" s="3" t="s">
        <v>72</v>
      </c>
      <c r="M7" s="3">
        <f>I7*72%</f>
        <v>288</v>
      </c>
      <c r="N7" s="3">
        <f>I7*55%</f>
        <v>220.00000000000003</v>
      </c>
      <c r="O7" s="3">
        <f>I7*88%</f>
        <v>352</v>
      </c>
      <c r="P7" s="1" t="s">
        <v>1441</v>
      </c>
      <c r="Q7" s="1" t="s">
        <v>340</v>
      </c>
      <c r="R7" s="1" t="s">
        <v>1151</v>
      </c>
      <c r="S7" s="1" t="s">
        <v>1151</v>
      </c>
      <c r="T7" s="1" t="s">
        <v>1215</v>
      </c>
      <c r="U7" s="1" t="s">
        <v>1442</v>
      </c>
    </row>
    <row r="8" spans="1:21">
      <c r="A8" s="1" t="s">
        <v>65</v>
      </c>
      <c r="B8" s="1" t="s">
        <v>1439</v>
      </c>
      <c r="C8" s="1" t="s">
        <v>1440</v>
      </c>
      <c r="D8" s="1" t="s">
        <v>1227</v>
      </c>
      <c r="E8" s="1" t="str">
        <f>'CDM Master'!G18</f>
        <v>Hospital Outpatient Clinic Visit, Level 4</v>
      </c>
      <c r="F8" s="1" t="s">
        <v>616</v>
      </c>
      <c r="G8" s="1" t="s">
        <v>39</v>
      </c>
      <c r="H8" s="1" t="str">
        <f>'CDM Master'!K18</f>
        <v>99214</v>
      </c>
      <c r="I8" s="3">
        <f>'CDM Master'!O18</f>
        <v>400</v>
      </c>
      <c r="J8" s="3">
        <f>I8*65%</f>
        <v>260</v>
      </c>
      <c r="K8" s="3" t="s">
        <v>71</v>
      </c>
      <c r="L8" s="3" t="s">
        <v>72</v>
      </c>
      <c r="M8" s="3">
        <f>I8*72%</f>
        <v>288</v>
      </c>
      <c r="N8" s="3">
        <f>I8*55%</f>
        <v>220.00000000000003</v>
      </c>
      <c r="O8" s="3">
        <f>I8*88%</f>
        <v>352</v>
      </c>
      <c r="P8" s="1" t="s">
        <v>1441</v>
      </c>
      <c r="Q8" s="1" t="s">
        <v>340</v>
      </c>
      <c r="R8" s="1" t="s">
        <v>1151</v>
      </c>
      <c r="S8" s="1" t="s">
        <v>1151</v>
      </c>
      <c r="T8" s="1" t="s">
        <v>1227</v>
      </c>
      <c r="U8" s="1" t="s">
        <v>1442</v>
      </c>
    </row>
    <row r="9" spans="1:21">
      <c r="A9" s="1" t="s">
        <v>65</v>
      </c>
      <c r="B9" s="1" t="s">
        <v>1439</v>
      </c>
      <c r="C9" s="1" t="s">
        <v>1440</v>
      </c>
      <c r="D9" s="1" t="s">
        <v>1164</v>
      </c>
      <c r="E9" s="1" t="str">
        <f>'CDM Master'!G9</f>
        <v>Recovery Room, First Hour</v>
      </c>
      <c r="F9" s="1" t="s">
        <v>64</v>
      </c>
      <c r="G9" s="1" t="s">
        <v>39</v>
      </c>
      <c r="H9" s="1">
        <f>'CDM Master'!K9</f>
        <v>0</v>
      </c>
      <c r="I9" s="3">
        <f>'CDM Master'!O9</f>
        <v>2000</v>
      </c>
      <c r="J9" s="3">
        <f>I9*65%</f>
        <v>1300</v>
      </c>
      <c r="K9" s="3" t="s">
        <v>71</v>
      </c>
      <c r="L9" s="3" t="s">
        <v>72</v>
      </c>
      <c r="M9" s="3">
        <f>I9*72%</f>
        <v>1440</v>
      </c>
      <c r="N9" s="3">
        <f>I9*55%</f>
        <v>1100</v>
      </c>
      <c r="O9" s="3">
        <f>I9*88%</f>
        <v>1760</v>
      </c>
      <c r="P9" s="1" t="s">
        <v>1441</v>
      </c>
      <c r="Q9" s="1" t="s">
        <v>340</v>
      </c>
      <c r="R9" s="1" t="s">
        <v>1151</v>
      </c>
      <c r="S9" s="1" t="s">
        <v>1132</v>
      </c>
      <c r="T9" s="1" t="s">
        <v>1164</v>
      </c>
      <c r="U9" s="1" t="s">
        <v>1442</v>
      </c>
    </row>
  </sheetData>
  <mergeCells count="2">
    <mergeCell ref="A1:U1"/>
    <mergeCell ref="A2:U2"/>
  </mergeCells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7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2" width="16" customWidth="1"/>
    <col min="3" max="3" width="32" customWidth="1"/>
    <col min="4" max="4" width="20" customWidth="1"/>
    <col min="5" max="5" width="30" customWidth="1"/>
    <col min="6" max="6" width="20" customWidth="1"/>
    <col min="7" max="7" width="18" customWidth="1"/>
    <col min="8" max="8" width="16" customWidth="1"/>
    <col min="9" max="9" width="18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8" customWidth="1"/>
    <col min="16" max="16" width="14" customWidth="1"/>
    <col min="17" max="17" width="11" customWidth="1"/>
    <col min="18" max="18" width="13" customWidth="1"/>
  </cols>
  <sheetData>
    <row r="1" spans="1:18" ht="27.95" customHeight="1">
      <c r="A1" s="23" t="s">
        <v>1443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30" customHeight="1">
      <c r="A2" s="25" t="s">
        <v>1444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4" spans="1:18" ht="38.1" customHeight="1">
      <c r="A4" s="4" t="s">
        <v>1445</v>
      </c>
      <c r="B4" s="4" t="s">
        <v>1446</v>
      </c>
      <c r="C4" s="4" t="s">
        <v>1447</v>
      </c>
      <c r="D4" s="4" t="s">
        <v>1448</v>
      </c>
      <c r="E4" s="4" t="s">
        <v>1449</v>
      </c>
      <c r="F4" s="4" t="s">
        <v>1450</v>
      </c>
      <c r="G4" s="4" t="s">
        <v>1451</v>
      </c>
      <c r="H4" s="4" t="s">
        <v>1452</v>
      </c>
      <c r="I4" s="4" t="s">
        <v>1453</v>
      </c>
      <c r="J4" s="4" t="s">
        <v>1454</v>
      </c>
      <c r="K4" s="4" t="s">
        <v>1455</v>
      </c>
      <c r="L4" s="4" t="s">
        <v>1456</v>
      </c>
      <c r="M4" s="4" t="s">
        <v>1112</v>
      </c>
      <c r="N4" s="4" t="s">
        <v>1457</v>
      </c>
      <c r="O4" s="4" t="s">
        <v>1114</v>
      </c>
      <c r="P4" s="4" t="s">
        <v>1458</v>
      </c>
      <c r="Q4" s="4" t="s">
        <v>1459</v>
      </c>
      <c r="R4" s="4" t="s">
        <v>1460</v>
      </c>
    </row>
    <row r="5" spans="1:18">
      <c r="A5" s="1" t="s">
        <v>1461</v>
      </c>
      <c r="B5" s="1" t="s">
        <v>1462</v>
      </c>
      <c r="C5" s="1" t="s">
        <v>1463</v>
      </c>
      <c r="D5" s="1" t="s">
        <v>1211</v>
      </c>
      <c r="E5" s="1" t="s">
        <v>1464</v>
      </c>
      <c r="F5" s="1" t="s">
        <v>1465</v>
      </c>
      <c r="G5" s="1" t="s">
        <v>1466</v>
      </c>
      <c r="H5" s="1" t="s">
        <v>1466</v>
      </c>
      <c r="I5" s="1" t="s">
        <v>1466</v>
      </c>
      <c r="J5" s="1" t="s">
        <v>1466</v>
      </c>
      <c r="K5" s="1" t="s">
        <v>1467</v>
      </c>
      <c r="L5" s="1" t="s">
        <v>1468</v>
      </c>
      <c r="M5" s="1" t="s">
        <v>1469</v>
      </c>
      <c r="N5" s="1" t="s">
        <v>1470</v>
      </c>
      <c r="O5" s="1" t="s">
        <v>1471</v>
      </c>
      <c r="P5" s="1" t="s">
        <v>330</v>
      </c>
      <c r="Q5" s="1">
        <f ca="1">TODAY()-DATEVALUE("2026-09-01")</f>
        <v>30</v>
      </c>
      <c r="R5" s="1" t="str">
        <f ca="1">IF(O5="Closed","Closed",IF(P5&lt;TODAY(),"Overdue","On Track"))</f>
        <v>On Track</v>
      </c>
    </row>
    <row r="6" spans="1:18">
      <c r="A6" s="1" t="s">
        <v>1472</v>
      </c>
      <c r="B6" s="1" t="s">
        <v>1473</v>
      </c>
      <c r="C6" s="1" t="s">
        <v>1474</v>
      </c>
      <c r="D6" s="1" t="s">
        <v>1475</v>
      </c>
      <c r="E6" s="1" t="s">
        <v>1476</v>
      </c>
      <c r="F6" s="1" t="s">
        <v>1477</v>
      </c>
      <c r="G6" s="1" t="s">
        <v>1466</v>
      </c>
      <c r="H6" s="1" t="s">
        <v>1478</v>
      </c>
      <c r="I6" s="1" t="s">
        <v>1479</v>
      </c>
      <c r="J6" s="1" t="s">
        <v>1479</v>
      </c>
      <c r="K6" s="1" t="s">
        <v>1480</v>
      </c>
      <c r="L6" s="1" t="s">
        <v>1479</v>
      </c>
      <c r="M6" s="1" t="s">
        <v>1481</v>
      </c>
      <c r="N6" s="1" t="s">
        <v>1482</v>
      </c>
      <c r="O6" s="1" t="s">
        <v>1478</v>
      </c>
      <c r="P6" s="1" t="s">
        <v>1483</v>
      </c>
      <c r="Q6" s="1">
        <f ca="1">TODAY()-DATEVALUE("2026-09-01")</f>
        <v>30</v>
      </c>
      <c r="R6" s="1" t="str">
        <f ca="1">IF(O6="Closed","Closed",IF(P6&lt;TODAY(),"Overdue","On Track"))</f>
        <v>On Track</v>
      </c>
    </row>
    <row r="7" spans="1:18">
      <c r="A7" s="1" t="s">
        <v>1484</v>
      </c>
      <c r="B7" s="1" t="s">
        <v>1485</v>
      </c>
      <c r="C7" s="1" t="s">
        <v>1486</v>
      </c>
      <c r="D7" s="1" t="s">
        <v>1487</v>
      </c>
      <c r="E7" s="1" t="s">
        <v>1488</v>
      </c>
      <c r="F7" s="1" t="s">
        <v>1489</v>
      </c>
      <c r="G7" s="1" t="s">
        <v>1466</v>
      </c>
      <c r="H7" s="1" t="s">
        <v>1466</v>
      </c>
      <c r="I7" s="1" t="s">
        <v>1466</v>
      </c>
      <c r="J7" s="1" t="s">
        <v>1466</v>
      </c>
      <c r="K7" s="1" t="s">
        <v>1467</v>
      </c>
      <c r="L7" s="1" t="s">
        <v>79</v>
      </c>
      <c r="M7" s="1" t="s">
        <v>212</v>
      </c>
      <c r="N7" s="1" t="s">
        <v>1490</v>
      </c>
      <c r="O7" s="1" t="s">
        <v>1491</v>
      </c>
      <c r="P7" s="1" t="s">
        <v>180</v>
      </c>
      <c r="Q7" s="1">
        <f ca="1">TODAY()-DATEVALUE("2026-09-01")</f>
        <v>30</v>
      </c>
      <c r="R7" s="1" t="str">
        <f ca="1">IF(O7="Closed","Closed",IF(P7&lt;TODAY(),"Overdue","On Track"))</f>
        <v>Closed</v>
      </c>
    </row>
  </sheetData>
  <mergeCells count="2">
    <mergeCell ref="A2:R2"/>
    <mergeCell ref="A1:R1"/>
  </mergeCells>
  <pageMargins left="0.75" right="0.75" top="1" bottom="1" header="0.5" footer="0.5"/>
  <pageSetup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M8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3" width="24" customWidth="1"/>
    <col min="4" max="4" width="13" customWidth="1"/>
    <col min="5" max="5" width="16" customWidth="1"/>
    <col min="6" max="6" width="20" customWidth="1"/>
    <col min="7" max="7" width="22" customWidth="1"/>
    <col min="8" max="8" width="23" customWidth="1"/>
    <col min="9" max="10" width="28" customWidth="1"/>
    <col min="11" max="11" width="18" customWidth="1"/>
    <col min="12" max="12" width="14" customWidth="1"/>
    <col min="13" max="13" width="12" customWidth="1"/>
  </cols>
  <sheetData>
    <row r="1" spans="1:13" ht="27.95" customHeight="1">
      <c r="A1" s="23" t="s">
        <v>1492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30" customHeight="1">
      <c r="A2" s="25" t="s">
        <v>1493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spans="1:13" ht="38.1" customHeight="1">
      <c r="A4" s="4" t="s">
        <v>1494</v>
      </c>
      <c r="B4" s="4" t="s">
        <v>1495</v>
      </c>
      <c r="C4" s="4" t="s">
        <v>1496</v>
      </c>
      <c r="D4" s="4" t="s">
        <v>1277</v>
      </c>
      <c r="E4" s="4" t="s">
        <v>1497</v>
      </c>
      <c r="F4" s="4" t="s">
        <v>1498</v>
      </c>
      <c r="G4" s="4" t="s">
        <v>1499</v>
      </c>
      <c r="H4" s="4" t="s">
        <v>1500</v>
      </c>
      <c r="I4" s="4" t="s">
        <v>1501</v>
      </c>
      <c r="J4" s="4" t="s">
        <v>1502</v>
      </c>
      <c r="K4" s="4" t="s">
        <v>1503</v>
      </c>
      <c r="L4" s="4" t="s">
        <v>1504</v>
      </c>
      <c r="M4" s="4" t="s">
        <v>1505</v>
      </c>
    </row>
    <row r="5" spans="1:13">
      <c r="A5" s="1" t="s">
        <v>1506</v>
      </c>
      <c r="B5" s="1" t="s">
        <v>1507</v>
      </c>
      <c r="C5" s="1" t="s">
        <v>1508</v>
      </c>
      <c r="D5" s="1" t="s">
        <v>1509</v>
      </c>
      <c r="E5" s="1" t="s">
        <v>1510</v>
      </c>
      <c r="F5" s="1" t="s">
        <v>1211</v>
      </c>
      <c r="G5" s="1" t="s">
        <v>1511</v>
      </c>
      <c r="H5" s="1" t="s">
        <v>1512</v>
      </c>
      <c r="I5" s="1" t="s">
        <v>1513</v>
      </c>
      <c r="J5" s="1" t="s">
        <v>1464</v>
      </c>
      <c r="K5" s="1" t="s">
        <v>1461</v>
      </c>
      <c r="L5" s="1" t="s">
        <v>1514</v>
      </c>
      <c r="M5" s="1" t="s">
        <v>1515</v>
      </c>
    </row>
    <row r="6" spans="1:13">
      <c r="A6" s="1" t="s">
        <v>1516</v>
      </c>
      <c r="B6" s="1" t="s">
        <v>1517</v>
      </c>
      <c r="C6" s="1" t="s">
        <v>1518</v>
      </c>
      <c r="D6" s="1" t="s">
        <v>1509</v>
      </c>
      <c r="E6" s="1" t="s">
        <v>1510</v>
      </c>
      <c r="F6" s="1" t="s">
        <v>1182</v>
      </c>
      <c r="G6" s="1" t="s">
        <v>1519</v>
      </c>
      <c r="H6" s="1" t="s">
        <v>1520</v>
      </c>
      <c r="I6" s="1" t="s">
        <v>171</v>
      </c>
      <c r="J6" s="1" t="s">
        <v>1521</v>
      </c>
      <c r="K6" s="1" t="s">
        <v>1522</v>
      </c>
      <c r="L6" s="1" t="s">
        <v>1514</v>
      </c>
      <c r="M6" s="1" t="s">
        <v>1515</v>
      </c>
    </row>
    <row r="7" spans="1:13">
      <c r="A7" s="1" t="s">
        <v>1523</v>
      </c>
      <c r="B7" s="1" t="s">
        <v>1524</v>
      </c>
      <c r="C7" s="1" t="s">
        <v>1525</v>
      </c>
      <c r="D7" s="1" t="s">
        <v>1526</v>
      </c>
      <c r="E7" s="1" t="s">
        <v>1527</v>
      </c>
      <c r="F7" s="1" t="s">
        <v>1404</v>
      </c>
      <c r="G7" s="1" t="s">
        <v>1528</v>
      </c>
      <c r="H7" s="1" t="s">
        <v>1520</v>
      </c>
      <c r="I7" s="1" t="s">
        <v>1529</v>
      </c>
      <c r="J7" s="1" t="s">
        <v>1530</v>
      </c>
      <c r="K7" s="1" t="s">
        <v>1531</v>
      </c>
      <c r="L7" s="1" t="s">
        <v>1532</v>
      </c>
      <c r="M7" s="1" t="s">
        <v>1515</v>
      </c>
    </row>
    <row r="8" spans="1:13">
      <c r="A8" s="1" t="s">
        <v>1533</v>
      </c>
      <c r="B8" s="1" t="s">
        <v>1534</v>
      </c>
      <c r="C8" s="1" t="s">
        <v>1535</v>
      </c>
      <c r="D8" s="1" t="s">
        <v>1536</v>
      </c>
      <c r="E8" s="1" t="s">
        <v>1537</v>
      </c>
      <c r="F8" s="1" t="s">
        <v>1314</v>
      </c>
      <c r="G8" s="1" t="s">
        <v>1114</v>
      </c>
      <c r="H8" s="1" t="s">
        <v>1532</v>
      </c>
      <c r="I8" s="1" t="s">
        <v>1134</v>
      </c>
      <c r="J8" s="1" t="s">
        <v>1538</v>
      </c>
      <c r="K8" s="1" t="s">
        <v>1539</v>
      </c>
      <c r="L8" s="1" t="s">
        <v>1514</v>
      </c>
      <c r="M8" s="1" t="s">
        <v>1515</v>
      </c>
    </row>
  </sheetData>
  <mergeCells count="2">
    <mergeCell ref="A2:M2"/>
    <mergeCell ref="A1:M1"/>
  </mergeCells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3" width="24" customWidth="1"/>
    <col min="4" max="4" width="38" customWidth="1"/>
    <col min="5" max="5" width="23" customWidth="1"/>
    <col min="6" max="6" width="24" customWidth="1"/>
    <col min="7" max="7" width="34" customWidth="1"/>
    <col min="8" max="8" width="26" customWidth="1"/>
    <col min="9" max="9" width="18" customWidth="1"/>
    <col min="10" max="10" width="32" customWidth="1"/>
  </cols>
  <sheetData>
    <row r="1" spans="1:10" ht="27.95" customHeight="1">
      <c r="A1" s="23" t="s">
        <v>1540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0" customHeight="1">
      <c r="A2" s="25" t="s">
        <v>1541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38.1" customHeight="1">
      <c r="A4" s="4" t="s">
        <v>1542</v>
      </c>
      <c r="B4" s="4" t="s">
        <v>1543</v>
      </c>
      <c r="C4" s="4" t="s">
        <v>1544</v>
      </c>
      <c r="D4" s="4" t="s">
        <v>1545</v>
      </c>
      <c r="E4" s="4" t="s">
        <v>1546</v>
      </c>
      <c r="F4" s="4" t="s">
        <v>1547</v>
      </c>
      <c r="G4" s="4" t="s">
        <v>1548</v>
      </c>
      <c r="H4" s="4" t="s">
        <v>1115</v>
      </c>
      <c r="I4" s="4" t="s">
        <v>1549</v>
      </c>
      <c r="J4" s="4" t="s">
        <v>1550</v>
      </c>
    </row>
    <row r="5" spans="1:10">
      <c r="A5" s="1" t="s">
        <v>1551</v>
      </c>
      <c r="B5" s="1" t="s">
        <v>1552</v>
      </c>
      <c r="C5" s="1" t="s">
        <v>1553</v>
      </c>
      <c r="D5" s="1" t="s">
        <v>1554</v>
      </c>
      <c r="E5" s="1" t="s">
        <v>1555</v>
      </c>
      <c r="F5" s="1" t="s">
        <v>1556</v>
      </c>
      <c r="G5" s="1" t="s">
        <v>1557</v>
      </c>
      <c r="H5" s="1" t="s">
        <v>1558</v>
      </c>
      <c r="I5" s="1" t="s">
        <v>1559</v>
      </c>
      <c r="J5" s="1" t="s">
        <v>1560</v>
      </c>
    </row>
    <row r="6" spans="1:10">
      <c r="A6" s="1" t="s">
        <v>1561</v>
      </c>
      <c r="B6" s="1" t="s">
        <v>1562</v>
      </c>
      <c r="C6" s="1" t="s">
        <v>1563</v>
      </c>
      <c r="D6" s="1" t="s">
        <v>1564</v>
      </c>
      <c r="E6" s="1" t="s">
        <v>1565</v>
      </c>
      <c r="F6" s="1" t="s">
        <v>1566</v>
      </c>
      <c r="G6" s="1" t="s">
        <v>1567</v>
      </c>
      <c r="H6" s="1" t="s">
        <v>1477</v>
      </c>
      <c r="I6" s="1" t="s">
        <v>1559</v>
      </c>
      <c r="J6" s="1" t="s">
        <v>1568</v>
      </c>
    </row>
    <row r="7" spans="1:10">
      <c r="A7" s="1" t="s">
        <v>1167</v>
      </c>
      <c r="B7" s="1" t="s">
        <v>1569</v>
      </c>
      <c r="C7" s="1" t="s">
        <v>1563</v>
      </c>
      <c r="D7" s="1" t="s">
        <v>1570</v>
      </c>
      <c r="E7" s="1" t="s">
        <v>1571</v>
      </c>
      <c r="F7" s="1" t="s">
        <v>1572</v>
      </c>
      <c r="G7" s="1" t="s">
        <v>1573</v>
      </c>
      <c r="H7" s="1" t="s">
        <v>1173</v>
      </c>
      <c r="I7" s="1" t="s">
        <v>1559</v>
      </c>
      <c r="J7" s="1" t="s">
        <v>1574</v>
      </c>
    </row>
    <row r="8" spans="1:10">
      <c r="A8" s="1" t="s">
        <v>1575</v>
      </c>
      <c r="B8" s="1" t="s">
        <v>1576</v>
      </c>
      <c r="C8" s="1" t="s">
        <v>1553</v>
      </c>
      <c r="D8" s="1" t="s">
        <v>1577</v>
      </c>
      <c r="E8" s="1" t="s">
        <v>1578</v>
      </c>
      <c r="F8" s="1" t="s">
        <v>1579</v>
      </c>
      <c r="G8" s="1" t="s">
        <v>1580</v>
      </c>
      <c r="H8" s="1" t="s">
        <v>1190</v>
      </c>
      <c r="I8" s="1" t="s">
        <v>1559</v>
      </c>
      <c r="J8" s="1" t="s">
        <v>1581</v>
      </c>
    </row>
    <row r="9" spans="1:10">
      <c r="A9" s="1" t="s">
        <v>1195</v>
      </c>
      <c r="B9" s="1" t="s">
        <v>204</v>
      </c>
      <c r="C9" s="1" t="s">
        <v>1553</v>
      </c>
      <c r="D9" s="1" t="s">
        <v>1582</v>
      </c>
      <c r="E9" s="1" t="s">
        <v>1583</v>
      </c>
      <c r="F9" s="1" t="s">
        <v>1584</v>
      </c>
      <c r="G9" s="1" t="s">
        <v>1585</v>
      </c>
      <c r="H9" s="1" t="s">
        <v>1586</v>
      </c>
      <c r="I9" s="1" t="s">
        <v>1559</v>
      </c>
      <c r="J9" s="1" t="s">
        <v>1587</v>
      </c>
    </row>
    <row r="10" spans="1:10">
      <c r="A10" s="1" t="s">
        <v>1203</v>
      </c>
      <c r="B10" s="1" t="s">
        <v>238</v>
      </c>
      <c r="C10" s="1" t="s">
        <v>1553</v>
      </c>
      <c r="D10" s="1" t="s">
        <v>1588</v>
      </c>
      <c r="E10" s="1" t="s">
        <v>1589</v>
      </c>
      <c r="F10" s="1" t="s">
        <v>1590</v>
      </c>
      <c r="G10" s="1" t="s">
        <v>1591</v>
      </c>
      <c r="H10" s="1" t="s">
        <v>1465</v>
      </c>
      <c r="I10" s="1" t="s">
        <v>1559</v>
      </c>
      <c r="J10" s="1" t="s">
        <v>1592</v>
      </c>
    </row>
    <row r="11" spans="1:10">
      <c r="A11" s="1" t="s">
        <v>285</v>
      </c>
      <c r="B11" s="1" t="s">
        <v>1593</v>
      </c>
      <c r="C11" s="1" t="s">
        <v>1553</v>
      </c>
      <c r="D11" s="1" t="s">
        <v>1594</v>
      </c>
      <c r="E11" s="1" t="s">
        <v>1595</v>
      </c>
      <c r="F11" s="1" t="s">
        <v>1596</v>
      </c>
      <c r="G11" s="1" t="s">
        <v>1597</v>
      </c>
      <c r="H11" s="1" t="s">
        <v>1598</v>
      </c>
      <c r="I11" s="1" t="s">
        <v>1559</v>
      </c>
      <c r="J11" s="1" t="s">
        <v>1599</v>
      </c>
    </row>
    <row r="12" spans="1:10">
      <c r="A12" s="1" t="s">
        <v>1600</v>
      </c>
      <c r="B12" s="1" t="s">
        <v>1601</v>
      </c>
      <c r="C12" s="1" t="s">
        <v>1602</v>
      </c>
      <c r="D12" s="1" t="s">
        <v>1603</v>
      </c>
      <c r="E12" s="1" t="s">
        <v>1604</v>
      </c>
      <c r="F12" s="1" t="s">
        <v>1605</v>
      </c>
      <c r="G12" s="1" t="s">
        <v>1606</v>
      </c>
      <c r="H12" s="1" t="s">
        <v>1332</v>
      </c>
      <c r="I12" s="1" t="s">
        <v>1559</v>
      </c>
      <c r="J12" s="1" t="s">
        <v>1607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J12"/>
  <sheetViews>
    <sheetView showGridLines="0" zoomScale="85" workbookViewId="0">
      <pane ySplit="3" topLeftCell="A4" activePane="bottomLeft" state="frozen"/>
      <selection pane="bottomLeft"/>
    </sheetView>
  </sheetViews>
  <sheetFormatPr defaultRowHeight="15"/>
  <cols>
    <col min="1" max="1" width="22" customWidth="1"/>
    <col min="2" max="2" width="25" customWidth="1"/>
    <col min="3" max="3" width="45" customWidth="1"/>
    <col min="4" max="4" width="13" customWidth="1"/>
    <col min="5" max="5" width="12" customWidth="1"/>
    <col min="6" max="6" width="27" customWidth="1"/>
    <col min="7" max="7" width="35" customWidth="1"/>
    <col min="8" max="8" width="25" customWidth="1"/>
    <col min="9" max="9" width="22" customWidth="1"/>
    <col min="10" max="10" width="20" customWidth="1"/>
  </cols>
  <sheetData>
    <row r="1" spans="1:10" ht="27.95" customHeight="1">
      <c r="A1" s="23" t="s">
        <v>1608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ht="30" customHeight="1">
      <c r="A2" s="25" t="s">
        <v>1609</v>
      </c>
      <c r="B2" s="29"/>
      <c r="C2" s="29"/>
      <c r="D2" s="29"/>
      <c r="E2" s="29"/>
      <c r="F2" s="29"/>
      <c r="G2" s="29"/>
      <c r="H2" s="29"/>
      <c r="I2" s="29"/>
      <c r="J2" s="29"/>
    </row>
    <row r="4" spans="1:10" ht="38.1" customHeight="1">
      <c r="A4" s="4" t="s">
        <v>1610</v>
      </c>
      <c r="B4" s="4" t="s">
        <v>1611</v>
      </c>
      <c r="C4" s="4" t="s">
        <v>1612</v>
      </c>
      <c r="D4" s="4" t="s">
        <v>1613</v>
      </c>
      <c r="E4" s="4" t="s">
        <v>1614</v>
      </c>
      <c r="F4" s="4" t="s">
        <v>1615</v>
      </c>
      <c r="G4" s="4" t="s">
        <v>1616</v>
      </c>
      <c r="H4" s="4" t="s">
        <v>1617</v>
      </c>
      <c r="I4" s="4" t="s">
        <v>1115</v>
      </c>
      <c r="J4" s="4" t="s">
        <v>1618</v>
      </c>
    </row>
    <row r="5" spans="1:10">
      <c r="A5" s="1" t="s">
        <v>1619</v>
      </c>
      <c r="B5" s="1" t="s">
        <v>1096</v>
      </c>
      <c r="C5" s="1" t="s">
        <v>1620</v>
      </c>
      <c r="D5" s="1" t="s">
        <v>1621</v>
      </c>
      <c r="E5" s="1" t="s">
        <v>1151</v>
      </c>
      <c r="F5" s="1" t="s">
        <v>1622</v>
      </c>
      <c r="G5" s="1" t="s">
        <v>1623</v>
      </c>
      <c r="H5" s="1" t="s">
        <v>1624</v>
      </c>
      <c r="I5" s="1" t="s">
        <v>1293</v>
      </c>
      <c r="J5" s="1" t="s">
        <v>1625</v>
      </c>
    </row>
    <row r="6" spans="1:10">
      <c r="A6" s="1" t="s">
        <v>1619</v>
      </c>
      <c r="B6" s="1" t="s">
        <v>38</v>
      </c>
      <c r="C6" s="1" t="s">
        <v>1626</v>
      </c>
      <c r="D6" s="1" t="s">
        <v>1621</v>
      </c>
      <c r="E6" s="1" t="s">
        <v>1627</v>
      </c>
      <c r="F6" s="1" t="s">
        <v>1628</v>
      </c>
      <c r="G6" s="1" t="s">
        <v>1629</v>
      </c>
      <c r="H6" s="1" t="s">
        <v>1630</v>
      </c>
      <c r="I6" s="1" t="s">
        <v>1301</v>
      </c>
      <c r="J6" s="1" t="s">
        <v>1631</v>
      </c>
    </row>
    <row r="7" spans="1:10">
      <c r="A7" s="1" t="s">
        <v>1619</v>
      </c>
      <c r="B7" s="1" t="s">
        <v>39</v>
      </c>
      <c r="C7" s="1" t="s">
        <v>1632</v>
      </c>
      <c r="D7" s="1" t="s">
        <v>1621</v>
      </c>
      <c r="E7" s="1" t="s">
        <v>1633</v>
      </c>
      <c r="F7" s="1" t="s">
        <v>1634</v>
      </c>
      <c r="G7" s="1" t="s">
        <v>1635</v>
      </c>
      <c r="H7" s="1" t="s">
        <v>1636</v>
      </c>
      <c r="I7" s="1" t="s">
        <v>1637</v>
      </c>
      <c r="J7" s="1" t="s">
        <v>1638</v>
      </c>
    </row>
    <row r="8" spans="1:10">
      <c r="A8" s="1" t="s">
        <v>1619</v>
      </c>
      <c r="B8" s="1" t="s">
        <v>1099</v>
      </c>
      <c r="C8" s="1" t="s">
        <v>1639</v>
      </c>
      <c r="D8" s="1" t="s">
        <v>1621</v>
      </c>
      <c r="E8" s="1" t="s">
        <v>1633</v>
      </c>
      <c r="F8" s="1" t="s">
        <v>1640</v>
      </c>
      <c r="G8" s="1" t="s">
        <v>1641</v>
      </c>
      <c r="H8" s="1" t="s">
        <v>1642</v>
      </c>
      <c r="I8" s="1" t="s">
        <v>1643</v>
      </c>
      <c r="J8" s="1" t="s">
        <v>1644</v>
      </c>
    </row>
    <row r="9" spans="1:10">
      <c r="A9" s="1" t="s">
        <v>1645</v>
      </c>
      <c r="B9" s="1" t="s">
        <v>1646</v>
      </c>
      <c r="C9" s="1" t="s">
        <v>1647</v>
      </c>
      <c r="D9" s="1" t="s">
        <v>1621</v>
      </c>
      <c r="E9" s="1" t="s">
        <v>1151</v>
      </c>
      <c r="F9" s="1" t="s">
        <v>1648</v>
      </c>
      <c r="G9" s="1" t="s">
        <v>1649</v>
      </c>
      <c r="H9" s="1" t="s">
        <v>1650</v>
      </c>
      <c r="I9" s="1" t="s">
        <v>1360</v>
      </c>
      <c r="J9" s="1" t="s">
        <v>1651</v>
      </c>
    </row>
    <row r="10" spans="1:10">
      <c r="A10" s="1" t="s">
        <v>1645</v>
      </c>
      <c r="B10" s="1" t="s">
        <v>1652</v>
      </c>
      <c r="C10" s="1" t="s">
        <v>1653</v>
      </c>
      <c r="D10" s="1" t="s">
        <v>1654</v>
      </c>
      <c r="E10" s="1" t="s">
        <v>1151</v>
      </c>
      <c r="F10" s="1" t="s">
        <v>1655</v>
      </c>
      <c r="G10" s="1" t="s">
        <v>1656</v>
      </c>
      <c r="H10" s="1" t="s">
        <v>1657</v>
      </c>
      <c r="I10" s="1" t="s">
        <v>1293</v>
      </c>
      <c r="J10" s="1" t="s">
        <v>1658</v>
      </c>
    </row>
    <row r="11" spans="1:10">
      <c r="A11" s="1" t="s">
        <v>1659</v>
      </c>
      <c r="B11" s="1" t="s">
        <v>1660</v>
      </c>
      <c r="C11" s="1" t="s">
        <v>1661</v>
      </c>
      <c r="D11" s="1" t="s">
        <v>1654</v>
      </c>
      <c r="E11" s="1" t="s">
        <v>1633</v>
      </c>
      <c r="F11" s="1" t="s">
        <v>1662</v>
      </c>
      <c r="G11" s="1" t="s">
        <v>1663</v>
      </c>
      <c r="H11" s="1" t="s">
        <v>1664</v>
      </c>
      <c r="I11" s="1" t="s">
        <v>1320</v>
      </c>
      <c r="J11" s="1" t="s">
        <v>1665</v>
      </c>
    </row>
    <row r="12" spans="1:10">
      <c r="A12" s="1" t="s">
        <v>1666</v>
      </c>
      <c r="B12" s="1" t="s">
        <v>1114</v>
      </c>
      <c r="C12" s="1" t="s">
        <v>1667</v>
      </c>
      <c r="D12" s="1" t="s">
        <v>1621</v>
      </c>
      <c r="E12" s="1" t="s">
        <v>1151</v>
      </c>
      <c r="F12" s="1" t="s">
        <v>1668</v>
      </c>
      <c r="G12" s="1" t="s">
        <v>1669</v>
      </c>
      <c r="H12" s="1" t="s">
        <v>1670</v>
      </c>
      <c r="I12" s="1" t="s">
        <v>1293</v>
      </c>
      <c r="J12" s="1" t="s">
        <v>1625</v>
      </c>
    </row>
  </sheetData>
  <mergeCells count="2">
    <mergeCell ref="A1:J1"/>
    <mergeCell ref="A2:J2"/>
  </mergeCells>
  <pageMargins left="0.75" right="0.75" top="1" bottom="1" header="0.5" footer="0.5"/>
  <pageSetup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Shashwat Mahapatra</dc:creator>
  <cp:keywords/>
  <dc:description/>
  <cp:lastModifiedBy>Shashwat Mahapatra</cp:lastModifiedBy>
  <cp:revision/>
  <dcterms:created xsi:type="dcterms:W3CDTF">2026-10-01T08:08:25Z</dcterms:created>
  <dcterms:modified xsi:type="dcterms:W3CDTF">2026-10-01T08:36:41Z</dcterms:modified>
  <cp:category/>
  <cp:contentStatus/>
</cp:coreProperties>
</file>