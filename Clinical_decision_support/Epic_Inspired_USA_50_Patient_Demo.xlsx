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CAA7F03AABF8CDFE360F81C41415E30602B3ABF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_HERE" sheetId="1" r:id="rId1"/>
    <sheet name="PATIENT_CHART" sheetId="2" r:id="rId2"/>
    <sheet name="Patient_Master" sheetId="3" r:id="rId3"/>
    <sheet name="Encounters" sheetId="4" r:id="rId4"/>
    <sheet name="Problems" sheetId="5" r:id="rId5"/>
    <sheet name="Allergies" sheetId="6" r:id="rId6"/>
    <sheet name="Medications" sheetId="7" r:id="rId7"/>
    <sheet name="Vitals" sheetId="8" r:id="rId8"/>
    <sheet name="Labs" sheetId="9" r:id="rId9"/>
    <sheet name="Orders_Procedures" sheetId="10" r:id="rId10"/>
    <sheet name="Immunizations" sheetId="11" r:id="rId11"/>
    <sheet name="Appointments" sheetId="12" r:id="rId12"/>
    <sheet name="Clinical_Notes" sheetId="13" r:id="rId13"/>
    <sheet name="Insurance" sheetId="14" r:id="rId14"/>
    <sheet name="Billing_Claims" sheetId="15" r:id="rId15"/>
    <sheet name="Consent_Directives" sheetId="16" r:id="rId16"/>
    <sheet name="Care_Team" sheetId="17" r:id="rId17"/>
    <sheet name="Family_Social_Hx" sheetId="18" r:id="rId18"/>
    <sheet name="Population_Dashboard" sheetId="19" r:id="rId19"/>
    <sheet name="Data_Dictionary" sheetId="20" r:id="rId20"/>
    <sheet name="Sources" sheetId="21" r:id="rId2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9" l="1"/>
  <c r="E6" i="19"/>
  <c r="B6" i="19"/>
  <c r="E5" i="19"/>
  <c r="B5" i="19"/>
  <c r="B4" i="19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B7" i="19" s="1"/>
  <c r="S51" i="3"/>
  <c r="G51" i="3"/>
  <c r="S50" i="3"/>
  <c r="G50" i="3"/>
  <c r="S49" i="3"/>
  <c r="G49" i="3"/>
  <c r="S48" i="3"/>
  <c r="G48" i="3"/>
  <c r="S47" i="3"/>
  <c r="G47" i="3"/>
  <c r="S46" i="3"/>
  <c r="G46" i="3"/>
  <c r="S45" i="3"/>
  <c r="G45" i="3"/>
  <c r="S44" i="3"/>
  <c r="G44" i="3"/>
  <c r="S43" i="3"/>
  <c r="G43" i="3"/>
  <c r="S42" i="3"/>
  <c r="G42" i="3"/>
  <c r="S41" i="3"/>
  <c r="G41" i="3"/>
  <c r="S40" i="3"/>
  <c r="G40" i="3"/>
  <c r="S39" i="3"/>
  <c r="G39" i="3"/>
  <c r="S38" i="3"/>
  <c r="G38" i="3"/>
  <c r="S37" i="3"/>
  <c r="G37" i="3"/>
  <c r="S36" i="3"/>
  <c r="G36" i="3"/>
  <c r="S35" i="3"/>
  <c r="G35" i="3"/>
  <c r="S34" i="3"/>
  <c r="G34" i="3"/>
  <c r="S33" i="3"/>
  <c r="G33" i="3"/>
  <c r="S32" i="3"/>
  <c r="G32" i="3"/>
  <c r="S31" i="3"/>
  <c r="G31" i="3"/>
  <c r="S30" i="3"/>
  <c r="G30" i="3"/>
  <c r="S29" i="3"/>
  <c r="G29" i="3"/>
  <c r="S28" i="3"/>
  <c r="G28" i="3"/>
  <c r="S27" i="3"/>
  <c r="G27" i="3"/>
  <c r="S26" i="3"/>
  <c r="G26" i="3"/>
  <c r="S25" i="3"/>
  <c r="G25" i="3"/>
  <c r="S24" i="3"/>
  <c r="G24" i="3"/>
  <c r="S23" i="3"/>
  <c r="G23" i="3"/>
  <c r="S22" i="3"/>
  <c r="G22" i="3"/>
  <c r="S21" i="3"/>
  <c r="G21" i="3"/>
  <c r="S20" i="3"/>
  <c r="G20" i="3"/>
  <c r="S19" i="3"/>
  <c r="G19" i="3"/>
  <c r="S18" i="3"/>
  <c r="G18" i="3"/>
  <c r="S17" i="3"/>
  <c r="G17" i="3"/>
  <c r="S16" i="3"/>
  <c r="G16" i="3"/>
  <c r="S15" i="3"/>
  <c r="G15" i="3"/>
  <c r="S14" i="3"/>
  <c r="G14" i="3"/>
  <c r="S13" i="3"/>
  <c r="G13" i="3"/>
  <c r="S12" i="3"/>
  <c r="G12" i="3"/>
  <c r="S11" i="3"/>
  <c r="G11" i="3"/>
  <c r="S10" i="3"/>
  <c r="G10" i="3"/>
  <c r="S9" i="3"/>
  <c r="G9" i="3"/>
  <c r="S8" i="3"/>
  <c r="G8" i="3"/>
  <c r="S7" i="3"/>
  <c r="G7" i="3"/>
  <c r="S6" i="3"/>
  <c r="G6" i="3"/>
  <c r="S5" i="3"/>
  <c r="G5" i="3"/>
  <c r="S4" i="3"/>
  <c r="G4" i="3"/>
  <c r="S3" i="3"/>
  <c r="G3" i="3"/>
  <c r="S2" i="3"/>
  <c r="G2" i="3"/>
  <c r="H28" i="2"/>
  <c r="B28" i="2"/>
  <c r="H27" i="2"/>
  <c r="B27" i="2"/>
  <c r="H26" i="2"/>
  <c r="B26" i="2"/>
  <c r="H19" i="2"/>
  <c r="B19" i="2"/>
  <c r="H18" i="2"/>
  <c r="B18" i="2"/>
  <c r="H17" i="2"/>
  <c r="B17" i="2"/>
  <c r="L13" i="2"/>
  <c r="J13" i="2"/>
  <c r="H13" i="2"/>
  <c r="F13" i="2"/>
  <c r="D13" i="2"/>
  <c r="B13" i="2"/>
  <c r="I8" i="2"/>
  <c r="F8" i="2"/>
  <c r="A8" i="2"/>
  <c r="J6" i="2"/>
  <c r="H6" i="2"/>
  <c r="F6" i="2"/>
  <c r="D6" i="2"/>
  <c r="A6" i="2"/>
</calcChain>
</file>

<file path=xl/sharedStrings.xml><?xml version="1.0" encoding="utf-8"?>
<sst xmlns="http://schemas.openxmlformats.org/spreadsheetml/2006/main" count="13811" uniqueCount="2310">
  <si>
    <t>Northstar Health | Epic-Inspired Synthetic EHR Demo</t>
  </si>
  <si>
    <t>Scope</t>
  </si>
  <si>
    <t>50 fully synthetic U.S. patients across common ambulatory, emergency, inpatient, clinical, revenue-cycle, and interoperability domains.</t>
  </si>
  <si>
    <t>Chart experience</t>
  </si>
  <si>
    <t>Open PATIENT_CHART and choose a Patient ID from cell B3. Excel recalculates the demographic banner and high-level chart metrics.</t>
  </si>
  <si>
    <t>Safety</t>
  </si>
  <si>
    <t>No real patient, provider, payer, address, phone, email, or account data is included. Not for diagnosis, care delivery, claims submission, or production integration.</t>
  </si>
  <si>
    <t>Design note</t>
  </si>
  <si>
    <t>The workbook is inspired by common U.S. EHR chart workflows and Epic-supported FHIR domains, but it is not an exact Epic Hyperspace replica, official Epic export, or proprietary Clarity/Caboodle schema.</t>
  </si>
  <si>
    <t>Relational key</t>
  </si>
  <si>
    <t>Patient_ID is the common key. Encounter_ID connects clinical and billing events.</t>
  </si>
  <si>
    <t>U.S. conventions</t>
  </si>
  <si>
    <t>MM/DD/YYYY dates, U.S. addresses and phone formats, USD financials, U.S. race/ethnicity/language fields, ICD-10-CM, CPT/HCPCS, LOINC, CVX, payer/member/group attributes.</t>
  </si>
  <si>
    <t>Navigation</t>
  </si>
  <si>
    <t>PATIENT_CHART</t>
  </si>
  <si>
    <t>Patient_Master</t>
  </si>
  <si>
    <t>Encounters</t>
  </si>
  <si>
    <t>Problems</t>
  </si>
  <si>
    <t>Allergies</t>
  </si>
  <si>
    <t>Medications</t>
  </si>
  <si>
    <t>Vitals</t>
  </si>
  <si>
    <t>Labs</t>
  </si>
  <si>
    <t>Orders_Procedures</t>
  </si>
  <si>
    <t>Immunizations</t>
  </si>
  <si>
    <t>Appointments</t>
  </si>
  <si>
    <t>Clinical_Notes</t>
  </si>
  <si>
    <t>Insurance</t>
  </si>
  <si>
    <t>Billing_Claims</t>
  </si>
  <si>
    <t>Consent_Directives</t>
  </si>
  <si>
    <t>Care_Team</t>
  </si>
  <si>
    <t>Family_Social_Hx</t>
  </si>
  <si>
    <t>Data_Dictionary</t>
  </si>
  <si>
    <t>Sources</t>
  </si>
  <si>
    <t>NORTHSTAR HEALTH | PATIENT CHART</t>
  </si>
  <si>
    <t>Patient ID</t>
  </si>
  <si>
    <t>P100001</t>
  </si>
  <si>
    <t>Patient</t>
  </si>
  <si>
    <t>MRN</t>
  </si>
  <si>
    <t>DOB</t>
  </si>
  <si>
    <t>Age</t>
  </si>
  <si>
    <t>Sex</t>
  </si>
  <si>
    <t>PCP</t>
  </si>
  <si>
    <t>Language</t>
  </si>
  <si>
    <t>Location</t>
  </si>
  <si>
    <t>Summary</t>
  </si>
  <si>
    <t>Meds</t>
  </si>
  <si>
    <t>Orders</t>
  </si>
  <si>
    <t>Notes</t>
  </si>
  <si>
    <t>Active Problems</t>
  </si>
  <si>
    <t>Active Medications</t>
  </si>
  <si>
    <t>Recent Encounters</t>
  </si>
  <si>
    <t>Abnormal Labs</t>
  </si>
  <si>
    <t>Patient Balance</t>
  </si>
  <si>
    <t>Problem List</t>
  </si>
  <si>
    <t>Primary problem</t>
  </si>
  <si>
    <t>Medication</t>
  </si>
  <si>
    <t>ICD-10-CM</t>
  </si>
  <si>
    <t>Dose</t>
  </si>
  <si>
    <t>Status</t>
  </si>
  <si>
    <t>Frequency</t>
  </si>
  <si>
    <t>Recent Results</t>
  </si>
  <si>
    <t>Next date</t>
  </si>
  <si>
    <t>Latest test</t>
  </si>
  <si>
    <t>Reason</t>
  </si>
  <si>
    <t>Result</t>
  </si>
  <si>
    <t>Flag</t>
  </si>
  <si>
    <t>Patient_ID</t>
  </si>
  <si>
    <t>First_Name</t>
  </si>
  <si>
    <t>Last_Name</t>
  </si>
  <si>
    <t>Legal_Name</t>
  </si>
  <si>
    <t>Sex_at_Birth</t>
  </si>
  <si>
    <t>Pronouns</t>
  </si>
  <si>
    <t>Marital_Status</t>
  </si>
  <si>
    <t>Race</t>
  </si>
  <si>
    <t>Ethnicity</t>
  </si>
  <si>
    <t>Preferred_Language</t>
  </si>
  <si>
    <t>Secondary_Language</t>
  </si>
  <si>
    <t>Record_Status</t>
  </si>
  <si>
    <t>Height_cm</t>
  </si>
  <si>
    <t>Weight_kg</t>
  </si>
  <si>
    <t>BMI</t>
  </si>
  <si>
    <t>City</t>
  </si>
  <si>
    <t>State</t>
  </si>
  <si>
    <t>ZIP</t>
  </si>
  <si>
    <t>Country</t>
  </si>
  <si>
    <t>Street_Address</t>
  </si>
  <si>
    <t>Mobile</t>
  </si>
  <si>
    <t>Email</t>
  </si>
  <si>
    <t>MRN500001</t>
  </si>
  <si>
    <t>Olivia</t>
  </si>
  <si>
    <t>Johnson</t>
  </si>
  <si>
    <t>Olivia Johnson</t>
  </si>
  <si>
    <t>Female</t>
  </si>
  <si>
    <t>she/her</t>
  </si>
  <si>
    <t>Single</t>
  </si>
  <si>
    <t>White</t>
  </si>
  <si>
    <t>Not Hispanic or Latino</t>
  </si>
  <si>
    <t>English</t>
  </si>
  <si>
    <t>Emily Carter, MD</t>
  </si>
  <si>
    <t>Active</t>
  </si>
  <si>
    <t>Seattle</t>
  </si>
  <si>
    <t>WA</t>
  </si>
  <si>
    <t>98101</t>
  </si>
  <si>
    <t>United States</t>
  </si>
  <si>
    <t>102 Main Street</t>
  </si>
  <si>
    <t>(555) 202-1002</t>
  </si>
  <si>
    <t>olivia.johnson@example.test</t>
  </si>
  <si>
    <t>P100002</t>
  </si>
  <si>
    <t>MRN500002</t>
  </si>
  <si>
    <t>Liam</t>
  </si>
  <si>
    <t>Williams</t>
  </si>
  <si>
    <t>Liam Williams</t>
  </si>
  <si>
    <t>Male</t>
  </si>
  <si>
    <t>he/him</t>
  </si>
  <si>
    <t>Married</t>
  </si>
  <si>
    <t>Black or African American</t>
  </si>
  <si>
    <t>Hispanic or Latino</t>
  </si>
  <si>
    <t>Spanish</t>
  </si>
  <si>
    <t>Michael Chen, MD</t>
  </si>
  <si>
    <t>Portland</t>
  </si>
  <si>
    <t>OR</t>
  </si>
  <si>
    <t>97201</t>
  </si>
  <si>
    <t>103 Main Street</t>
  </si>
  <si>
    <t>(555) 203-1003</t>
  </si>
  <si>
    <t>liam.williams@example.test</t>
  </si>
  <si>
    <t>P100003</t>
  </si>
  <si>
    <t>MRN500003</t>
  </si>
  <si>
    <t>Emma</t>
  </si>
  <si>
    <t>Brown</t>
  </si>
  <si>
    <t>Emma Brown</t>
  </si>
  <si>
    <t>Divorced</t>
  </si>
  <si>
    <t>Asian</t>
  </si>
  <si>
    <t>Declined to answer</t>
  </si>
  <si>
    <t>Mandarin</t>
  </si>
  <si>
    <t>Sarah Williams, DO</t>
  </si>
  <si>
    <t>San Francisco</t>
  </si>
  <si>
    <t>CA</t>
  </si>
  <si>
    <t>94105</t>
  </si>
  <si>
    <t>104 Main Street</t>
  </si>
  <si>
    <t>(555) 204-1004</t>
  </si>
  <si>
    <t>emma.brown@example.test</t>
  </si>
  <si>
    <t>P100004</t>
  </si>
  <si>
    <t>MRN500004</t>
  </si>
  <si>
    <t>Noah</t>
  </si>
  <si>
    <t>Jones</t>
  </si>
  <si>
    <t>Noah Jones</t>
  </si>
  <si>
    <t>Widowed</t>
  </si>
  <si>
    <t>American Indian or Alaska Native</t>
  </si>
  <si>
    <t>Vietnamese</t>
  </si>
  <si>
    <t>David Martinez, MD</t>
  </si>
  <si>
    <t>Los Angeles</t>
  </si>
  <si>
    <t>90012</t>
  </si>
  <si>
    <t>105 Main Street</t>
  </si>
  <si>
    <t>(555) 205-1005</t>
  </si>
  <si>
    <t>noah.jones@example.test</t>
  </si>
  <si>
    <t>P100005</t>
  </si>
  <si>
    <t>MRN500005</t>
  </si>
  <si>
    <t>Ava</t>
  </si>
  <si>
    <t>Garcia</t>
  </si>
  <si>
    <t>Ava Garcia</t>
  </si>
  <si>
    <t>Native Hawaiian or Other Pacific Islander</t>
  </si>
  <si>
    <t>French</t>
  </si>
  <si>
    <t>Rachel Kim, MD</t>
  </si>
  <si>
    <t>Phoenix</t>
  </si>
  <si>
    <t>AZ</t>
  </si>
  <si>
    <t>85004</t>
  </si>
  <si>
    <t>106 Main Street</t>
  </si>
  <si>
    <t>(555) 206-1006</t>
  </si>
  <si>
    <t>ava.garcia@example.test</t>
  </si>
  <si>
    <t>P100006</t>
  </si>
  <si>
    <t>MRN500006</t>
  </si>
  <si>
    <t>Oliver</t>
  </si>
  <si>
    <t>Miller</t>
  </si>
  <si>
    <t>Oliver Miller</t>
  </si>
  <si>
    <t>Other race</t>
  </si>
  <si>
    <t>Arabic</t>
  </si>
  <si>
    <t>James Wilson, NP</t>
  </si>
  <si>
    <t>Denver</t>
  </si>
  <si>
    <t>CO</t>
  </si>
  <si>
    <t>80202</t>
  </si>
  <si>
    <t>107 Main Street</t>
  </si>
  <si>
    <t>(555) 207-1007</t>
  </si>
  <si>
    <t>oliver.miller@example.test</t>
  </si>
  <si>
    <t>P100007</t>
  </si>
  <si>
    <t>MRN500007</t>
  </si>
  <si>
    <t>Sophia</t>
  </si>
  <si>
    <t>Davis</t>
  </si>
  <si>
    <t>Sophia Davis</t>
  </si>
  <si>
    <t>Dallas</t>
  </si>
  <si>
    <t>TX</t>
  </si>
  <si>
    <t>75201</t>
  </si>
  <si>
    <t>108 Main Street</t>
  </si>
  <si>
    <t>(555) 208-1008</t>
  </si>
  <si>
    <t>sophia.davis@example.test</t>
  </si>
  <si>
    <t>P100008</t>
  </si>
  <si>
    <t>MRN500008</t>
  </si>
  <si>
    <t>Elijah</t>
  </si>
  <si>
    <t>Rodriguez</t>
  </si>
  <si>
    <t>Elijah Rodriguez</t>
  </si>
  <si>
    <t>Houston</t>
  </si>
  <si>
    <t>77002</t>
  </si>
  <si>
    <t>109 Main Street</t>
  </si>
  <si>
    <t>(555) 209-1009</t>
  </si>
  <si>
    <t>elijah.rodriguez@example.test</t>
  </si>
  <si>
    <t>P100009</t>
  </si>
  <si>
    <t>MRN500009</t>
  </si>
  <si>
    <t>Isabella</t>
  </si>
  <si>
    <t>Martinez</t>
  </si>
  <si>
    <t>Isabella Martinez</t>
  </si>
  <si>
    <t>Chicago</t>
  </si>
  <si>
    <t>IL</t>
  </si>
  <si>
    <t>60601</t>
  </si>
  <si>
    <t>110 Main Street</t>
  </si>
  <si>
    <t>(555) 210-1010</t>
  </si>
  <si>
    <t>isabella.martinez@example.test</t>
  </si>
  <si>
    <t>P100010</t>
  </si>
  <si>
    <t>MRN500010</t>
  </si>
  <si>
    <t>James</t>
  </si>
  <si>
    <t>Hernandez</t>
  </si>
  <si>
    <t>James Hernandez</t>
  </si>
  <si>
    <t>Atlanta</t>
  </si>
  <si>
    <t>GA</t>
  </si>
  <si>
    <t>30303</t>
  </si>
  <si>
    <t>111 Main Street</t>
  </si>
  <si>
    <t>(555) 211-1011</t>
  </si>
  <si>
    <t>james.hernandez@example.test</t>
  </si>
  <si>
    <t>P100011</t>
  </si>
  <si>
    <t>MRN500011</t>
  </si>
  <si>
    <t>Mia</t>
  </si>
  <si>
    <t>Lopez</t>
  </si>
  <si>
    <t>Mia Lopez</t>
  </si>
  <si>
    <t>Miami</t>
  </si>
  <si>
    <t>FL</t>
  </si>
  <si>
    <t>33101</t>
  </si>
  <si>
    <t>112 Main Street</t>
  </si>
  <si>
    <t>(555) 212-1012</t>
  </si>
  <si>
    <t>mia.lopez@example.test</t>
  </si>
  <si>
    <t>P100012</t>
  </si>
  <si>
    <t>MRN500012</t>
  </si>
  <si>
    <t>William</t>
  </si>
  <si>
    <t>Gonzalez</t>
  </si>
  <si>
    <t>William Gonzalez</t>
  </si>
  <si>
    <t>Boston</t>
  </si>
  <si>
    <t>MA</t>
  </si>
  <si>
    <t>02108</t>
  </si>
  <si>
    <t>113 Main Street</t>
  </si>
  <si>
    <t>(555) 213-1013</t>
  </si>
  <si>
    <t>william.gonzalez@example.test</t>
  </si>
  <si>
    <t>P100013</t>
  </si>
  <si>
    <t>MRN500013</t>
  </si>
  <si>
    <t>Charlotte</t>
  </si>
  <si>
    <t>Wilson</t>
  </si>
  <si>
    <t>Charlotte Wilson</t>
  </si>
  <si>
    <t>New York</t>
  </si>
  <si>
    <t>NY</t>
  </si>
  <si>
    <t>10001</t>
  </si>
  <si>
    <t>114 Main Street</t>
  </si>
  <si>
    <t>(555) 214-1014</t>
  </si>
  <si>
    <t>charlotte.wilson@example.test</t>
  </si>
  <si>
    <t>P100014</t>
  </si>
  <si>
    <t>MRN500014</t>
  </si>
  <si>
    <t>Benjamin</t>
  </si>
  <si>
    <t>Anderson</t>
  </si>
  <si>
    <t>Benjamin Anderson</t>
  </si>
  <si>
    <t>Philadelphia</t>
  </si>
  <si>
    <t>PA</t>
  </si>
  <si>
    <t>19103</t>
  </si>
  <si>
    <t>115 Main Street</t>
  </si>
  <si>
    <t>(555) 215-1015</t>
  </si>
  <si>
    <t>benjamin.anderson@example.test</t>
  </si>
  <si>
    <t>P100015</t>
  </si>
  <si>
    <t>MRN500015</t>
  </si>
  <si>
    <t>Amelia</t>
  </si>
  <si>
    <t>Thomas</t>
  </si>
  <si>
    <t>Amelia Thomas</t>
  </si>
  <si>
    <t>Minneapolis</t>
  </si>
  <si>
    <t>MN</t>
  </si>
  <si>
    <t>55401</t>
  </si>
  <si>
    <t>116 Main Street</t>
  </si>
  <si>
    <t>(555) 216-1016</t>
  </si>
  <si>
    <t>amelia.thomas@example.test</t>
  </si>
  <si>
    <t>P100016</t>
  </si>
  <si>
    <t>MRN500016</t>
  </si>
  <si>
    <t>Lucas</t>
  </si>
  <si>
    <t>Taylor</t>
  </si>
  <si>
    <t>Lucas Taylor</t>
  </si>
  <si>
    <t>Nashville</t>
  </si>
  <si>
    <t>TN</t>
  </si>
  <si>
    <t>37203</t>
  </si>
  <si>
    <t>117 Main Street</t>
  </si>
  <si>
    <t>(555) 217-1017</t>
  </si>
  <si>
    <t>lucas.taylor@example.test</t>
  </si>
  <si>
    <t>P100017</t>
  </si>
  <si>
    <t>MRN500017</t>
  </si>
  <si>
    <t>Harper</t>
  </si>
  <si>
    <t>Moore</t>
  </si>
  <si>
    <t>Harper Moore</t>
  </si>
  <si>
    <t>Columbus</t>
  </si>
  <si>
    <t>OH</t>
  </si>
  <si>
    <t>43215</t>
  </si>
  <si>
    <t>118 Main Street</t>
  </si>
  <si>
    <t>(555) 218-1018</t>
  </si>
  <si>
    <t>harper.moore@example.test</t>
  </si>
  <si>
    <t>P100018</t>
  </si>
  <si>
    <t>MRN500018</t>
  </si>
  <si>
    <t>Henry</t>
  </si>
  <si>
    <t>Jackson</t>
  </si>
  <si>
    <t>Henry Jackson</t>
  </si>
  <si>
    <t>NC</t>
  </si>
  <si>
    <t>28202</t>
  </si>
  <si>
    <t>119 Main Street</t>
  </si>
  <si>
    <t>(555) 219-1019</t>
  </si>
  <si>
    <t>henry.jackson@example.test</t>
  </si>
  <si>
    <t>P100019</t>
  </si>
  <si>
    <t>MRN500019</t>
  </si>
  <si>
    <t>Evelyn</t>
  </si>
  <si>
    <t>Martin</t>
  </si>
  <si>
    <t>Evelyn Martin</t>
  </si>
  <si>
    <t>Richmond</t>
  </si>
  <si>
    <t>VA</t>
  </si>
  <si>
    <t>23219</t>
  </si>
  <si>
    <t>120 Main Street</t>
  </si>
  <si>
    <t>(555) 220-1020</t>
  </si>
  <si>
    <t>evelyn.martin@example.test</t>
  </si>
  <si>
    <t>P100020</t>
  </si>
  <si>
    <t>MRN500020</t>
  </si>
  <si>
    <t>Theodore</t>
  </si>
  <si>
    <t>Lee</t>
  </si>
  <si>
    <t>Theodore Lee</t>
  </si>
  <si>
    <t>Baltimore</t>
  </si>
  <si>
    <t>MD</t>
  </si>
  <si>
    <t>21201</t>
  </si>
  <si>
    <t>121 Main Street</t>
  </si>
  <si>
    <t>(555) 221-1021</t>
  </si>
  <si>
    <t>theodore.lee@example.test</t>
  </si>
  <si>
    <t>P100021</t>
  </si>
  <si>
    <t>MRN500021</t>
  </si>
  <si>
    <t>Perez</t>
  </si>
  <si>
    <t>Liam Perez</t>
  </si>
  <si>
    <t>122 Main Street</t>
  </si>
  <si>
    <t>(555) 222-1022</t>
  </si>
  <si>
    <t>liam.perez@example.test</t>
  </si>
  <si>
    <t>P100022</t>
  </si>
  <si>
    <t>MRN500022</t>
  </si>
  <si>
    <t>Jack</t>
  </si>
  <si>
    <t>Thompson</t>
  </si>
  <si>
    <t>Jack Thompson</t>
  </si>
  <si>
    <t>123 Main Street</t>
  </si>
  <si>
    <t>(555) 223-1023</t>
  </si>
  <si>
    <t>jack.thompson@example.test</t>
  </si>
  <si>
    <t>P100023</t>
  </si>
  <si>
    <t>MRN500023</t>
  </si>
  <si>
    <t>Noah White</t>
  </si>
  <si>
    <t>124 Main Street</t>
  </si>
  <si>
    <t>(555) 224-1024</t>
  </si>
  <si>
    <t>noah.white@example.test</t>
  </si>
  <si>
    <t>P100024</t>
  </si>
  <si>
    <t>MRN500024</t>
  </si>
  <si>
    <t>Levi</t>
  </si>
  <si>
    <t>Harris</t>
  </si>
  <si>
    <t>Levi Harris</t>
  </si>
  <si>
    <t>125 Main Street</t>
  </si>
  <si>
    <t>(555) 225-1025</t>
  </si>
  <si>
    <t>levi.harris@example.test</t>
  </si>
  <si>
    <t>P100025</t>
  </si>
  <si>
    <t>MRN500025</t>
  </si>
  <si>
    <t>Sanchez</t>
  </si>
  <si>
    <t>Oliver Sanchez</t>
  </si>
  <si>
    <t>126 Main Street</t>
  </si>
  <si>
    <t>(555) 226-1026</t>
  </si>
  <si>
    <t>oliver.sanchez@example.test</t>
  </si>
  <si>
    <t>P100026</t>
  </si>
  <si>
    <t>MRN500026</t>
  </si>
  <si>
    <t>Alexander</t>
  </si>
  <si>
    <t>Clark</t>
  </si>
  <si>
    <t>Alexander Clark</t>
  </si>
  <si>
    <t>127 Main Street</t>
  </si>
  <si>
    <t>(555) 227-1027</t>
  </si>
  <si>
    <t>alexander.clark@example.test</t>
  </si>
  <si>
    <t>P100027</t>
  </si>
  <si>
    <t>MRN500027</t>
  </si>
  <si>
    <t>Ramirez</t>
  </si>
  <si>
    <t>Elijah Ramirez</t>
  </si>
  <si>
    <t>128 Main Street</t>
  </si>
  <si>
    <t>(555) 228-1028</t>
  </si>
  <si>
    <t>elijah.ramirez@example.test</t>
  </si>
  <si>
    <t>P100028</t>
  </si>
  <si>
    <t>MRN500028</t>
  </si>
  <si>
    <t>Lewis</t>
  </si>
  <si>
    <t>Jackson Lewis</t>
  </si>
  <si>
    <t>129 Main Street</t>
  </si>
  <si>
    <t>(555) 229-1029</t>
  </si>
  <si>
    <t>jackson.lewis@example.test</t>
  </si>
  <si>
    <t>P100029</t>
  </si>
  <si>
    <t>MRN500029</t>
  </si>
  <si>
    <t>Robinson</t>
  </si>
  <si>
    <t>James Robinson</t>
  </si>
  <si>
    <t>130 Main Street</t>
  </si>
  <si>
    <t>(555) 230-1030</t>
  </si>
  <si>
    <t>james.robinson@example.test</t>
  </si>
  <si>
    <t>P100030</t>
  </si>
  <si>
    <t>MRN500030</t>
  </si>
  <si>
    <t>Mateo</t>
  </si>
  <si>
    <t>Walker</t>
  </si>
  <si>
    <t>Mateo Walker</t>
  </si>
  <si>
    <t>131 Main Street</t>
  </si>
  <si>
    <t>(555) 231-1031</t>
  </si>
  <si>
    <t>mateo.walker@example.test</t>
  </si>
  <si>
    <t>P100031</t>
  </si>
  <si>
    <t>MRN500031</t>
  </si>
  <si>
    <t>Young</t>
  </si>
  <si>
    <t>William Young</t>
  </si>
  <si>
    <t>132 Main Street</t>
  </si>
  <si>
    <t>(555) 232-1032</t>
  </si>
  <si>
    <t>william.young@example.test</t>
  </si>
  <si>
    <t>P100032</t>
  </si>
  <si>
    <t>MRN500032</t>
  </si>
  <si>
    <t>Daniel</t>
  </si>
  <si>
    <t>Allen</t>
  </si>
  <si>
    <t>Daniel Allen</t>
  </si>
  <si>
    <t>133 Main Street</t>
  </si>
  <si>
    <t>(555) 233-1033</t>
  </si>
  <si>
    <t>daniel.allen@example.test</t>
  </si>
  <si>
    <t>P100033</t>
  </si>
  <si>
    <t>MRN500033</t>
  </si>
  <si>
    <t>King</t>
  </si>
  <si>
    <t>Benjamin King</t>
  </si>
  <si>
    <t>134 Main Street</t>
  </si>
  <si>
    <t>(555) 234-1034</t>
  </si>
  <si>
    <t>benjamin.king@example.test</t>
  </si>
  <si>
    <t>P100034</t>
  </si>
  <si>
    <t>MRN500034</t>
  </si>
  <si>
    <t>Michael</t>
  </si>
  <si>
    <t>Wright</t>
  </si>
  <si>
    <t>Michael Wright</t>
  </si>
  <si>
    <t>135 Main Street</t>
  </si>
  <si>
    <t>(555) 235-1035</t>
  </si>
  <si>
    <t>michael.wright@example.test</t>
  </si>
  <si>
    <t>P100035</t>
  </si>
  <si>
    <t>MRN500035</t>
  </si>
  <si>
    <t>Scott</t>
  </si>
  <si>
    <t>Lucas Scott</t>
  </si>
  <si>
    <t>136 Main Street</t>
  </si>
  <si>
    <t>(555) 236-1036</t>
  </si>
  <si>
    <t>lucas.scott@example.test</t>
  </si>
  <si>
    <t>P100036</t>
  </si>
  <si>
    <t>MRN500036</t>
  </si>
  <si>
    <t>Mason</t>
  </si>
  <si>
    <t>Torres</t>
  </si>
  <si>
    <t>Mason Torres</t>
  </si>
  <si>
    <t>137 Main Street</t>
  </si>
  <si>
    <t>(555) 237-1037</t>
  </si>
  <si>
    <t>mason.torres@example.test</t>
  </si>
  <si>
    <t>P100037</t>
  </si>
  <si>
    <t>MRN500037</t>
  </si>
  <si>
    <t>Nguyen</t>
  </si>
  <si>
    <t>Henry Nguyen</t>
  </si>
  <si>
    <t>138 Main Street</t>
  </si>
  <si>
    <t>(555) 238-1038</t>
  </si>
  <si>
    <t>henry.nguyen@example.test</t>
  </si>
  <si>
    <t>P100038</t>
  </si>
  <si>
    <t>MRN500038</t>
  </si>
  <si>
    <t>Sebastian</t>
  </si>
  <si>
    <t>Hill</t>
  </si>
  <si>
    <t>Sebastian Hill</t>
  </si>
  <si>
    <t>139 Main Street</t>
  </si>
  <si>
    <t>(555) 239-1039</t>
  </si>
  <si>
    <t>sebastian.hill@example.test</t>
  </si>
  <si>
    <t>P100039</t>
  </si>
  <si>
    <t>MRN500039</t>
  </si>
  <si>
    <t>Flores</t>
  </si>
  <si>
    <t>Theodore Flores</t>
  </si>
  <si>
    <t>140 Main Street</t>
  </si>
  <si>
    <t>(555) 240-1040</t>
  </si>
  <si>
    <t>theodore.flores@example.test</t>
  </si>
  <si>
    <t>P100040</t>
  </si>
  <si>
    <t>MRN500040</t>
  </si>
  <si>
    <t>Ethan</t>
  </si>
  <si>
    <t>Green</t>
  </si>
  <si>
    <t>Ethan Green</t>
  </si>
  <si>
    <t>141 Main Street</t>
  </si>
  <si>
    <t>(555) 241-1041</t>
  </si>
  <si>
    <t>ethan.green@example.test</t>
  </si>
  <si>
    <t>P100041</t>
  </si>
  <si>
    <t>MRN500041</t>
  </si>
  <si>
    <t>Emily</t>
  </si>
  <si>
    <t>Adams</t>
  </si>
  <si>
    <t>Emily Adams</t>
  </si>
  <si>
    <t>142 Main Street</t>
  </si>
  <si>
    <t>(555) 242-1042</t>
  </si>
  <si>
    <t>emily.adams@example.test</t>
  </si>
  <si>
    <t>P100042</t>
  </si>
  <si>
    <t>MRN500042</t>
  </si>
  <si>
    <t>Logan</t>
  </si>
  <si>
    <t>Nelson</t>
  </si>
  <si>
    <t>Logan Nelson</t>
  </si>
  <si>
    <t>143 Main Street</t>
  </si>
  <si>
    <t>(555) 243-1043</t>
  </si>
  <si>
    <t>logan.nelson@example.test</t>
  </si>
  <si>
    <t>P100043</t>
  </si>
  <si>
    <t>MRN500043</t>
  </si>
  <si>
    <t>Abigail</t>
  </si>
  <si>
    <t>Baker</t>
  </si>
  <si>
    <t>Abigail Baker</t>
  </si>
  <si>
    <t>144 Main Street</t>
  </si>
  <si>
    <t>(555) 244-1044</t>
  </si>
  <si>
    <t>abigail.baker@example.test</t>
  </si>
  <si>
    <t>P100044</t>
  </si>
  <si>
    <t>MRN500044</t>
  </si>
  <si>
    <t>Owen</t>
  </si>
  <si>
    <t>Hall</t>
  </si>
  <si>
    <t>Owen Hall</t>
  </si>
  <si>
    <t>145 Main Street</t>
  </si>
  <si>
    <t>(555) 245-1045</t>
  </si>
  <si>
    <t>owen.hall@example.test</t>
  </si>
  <si>
    <t>P100045</t>
  </si>
  <si>
    <t>MRN500045</t>
  </si>
  <si>
    <t>Ella</t>
  </si>
  <si>
    <t>Rivera</t>
  </si>
  <si>
    <t>Ella Rivera</t>
  </si>
  <si>
    <t>146 Main Street</t>
  </si>
  <si>
    <t>(555) 246-1046</t>
  </si>
  <si>
    <t>ella.rivera@example.test</t>
  </si>
  <si>
    <t>P100046</t>
  </si>
  <si>
    <t>MRN500046</t>
  </si>
  <si>
    <t>Samuel</t>
  </si>
  <si>
    <t>Campbell</t>
  </si>
  <si>
    <t>Samuel Campbell</t>
  </si>
  <si>
    <t>147 Main Street</t>
  </si>
  <si>
    <t>(555) 247-1047</t>
  </si>
  <si>
    <t>samuel.campbell@example.test</t>
  </si>
  <si>
    <t>P100047</t>
  </si>
  <si>
    <t>MRN500047</t>
  </si>
  <si>
    <t>Scarlett</t>
  </si>
  <si>
    <t>Mitchell</t>
  </si>
  <si>
    <t>Scarlett Mitchell</t>
  </si>
  <si>
    <t>148 Main Street</t>
  </si>
  <si>
    <t>(555) 248-1048</t>
  </si>
  <si>
    <t>scarlett.mitchell@example.test</t>
  </si>
  <si>
    <t>P100048</t>
  </si>
  <si>
    <t>MRN500048</t>
  </si>
  <si>
    <t>Jacob</t>
  </si>
  <si>
    <t>Carter</t>
  </si>
  <si>
    <t>Jacob Carter</t>
  </si>
  <si>
    <t>149 Main Street</t>
  </si>
  <si>
    <t>(555) 249-1049</t>
  </si>
  <si>
    <t>jacob.carter@example.test</t>
  </si>
  <si>
    <t>P100049</t>
  </si>
  <si>
    <t>MRN500049</t>
  </si>
  <si>
    <t>Grace</t>
  </si>
  <si>
    <t>Roberts</t>
  </si>
  <si>
    <t>Grace Roberts</t>
  </si>
  <si>
    <t>150 Main Street</t>
  </si>
  <si>
    <t>(555) 250-1050</t>
  </si>
  <si>
    <t>grace.roberts@example.test</t>
  </si>
  <si>
    <t>P100050</t>
  </si>
  <si>
    <t>MRN500050</t>
  </si>
  <si>
    <t>Asher</t>
  </si>
  <si>
    <t>Evans</t>
  </si>
  <si>
    <t>Asher Evans</t>
  </si>
  <si>
    <t>151 Main Street</t>
  </si>
  <si>
    <t>(555) 251-1051</t>
  </si>
  <si>
    <t>asher.evans@example.test</t>
  </si>
  <si>
    <t>Encounter_ID</t>
  </si>
  <si>
    <t>Date</t>
  </si>
  <si>
    <t>Type</t>
  </si>
  <si>
    <t>Department</t>
  </si>
  <si>
    <t>Provider</t>
  </si>
  <si>
    <t>Facility</t>
  </si>
  <si>
    <t>Primary_Diagnosis_Code</t>
  </si>
  <si>
    <t>Primary_Diagnosis</t>
  </si>
  <si>
    <t>Priority</t>
  </si>
  <si>
    <t>Disposition_or_Follow_Up</t>
  </si>
  <si>
    <t>ENC0011</t>
  </si>
  <si>
    <t>Office Visit</t>
  </si>
  <si>
    <t>Family Medicine</t>
  </si>
  <si>
    <t>Northstar Medical Center</t>
  </si>
  <si>
    <t>Completed</t>
  </si>
  <si>
    <t>I10</t>
  </si>
  <si>
    <t>Essential hypertension</t>
  </si>
  <si>
    <t>Routine</t>
  </si>
  <si>
    <t>Follow-up in 3 months</t>
  </si>
  <si>
    <t>ENC0012</t>
  </si>
  <si>
    <t>Annual Wellness</t>
  </si>
  <si>
    <t>E11.9</t>
  </si>
  <si>
    <t>Type 2 diabetes mellitus without complications</t>
  </si>
  <si>
    <t>ENC0013</t>
  </si>
  <si>
    <t>Emergency</t>
  </si>
  <si>
    <t>E78.5</t>
  </si>
  <si>
    <t>Hyperlipidemia, unspecified</t>
  </si>
  <si>
    <t>Urgent</t>
  </si>
  <si>
    <t>ENC0021</t>
  </si>
  <si>
    <t>Internal Medicine</t>
  </si>
  <si>
    <t>Northstar Downtown Clinic</t>
  </si>
  <si>
    <t>Follow-up in 4 months</t>
  </si>
  <si>
    <t>ENC0022</t>
  </si>
  <si>
    <t>ENC0023</t>
  </si>
  <si>
    <t>J45.909</t>
  </si>
  <si>
    <t>Unspecified asthma, uncomplicated</t>
  </si>
  <si>
    <t>ENC0031</t>
  </si>
  <si>
    <t>Cardiology</t>
  </si>
  <si>
    <t>Northstar Westside Clinic</t>
  </si>
  <si>
    <t>Follow-up in 5 months</t>
  </si>
  <si>
    <t>ENC0032</t>
  </si>
  <si>
    <t>ENC0033</t>
  </si>
  <si>
    <t>G43.909</t>
  </si>
  <si>
    <t>Migraine, unspecified, not intractable</t>
  </si>
  <si>
    <t>ENC0041</t>
  </si>
  <si>
    <t>Pulmonology</t>
  </si>
  <si>
    <t>Northstar Urgent Care</t>
  </si>
  <si>
    <t>Follow-up in 6 months</t>
  </si>
  <si>
    <t>ENC0042</t>
  </si>
  <si>
    <t>ENC0043</t>
  </si>
  <si>
    <t>M17.11</t>
  </si>
  <si>
    <t>Osteoarthritis, right knee</t>
  </si>
  <si>
    <t>ENC0051</t>
  </si>
  <si>
    <t>ENC0052</t>
  </si>
  <si>
    <t>ENC0053</t>
  </si>
  <si>
    <t>F41.9</t>
  </si>
  <si>
    <t>Anxiety disorder, unspecified</t>
  </si>
  <si>
    <t>ENC0061</t>
  </si>
  <si>
    <t>ENC0062</t>
  </si>
  <si>
    <t>ENC0063</t>
  </si>
  <si>
    <t>K21.9</t>
  </si>
  <si>
    <t>Gastro-esophageal reflux disease without esophagitis</t>
  </si>
  <si>
    <t>ENC0071</t>
  </si>
  <si>
    <t>ENC0072</t>
  </si>
  <si>
    <t>ENC0073</t>
  </si>
  <si>
    <t>E03.9</t>
  </si>
  <si>
    <t>Hypothyroidism, unspecified</t>
  </si>
  <si>
    <t>ENC0081</t>
  </si>
  <si>
    <t>ENC0082</t>
  </si>
  <si>
    <t>ENC0083</t>
  </si>
  <si>
    <t>I25.10</t>
  </si>
  <si>
    <t>Atherosclerotic heart disease</t>
  </si>
  <si>
    <t>ENC0091</t>
  </si>
  <si>
    <t>ENC0092</t>
  </si>
  <si>
    <t>ENC0093</t>
  </si>
  <si>
    <t>ENC0101</t>
  </si>
  <si>
    <t>ENC0102</t>
  </si>
  <si>
    <t>ENC0103</t>
  </si>
  <si>
    <t>ENC0111</t>
  </si>
  <si>
    <t>ENC0112</t>
  </si>
  <si>
    <t>ENC0113</t>
  </si>
  <si>
    <t>ENC0121</t>
  </si>
  <si>
    <t>ENC0122</t>
  </si>
  <si>
    <t>ENC0123</t>
  </si>
  <si>
    <t>ENC0131</t>
  </si>
  <si>
    <t>ENC0132</t>
  </si>
  <si>
    <t>ENC0133</t>
  </si>
  <si>
    <t>ENC0141</t>
  </si>
  <si>
    <t>ENC0142</t>
  </si>
  <si>
    <t>ENC0143</t>
  </si>
  <si>
    <t>ENC0151</t>
  </si>
  <si>
    <t>ENC0152</t>
  </si>
  <si>
    <t>ENC0153</t>
  </si>
  <si>
    <t>ENC0161</t>
  </si>
  <si>
    <t>ENC0162</t>
  </si>
  <si>
    <t>ENC0163</t>
  </si>
  <si>
    <t>ENC0171</t>
  </si>
  <si>
    <t>ENC0172</t>
  </si>
  <si>
    <t>ENC0173</t>
  </si>
  <si>
    <t>ENC0181</t>
  </si>
  <si>
    <t>ENC0182</t>
  </si>
  <si>
    <t>ENC0183</t>
  </si>
  <si>
    <t>ENC0191</t>
  </si>
  <si>
    <t>ENC0192</t>
  </si>
  <si>
    <t>ENC0193</t>
  </si>
  <si>
    <t>ENC0201</t>
  </si>
  <si>
    <t>ENC0202</t>
  </si>
  <si>
    <t>ENC0203</t>
  </si>
  <si>
    <t>ENC0211</t>
  </si>
  <si>
    <t>ENC0212</t>
  </si>
  <si>
    <t>ENC0213</t>
  </si>
  <si>
    <t>ENC0221</t>
  </si>
  <si>
    <t>ENC0222</t>
  </si>
  <si>
    <t>ENC0223</t>
  </si>
  <si>
    <t>ENC0231</t>
  </si>
  <si>
    <t>ENC0232</t>
  </si>
  <si>
    <t>ENC0233</t>
  </si>
  <si>
    <t>ENC0241</t>
  </si>
  <si>
    <t>ENC0242</t>
  </si>
  <si>
    <t>ENC0243</t>
  </si>
  <si>
    <t>ENC0251</t>
  </si>
  <si>
    <t>ENC0252</t>
  </si>
  <si>
    <t>ENC0253</t>
  </si>
  <si>
    <t>ENC0261</t>
  </si>
  <si>
    <t>ENC0262</t>
  </si>
  <si>
    <t>ENC0263</t>
  </si>
  <si>
    <t>ENC0271</t>
  </si>
  <si>
    <t>ENC0272</t>
  </si>
  <si>
    <t>ENC0273</t>
  </si>
  <si>
    <t>ENC0281</t>
  </si>
  <si>
    <t>ENC0282</t>
  </si>
  <si>
    <t>ENC0283</t>
  </si>
  <si>
    <t>ENC0291</t>
  </si>
  <si>
    <t>ENC0292</t>
  </si>
  <si>
    <t>ENC0293</t>
  </si>
  <si>
    <t>ENC0301</t>
  </si>
  <si>
    <t>ENC0302</t>
  </si>
  <si>
    <t>ENC0303</t>
  </si>
  <si>
    <t>ENC0311</t>
  </si>
  <si>
    <t>ENC0312</t>
  </si>
  <si>
    <t>ENC0313</t>
  </si>
  <si>
    <t>ENC0321</t>
  </si>
  <si>
    <t>ENC0322</t>
  </si>
  <si>
    <t>ENC0323</t>
  </si>
  <si>
    <t>ENC0331</t>
  </si>
  <si>
    <t>ENC0332</t>
  </si>
  <si>
    <t>ENC0333</t>
  </si>
  <si>
    <t>ENC0341</t>
  </si>
  <si>
    <t>ENC0342</t>
  </si>
  <si>
    <t>ENC0343</t>
  </si>
  <si>
    <t>ENC0351</t>
  </si>
  <si>
    <t>ENC0352</t>
  </si>
  <si>
    <t>ENC0353</t>
  </si>
  <si>
    <t>ENC0361</t>
  </si>
  <si>
    <t>ENC0362</t>
  </si>
  <si>
    <t>ENC0363</t>
  </si>
  <si>
    <t>ENC0371</t>
  </si>
  <si>
    <t>ENC0372</t>
  </si>
  <si>
    <t>ENC0373</t>
  </si>
  <si>
    <t>ENC0381</t>
  </si>
  <si>
    <t>ENC0382</t>
  </si>
  <si>
    <t>ENC0383</t>
  </si>
  <si>
    <t>ENC0391</t>
  </si>
  <si>
    <t>ENC0392</t>
  </si>
  <si>
    <t>ENC0393</t>
  </si>
  <si>
    <t>ENC0401</t>
  </si>
  <si>
    <t>ENC0402</t>
  </si>
  <si>
    <t>ENC0403</t>
  </si>
  <si>
    <t>ENC0411</t>
  </si>
  <si>
    <t>ENC0412</t>
  </si>
  <si>
    <t>ENC0413</t>
  </si>
  <si>
    <t>ENC0421</t>
  </si>
  <si>
    <t>ENC0422</t>
  </si>
  <si>
    <t>ENC0423</t>
  </si>
  <si>
    <t>ENC0431</t>
  </si>
  <si>
    <t>ENC0432</t>
  </si>
  <si>
    <t>ENC0433</t>
  </si>
  <si>
    <t>ENC0441</t>
  </si>
  <si>
    <t>ENC0442</t>
  </si>
  <si>
    <t>ENC0443</t>
  </si>
  <si>
    <t>ENC0451</t>
  </si>
  <si>
    <t>ENC0452</t>
  </si>
  <si>
    <t>ENC0453</t>
  </si>
  <si>
    <t>ENC0461</t>
  </si>
  <si>
    <t>ENC0462</t>
  </si>
  <si>
    <t>ENC0463</t>
  </si>
  <si>
    <t>ENC0471</t>
  </si>
  <si>
    <t>ENC0472</t>
  </si>
  <si>
    <t>ENC0473</t>
  </si>
  <si>
    <t>ENC0481</t>
  </si>
  <si>
    <t>ENC0482</t>
  </si>
  <si>
    <t>ENC0483</t>
  </si>
  <si>
    <t>ENC0491</t>
  </si>
  <si>
    <t>ENC0492</t>
  </si>
  <si>
    <t>ENC0493</t>
  </si>
  <si>
    <t>ENC0501</t>
  </si>
  <si>
    <t>ENC0502</t>
  </si>
  <si>
    <t>ENC0503</t>
  </si>
  <si>
    <t>Problem_ID</t>
  </si>
  <si>
    <t>ICD_10_CM</t>
  </si>
  <si>
    <t>Problem_Name</t>
  </si>
  <si>
    <t>Clinical_Status</t>
  </si>
  <si>
    <t>Verification_Status</t>
  </si>
  <si>
    <t>Onset_Date</t>
  </si>
  <si>
    <t>Resolved_Date</t>
  </si>
  <si>
    <t>Category</t>
  </si>
  <si>
    <t>PRB0011</t>
  </si>
  <si>
    <t>Confirmed</t>
  </si>
  <si>
    <t>PRB0012</t>
  </si>
  <si>
    <t>PRB0021</t>
  </si>
  <si>
    <t>PRB0022</t>
  </si>
  <si>
    <t>Resolved</t>
  </si>
  <si>
    <t>PRB0031</t>
  </si>
  <si>
    <t>PRB0032</t>
  </si>
  <si>
    <t>PRB0041</t>
  </si>
  <si>
    <t>PRB0042</t>
  </si>
  <si>
    <t>PRB0051</t>
  </si>
  <si>
    <t>PRB0052</t>
  </si>
  <si>
    <t>PRB0061</t>
  </si>
  <si>
    <t>PRB0062</t>
  </si>
  <si>
    <t>PRB0071</t>
  </si>
  <si>
    <t>PRB0072</t>
  </si>
  <si>
    <t>PRB0081</t>
  </si>
  <si>
    <t>PRB0082</t>
  </si>
  <si>
    <t>PRB0091</t>
  </si>
  <si>
    <t>PRB0092</t>
  </si>
  <si>
    <t>PRB0101</t>
  </si>
  <si>
    <t>PRB0102</t>
  </si>
  <si>
    <t>PRB0111</t>
  </si>
  <si>
    <t>PRB0112</t>
  </si>
  <si>
    <t>PRB0121</t>
  </si>
  <si>
    <t>PRB0122</t>
  </si>
  <si>
    <t>PRB0131</t>
  </si>
  <si>
    <t>PRB0132</t>
  </si>
  <si>
    <t>PRB0141</t>
  </si>
  <si>
    <t>PRB0142</t>
  </si>
  <si>
    <t>PRB0151</t>
  </si>
  <si>
    <t>PRB0152</t>
  </si>
  <si>
    <t>PRB0161</t>
  </si>
  <si>
    <t>PRB0162</t>
  </si>
  <si>
    <t>PRB0171</t>
  </si>
  <si>
    <t>PRB0172</t>
  </si>
  <si>
    <t>PRB0181</t>
  </si>
  <si>
    <t>PRB0182</t>
  </si>
  <si>
    <t>PRB0191</t>
  </si>
  <si>
    <t>PRB0192</t>
  </si>
  <si>
    <t>PRB0201</t>
  </si>
  <si>
    <t>PRB0202</t>
  </si>
  <si>
    <t>PRB0211</t>
  </si>
  <si>
    <t>PRB0212</t>
  </si>
  <si>
    <t>PRB0221</t>
  </si>
  <si>
    <t>PRB0222</t>
  </si>
  <si>
    <t>PRB0231</t>
  </si>
  <si>
    <t>PRB0232</t>
  </si>
  <si>
    <t>PRB0241</t>
  </si>
  <si>
    <t>PRB0242</t>
  </si>
  <si>
    <t>PRB0251</t>
  </si>
  <si>
    <t>PRB0252</t>
  </si>
  <si>
    <t>PRB0261</t>
  </si>
  <si>
    <t>PRB0262</t>
  </si>
  <si>
    <t>PRB0271</t>
  </si>
  <si>
    <t>PRB0272</t>
  </si>
  <si>
    <t>PRB0281</t>
  </si>
  <si>
    <t>PRB0282</t>
  </si>
  <si>
    <t>PRB0291</t>
  </si>
  <si>
    <t>PRB0292</t>
  </si>
  <si>
    <t>PRB0301</t>
  </si>
  <si>
    <t>PRB0302</t>
  </si>
  <si>
    <t>PRB0311</t>
  </si>
  <si>
    <t>PRB0312</t>
  </si>
  <si>
    <t>PRB0321</t>
  </si>
  <si>
    <t>PRB0322</t>
  </si>
  <si>
    <t>PRB0331</t>
  </si>
  <si>
    <t>PRB0332</t>
  </si>
  <si>
    <t>PRB0341</t>
  </si>
  <si>
    <t>PRB0342</t>
  </si>
  <si>
    <t>PRB0351</t>
  </si>
  <si>
    <t>PRB0352</t>
  </si>
  <si>
    <t>PRB0361</t>
  </si>
  <si>
    <t>PRB0362</t>
  </si>
  <si>
    <t>PRB0371</t>
  </si>
  <si>
    <t>PRB0372</t>
  </si>
  <si>
    <t>PRB0381</t>
  </si>
  <si>
    <t>PRB0382</t>
  </si>
  <si>
    <t>PRB0391</t>
  </si>
  <si>
    <t>PRB0392</t>
  </si>
  <si>
    <t>PRB0401</t>
  </si>
  <si>
    <t>PRB0402</t>
  </si>
  <si>
    <t>PRB0411</t>
  </si>
  <si>
    <t>PRB0412</t>
  </si>
  <si>
    <t>PRB0421</t>
  </si>
  <si>
    <t>PRB0422</t>
  </si>
  <si>
    <t>PRB0431</t>
  </si>
  <si>
    <t>PRB0432</t>
  </si>
  <si>
    <t>PRB0441</t>
  </si>
  <si>
    <t>PRB0442</t>
  </si>
  <si>
    <t>PRB0451</t>
  </si>
  <si>
    <t>PRB0452</t>
  </si>
  <si>
    <t>PRB0461</t>
  </si>
  <si>
    <t>PRB0462</t>
  </si>
  <si>
    <t>PRB0471</t>
  </si>
  <si>
    <t>PRB0472</t>
  </si>
  <si>
    <t>PRB0481</t>
  </si>
  <si>
    <t>PRB0482</t>
  </si>
  <si>
    <t>PRB0491</t>
  </si>
  <si>
    <t>PRB0492</t>
  </si>
  <si>
    <t>PRB0501</t>
  </si>
  <si>
    <t>PRB0502</t>
  </si>
  <si>
    <t>Allergy_ID</t>
  </si>
  <si>
    <t>Substance</t>
  </si>
  <si>
    <t>Reaction</t>
  </si>
  <si>
    <t>Severity</t>
  </si>
  <si>
    <t>Recorded_Date</t>
  </si>
  <si>
    <t>Recorder</t>
  </si>
  <si>
    <t>ALG0001</t>
  </si>
  <si>
    <t>Penicillin</t>
  </si>
  <si>
    <t>Drug</t>
  </si>
  <si>
    <t>Hives</t>
  </si>
  <si>
    <t>Moderate</t>
  </si>
  <si>
    <t>ALG0002</t>
  </si>
  <si>
    <t>Sulfonamide antibiotics</t>
  </si>
  <si>
    <t>Rash</t>
  </si>
  <si>
    <t>ALG0003</t>
  </si>
  <si>
    <t>Peanut</t>
  </si>
  <si>
    <t>Food</t>
  </si>
  <si>
    <t>Anaphylaxis</t>
  </si>
  <si>
    <t>Severe</t>
  </si>
  <si>
    <t>ALG0004</t>
  </si>
  <si>
    <t>Latex</t>
  </si>
  <si>
    <t>Environmental</t>
  </si>
  <si>
    <t>Contact dermatitis</t>
  </si>
  <si>
    <t>Mild</t>
  </si>
  <si>
    <t>ALG0005</t>
  </si>
  <si>
    <t>No known allergies</t>
  </si>
  <si>
    <t>None</t>
  </si>
  <si>
    <t>ALG0006</t>
  </si>
  <si>
    <t>ALG0007</t>
  </si>
  <si>
    <t>ALG0008</t>
  </si>
  <si>
    <t>ALG0009</t>
  </si>
  <si>
    <t>ALG0010</t>
  </si>
  <si>
    <t>ALG0011</t>
  </si>
  <si>
    <t>ALG0012</t>
  </si>
  <si>
    <t>ALG0013</t>
  </si>
  <si>
    <t>ALG0014</t>
  </si>
  <si>
    <t>ALG0015</t>
  </si>
  <si>
    <t>ALG0016</t>
  </si>
  <si>
    <t>ALG0017</t>
  </si>
  <si>
    <t>ALG0018</t>
  </si>
  <si>
    <t>ALG0019</t>
  </si>
  <si>
    <t>ALG0020</t>
  </si>
  <si>
    <t>ALG0021</t>
  </si>
  <si>
    <t>ALG0022</t>
  </si>
  <si>
    <t>ALG0023</t>
  </si>
  <si>
    <t>ALG0024</t>
  </si>
  <si>
    <t>ALG0025</t>
  </si>
  <si>
    <t>ALG0026</t>
  </si>
  <si>
    <t>ALG0027</t>
  </si>
  <si>
    <t>ALG0028</t>
  </si>
  <si>
    <t>ALG0029</t>
  </si>
  <si>
    <t>ALG0030</t>
  </si>
  <si>
    <t>ALG0031</t>
  </si>
  <si>
    <t>ALG0032</t>
  </si>
  <si>
    <t>ALG0033</t>
  </si>
  <si>
    <t>ALG0034</t>
  </si>
  <si>
    <t>ALG0035</t>
  </si>
  <si>
    <t>ALG0036</t>
  </si>
  <si>
    <t>ALG0037</t>
  </si>
  <si>
    <t>ALG0038</t>
  </si>
  <si>
    <t>ALG0039</t>
  </si>
  <si>
    <t>ALG0040</t>
  </si>
  <si>
    <t>ALG0041</t>
  </si>
  <si>
    <t>ALG0042</t>
  </si>
  <si>
    <t>ALG0043</t>
  </si>
  <si>
    <t>ALG0044</t>
  </si>
  <si>
    <t>ALG0045</t>
  </si>
  <si>
    <t>ALG0046</t>
  </si>
  <si>
    <t>ALG0047</t>
  </si>
  <si>
    <t>ALG0048</t>
  </si>
  <si>
    <t>ALG0049</t>
  </si>
  <si>
    <t>ALG0050</t>
  </si>
  <si>
    <t>Medication_ID</t>
  </si>
  <si>
    <t>Route</t>
  </si>
  <si>
    <t>Start_Date</t>
  </si>
  <si>
    <t>Prescriber</t>
  </si>
  <si>
    <t>Indication_ICD_10</t>
  </si>
  <si>
    <t>Dispense</t>
  </si>
  <si>
    <t>Refills</t>
  </si>
  <si>
    <t>MED0011</t>
  </si>
  <si>
    <t>Lisinopril 10 mg tablet</t>
  </si>
  <si>
    <t>10 mg</t>
  </si>
  <si>
    <t>Oral</t>
  </si>
  <si>
    <t>Daily</t>
  </si>
  <si>
    <t>30 day supply</t>
  </si>
  <si>
    <t>3</t>
  </si>
  <si>
    <t>MED0012</t>
  </si>
  <si>
    <t>Metformin 500 mg tablet</t>
  </si>
  <si>
    <t>500 mg</t>
  </si>
  <si>
    <t>Twice daily</t>
  </si>
  <si>
    <t>0</t>
  </si>
  <si>
    <t>MED0021</t>
  </si>
  <si>
    <t>MED0022</t>
  </si>
  <si>
    <t>Atorvastatin 20 mg tablet</t>
  </si>
  <si>
    <t>20 mg</t>
  </si>
  <si>
    <t>Nightly</t>
  </si>
  <si>
    <t>MED0031</t>
  </si>
  <si>
    <t>MED0032</t>
  </si>
  <si>
    <t>Albuterol HFA 90 mcg inhaler</t>
  </si>
  <si>
    <t>2 puffs</t>
  </si>
  <si>
    <t>Inhaled</t>
  </si>
  <si>
    <t>Every 4-6 hours as needed</t>
  </si>
  <si>
    <t>MED0041</t>
  </si>
  <si>
    <t>MED0042</t>
  </si>
  <si>
    <t>Levothyroxine 50 mcg tablet</t>
  </si>
  <si>
    <t>50 mcg</t>
  </si>
  <si>
    <t>Daily before breakfast</t>
  </si>
  <si>
    <t>MED0051</t>
  </si>
  <si>
    <t>MED0052</t>
  </si>
  <si>
    <t>Omeprazole 20 mg capsule</t>
  </si>
  <si>
    <t>MED0061</t>
  </si>
  <si>
    <t>MED0062</t>
  </si>
  <si>
    <t>MED0071</t>
  </si>
  <si>
    <t>MED0072</t>
  </si>
  <si>
    <t>MED0081</t>
  </si>
  <si>
    <t>MED0082</t>
  </si>
  <si>
    <t>MED0091</t>
  </si>
  <si>
    <t>MED0092</t>
  </si>
  <si>
    <t>MED0101</t>
  </si>
  <si>
    <t>MED0102</t>
  </si>
  <si>
    <t>MED0111</t>
  </si>
  <si>
    <t>MED0112</t>
  </si>
  <si>
    <t>MED0121</t>
  </si>
  <si>
    <t>MED0122</t>
  </si>
  <si>
    <t>MED0131</t>
  </si>
  <si>
    <t>MED0132</t>
  </si>
  <si>
    <t>MED0141</t>
  </si>
  <si>
    <t>MED0142</t>
  </si>
  <si>
    <t>MED0151</t>
  </si>
  <si>
    <t>MED0152</t>
  </si>
  <si>
    <t>MED0161</t>
  </si>
  <si>
    <t>MED0162</t>
  </si>
  <si>
    <t>MED0171</t>
  </si>
  <si>
    <t>MED0172</t>
  </si>
  <si>
    <t>MED0181</t>
  </si>
  <si>
    <t>MED0182</t>
  </si>
  <si>
    <t>MED0191</t>
  </si>
  <si>
    <t>MED0192</t>
  </si>
  <si>
    <t>MED0201</t>
  </si>
  <si>
    <t>MED0202</t>
  </si>
  <si>
    <t>MED0211</t>
  </si>
  <si>
    <t>MED0212</t>
  </si>
  <si>
    <t>MED0221</t>
  </si>
  <si>
    <t>MED0222</t>
  </si>
  <si>
    <t>MED0231</t>
  </si>
  <si>
    <t>MED0232</t>
  </si>
  <si>
    <t>MED0241</t>
  </si>
  <si>
    <t>MED0242</t>
  </si>
  <si>
    <t>MED0251</t>
  </si>
  <si>
    <t>MED0252</t>
  </si>
  <si>
    <t>MED0261</t>
  </si>
  <si>
    <t>MED0262</t>
  </si>
  <si>
    <t>MED0271</t>
  </si>
  <si>
    <t>MED0272</t>
  </si>
  <si>
    <t>MED0281</t>
  </si>
  <si>
    <t>MED0282</t>
  </si>
  <si>
    <t>MED0291</t>
  </si>
  <si>
    <t>MED0292</t>
  </si>
  <si>
    <t>MED0301</t>
  </si>
  <si>
    <t>MED0302</t>
  </si>
  <si>
    <t>MED0311</t>
  </si>
  <si>
    <t>MED0312</t>
  </si>
  <si>
    <t>MED0321</t>
  </si>
  <si>
    <t>MED0322</t>
  </si>
  <si>
    <t>MED0331</t>
  </si>
  <si>
    <t>MED0332</t>
  </si>
  <si>
    <t>MED0341</t>
  </si>
  <si>
    <t>MED0342</t>
  </si>
  <si>
    <t>MED0351</t>
  </si>
  <si>
    <t>MED0352</t>
  </si>
  <si>
    <t>MED0361</t>
  </si>
  <si>
    <t>MED0362</t>
  </si>
  <si>
    <t>MED0371</t>
  </si>
  <si>
    <t>MED0372</t>
  </si>
  <si>
    <t>MED0381</t>
  </si>
  <si>
    <t>MED0382</t>
  </si>
  <si>
    <t>MED0391</t>
  </si>
  <si>
    <t>MED0392</t>
  </si>
  <si>
    <t>MED0401</t>
  </si>
  <si>
    <t>MED0402</t>
  </si>
  <si>
    <t>MED0411</t>
  </si>
  <si>
    <t>MED0412</t>
  </si>
  <si>
    <t>MED0421</t>
  </si>
  <si>
    <t>MED0422</t>
  </si>
  <si>
    <t>MED0431</t>
  </si>
  <si>
    <t>MED0432</t>
  </si>
  <si>
    <t>MED0441</t>
  </si>
  <si>
    <t>MED0442</t>
  </si>
  <si>
    <t>MED0451</t>
  </si>
  <si>
    <t>MED0452</t>
  </si>
  <si>
    <t>MED0461</t>
  </si>
  <si>
    <t>MED0462</t>
  </si>
  <si>
    <t>MED0471</t>
  </si>
  <si>
    <t>MED0472</t>
  </si>
  <si>
    <t>MED0481</t>
  </si>
  <si>
    <t>MED0482</t>
  </si>
  <si>
    <t>MED0491</t>
  </si>
  <si>
    <t>MED0492</t>
  </si>
  <si>
    <t>MED0501</t>
  </si>
  <si>
    <t>MED0502</t>
  </si>
  <si>
    <t>Vital_ID</t>
  </si>
  <si>
    <t>Observed_Date</t>
  </si>
  <si>
    <t>Systolic_mmHg</t>
  </si>
  <si>
    <t>Diastolic_mmHg</t>
  </si>
  <si>
    <t>Heart_Rate_bpm</t>
  </si>
  <si>
    <t>Respiratory_Rate</t>
  </si>
  <si>
    <t>SpO2_Percent</t>
  </si>
  <si>
    <t>Temperature_F</t>
  </si>
  <si>
    <t>Recorded_By</t>
  </si>
  <si>
    <t>Position</t>
  </si>
  <si>
    <t>VIT0011</t>
  </si>
  <si>
    <t>Sitting</t>
  </si>
  <si>
    <t>VIT0012</t>
  </si>
  <si>
    <t>VIT0013</t>
  </si>
  <si>
    <t>VIT0021</t>
  </si>
  <si>
    <t>VIT0022</t>
  </si>
  <si>
    <t>VIT0023</t>
  </si>
  <si>
    <t>VIT0031</t>
  </si>
  <si>
    <t>VIT0032</t>
  </si>
  <si>
    <t>VIT0033</t>
  </si>
  <si>
    <t>VIT0041</t>
  </si>
  <si>
    <t>VIT0042</t>
  </si>
  <si>
    <t>VIT0043</t>
  </si>
  <si>
    <t>VIT0051</t>
  </si>
  <si>
    <t>VIT0052</t>
  </si>
  <si>
    <t>VIT0053</t>
  </si>
  <si>
    <t>VIT0061</t>
  </si>
  <si>
    <t>VIT0062</t>
  </si>
  <si>
    <t>VIT0063</t>
  </si>
  <si>
    <t>VIT0071</t>
  </si>
  <si>
    <t>VIT0072</t>
  </si>
  <si>
    <t>VIT0073</t>
  </si>
  <si>
    <t>VIT0081</t>
  </si>
  <si>
    <t>VIT0082</t>
  </si>
  <si>
    <t>VIT0083</t>
  </si>
  <si>
    <t>VIT0091</t>
  </si>
  <si>
    <t>VIT0092</t>
  </si>
  <si>
    <t>VIT0093</t>
  </si>
  <si>
    <t>VIT0101</t>
  </si>
  <si>
    <t>VIT0102</t>
  </si>
  <si>
    <t>VIT0103</t>
  </si>
  <si>
    <t>VIT0111</t>
  </si>
  <si>
    <t>VIT0112</t>
  </si>
  <si>
    <t>VIT0113</t>
  </si>
  <si>
    <t>VIT0121</t>
  </si>
  <si>
    <t>VIT0122</t>
  </si>
  <si>
    <t>VIT0123</t>
  </si>
  <si>
    <t>VIT0131</t>
  </si>
  <si>
    <t>VIT0132</t>
  </si>
  <si>
    <t>VIT0133</t>
  </si>
  <si>
    <t>VIT0141</t>
  </si>
  <si>
    <t>VIT0142</t>
  </si>
  <si>
    <t>VIT0143</t>
  </si>
  <si>
    <t>VIT0151</t>
  </si>
  <si>
    <t>VIT0152</t>
  </si>
  <si>
    <t>VIT0153</t>
  </si>
  <si>
    <t>VIT0161</t>
  </si>
  <si>
    <t>VIT0162</t>
  </si>
  <si>
    <t>VIT0163</t>
  </si>
  <si>
    <t>VIT0171</t>
  </si>
  <si>
    <t>VIT0172</t>
  </si>
  <si>
    <t>VIT0173</t>
  </si>
  <si>
    <t>VIT0181</t>
  </si>
  <si>
    <t>VIT0182</t>
  </si>
  <si>
    <t>VIT0183</t>
  </si>
  <si>
    <t>VIT0191</t>
  </si>
  <si>
    <t>VIT0192</t>
  </si>
  <si>
    <t>VIT0193</t>
  </si>
  <si>
    <t>VIT0201</t>
  </si>
  <si>
    <t>VIT0202</t>
  </si>
  <si>
    <t>VIT0203</t>
  </si>
  <si>
    <t>VIT0211</t>
  </si>
  <si>
    <t>VIT0212</t>
  </si>
  <si>
    <t>VIT0213</t>
  </si>
  <si>
    <t>VIT0221</t>
  </si>
  <si>
    <t>VIT0222</t>
  </si>
  <si>
    <t>VIT0223</t>
  </si>
  <si>
    <t>VIT0231</t>
  </si>
  <si>
    <t>VIT0232</t>
  </si>
  <si>
    <t>VIT0233</t>
  </si>
  <si>
    <t>VIT0241</t>
  </si>
  <si>
    <t>VIT0242</t>
  </si>
  <si>
    <t>VIT0243</t>
  </si>
  <si>
    <t>VIT0251</t>
  </si>
  <si>
    <t>VIT0252</t>
  </si>
  <si>
    <t>VIT0253</t>
  </si>
  <si>
    <t>VIT0261</t>
  </si>
  <si>
    <t>VIT0262</t>
  </si>
  <si>
    <t>VIT0263</t>
  </si>
  <si>
    <t>VIT0271</t>
  </si>
  <si>
    <t>VIT0272</t>
  </si>
  <si>
    <t>VIT0273</t>
  </si>
  <si>
    <t>VIT0281</t>
  </si>
  <si>
    <t>VIT0282</t>
  </si>
  <si>
    <t>VIT0283</t>
  </si>
  <si>
    <t>VIT0291</t>
  </si>
  <si>
    <t>VIT0292</t>
  </si>
  <si>
    <t>VIT0293</t>
  </si>
  <si>
    <t>VIT0301</t>
  </si>
  <si>
    <t>VIT0302</t>
  </si>
  <si>
    <t>VIT0303</t>
  </si>
  <si>
    <t>VIT0311</t>
  </si>
  <si>
    <t>VIT0312</t>
  </si>
  <si>
    <t>VIT0313</t>
  </si>
  <si>
    <t>VIT0321</t>
  </si>
  <si>
    <t>VIT0322</t>
  </si>
  <si>
    <t>VIT0323</t>
  </si>
  <si>
    <t>VIT0331</t>
  </si>
  <si>
    <t>VIT0332</t>
  </si>
  <si>
    <t>VIT0333</t>
  </si>
  <si>
    <t>VIT0341</t>
  </si>
  <si>
    <t>VIT0342</t>
  </si>
  <si>
    <t>VIT0343</t>
  </si>
  <si>
    <t>VIT0351</t>
  </si>
  <si>
    <t>VIT0352</t>
  </si>
  <si>
    <t>VIT0353</t>
  </si>
  <si>
    <t>VIT0361</t>
  </si>
  <si>
    <t>VIT0362</t>
  </si>
  <si>
    <t>VIT0363</t>
  </si>
  <si>
    <t>VIT0371</t>
  </si>
  <si>
    <t>VIT0372</t>
  </si>
  <si>
    <t>VIT0373</t>
  </si>
  <si>
    <t>VIT0381</t>
  </si>
  <si>
    <t>VIT0382</t>
  </si>
  <si>
    <t>VIT0383</t>
  </si>
  <si>
    <t>VIT0391</t>
  </si>
  <si>
    <t>VIT0392</t>
  </si>
  <si>
    <t>VIT0393</t>
  </si>
  <si>
    <t>VIT0401</t>
  </si>
  <si>
    <t>VIT0402</t>
  </si>
  <si>
    <t>VIT0403</t>
  </si>
  <si>
    <t>VIT0411</t>
  </si>
  <si>
    <t>VIT0412</t>
  </si>
  <si>
    <t>VIT0413</t>
  </si>
  <si>
    <t>VIT0421</t>
  </si>
  <si>
    <t>VIT0422</t>
  </si>
  <si>
    <t>VIT0423</t>
  </si>
  <si>
    <t>VIT0431</t>
  </si>
  <si>
    <t>VIT0432</t>
  </si>
  <si>
    <t>VIT0433</t>
  </si>
  <si>
    <t>VIT0441</t>
  </si>
  <si>
    <t>VIT0442</t>
  </si>
  <si>
    <t>VIT0443</t>
  </si>
  <si>
    <t>VIT0451</t>
  </si>
  <si>
    <t>VIT0452</t>
  </si>
  <si>
    <t>VIT0453</t>
  </si>
  <si>
    <t>VIT0461</t>
  </si>
  <si>
    <t>VIT0462</t>
  </si>
  <si>
    <t>VIT0463</t>
  </si>
  <si>
    <t>VIT0471</t>
  </si>
  <si>
    <t>VIT0472</t>
  </si>
  <si>
    <t>VIT0473</t>
  </si>
  <si>
    <t>VIT0481</t>
  </si>
  <si>
    <t>VIT0482</t>
  </si>
  <si>
    <t>VIT0483</t>
  </si>
  <si>
    <t>VIT0491</t>
  </si>
  <si>
    <t>VIT0492</t>
  </si>
  <si>
    <t>VIT0493</t>
  </si>
  <si>
    <t>VIT0501</t>
  </si>
  <si>
    <t>VIT0502</t>
  </si>
  <si>
    <t>VIT0503</t>
  </si>
  <si>
    <t>Lab_ID</t>
  </si>
  <si>
    <t>Result_Date</t>
  </si>
  <si>
    <t>LOINC_Code</t>
  </si>
  <si>
    <t>Test_Name</t>
  </si>
  <si>
    <t>Unit</t>
  </si>
  <si>
    <t>Reference_Range</t>
  </si>
  <si>
    <t>Performing_Lab</t>
  </si>
  <si>
    <t>Ordering_Provider</t>
  </si>
  <si>
    <t>LAB0011</t>
  </si>
  <si>
    <t>4548-4</t>
  </si>
  <si>
    <t>Hemoglobin A1c</t>
  </si>
  <si>
    <t>%</t>
  </si>
  <si>
    <t>4.0-5.6</t>
  </si>
  <si>
    <t>Normal</t>
  </si>
  <si>
    <t>Final</t>
  </si>
  <si>
    <t>Northstar Reference Lab</t>
  </si>
  <si>
    <t>LAB0012</t>
  </si>
  <si>
    <t>2345-7</t>
  </si>
  <si>
    <t>Glucose</t>
  </si>
  <si>
    <t>mg/dL</t>
  </si>
  <si>
    <t>70-99</t>
  </si>
  <si>
    <t>LAB0013</t>
  </si>
  <si>
    <t>2093-3</t>
  </si>
  <si>
    <t>Total cholesterol</t>
  </si>
  <si>
    <t>&lt;200</t>
  </si>
  <si>
    <t>LAB0014</t>
  </si>
  <si>
    <t>718-7</t>
  </si>
  <si>
    <t>Hemoglobin</t>
  </si>
  <si>
    <t>g/dL</t>
  </si>
  <si>
    <t>12.0-17.5</t>
  </si>
  <si>
    <t>LAB0015</t>
  </si>
  <si>
    <t>6690-2</t>
  </si>
  <si>
    <t>WBC</t>
  </si>
  <si>
    <t>10^3/uL</t>
  </si>
  <si>
    <t>4.0-11.0</t>
  </si>
  <si>
    <t>LAB0021</t>
  </si>
  <si>
    <t>LAB0022</t>
  </si>
  <si>
    <t>LAB0023</t>
  </si>
  <si>
    <t>LAB0024</t>
  </si>
  <si>
    <t>LAB0025</t>
  </si>
  <si>
    <t>LAB0031</t>
  </si>
  <si>
    <t>LAB0032</t>
  </si>
  <si>
    <t>LAB0033</t>
  </si>
  <si>
    <t>LAB0034</t>
  </si>
  <si>
    <t>LAB0035</t>
  </si>
  <si>
    <t>LAB0041</t>
  </si>
  <si>
    <t>High</t>
  </si>
  <si>
    <t>LAB0042</t>
  </si>
  <si>
    <t>LAB0043</t>
  </si>
  <si>
    <t>LAB0044</t>
  </si>
  <si>
    <t>LAB0045</t>
  </si>
  <si>
    <t>LAB0051</t>
  </si>
  <si>
    <t>LAB0052</t>
  </si>
  <si>
    <t>LAB0053</t>
  </si>
  <si>
    <t>LAB0054</t>
  </si>
  <si>
    <t>LAB0055</t>
  </si>
  <si>
    <t>LAB0061</t>
  </si>
  <si>
    <t>LAB0062</t>
  </si>
  <si>
    <t>LAB0063</t>
  </si>
  <si>
    <t>LAB0064</t>
  </si>
  <si>
    <t>LAB0065</t>
  </si>
  <si>
    <t>LAB0071</t>
  </si>
  <si>
    <t>LAB0072</t>
  </si>
  <si>
    <t>LAB0073</t>
  </si>
  <si>
    <t>LAB0074</t>
  </si>
  <si>
    <t>LAB0075</t>
  </si>
  <si>
    <t>LAB0081</t>
  </si>
  <si>
    <t>LAB0082</t>
  </si>
  <si>
    <t>LAB0083</t>
  </si>
  <si>
    <t>LAB0084</t>
  </si>
  <si>
    <t>LAB0085</t>
  </si>
  <si>
    <t>LAB0091</t>
  </si>
  <si>
    <t>LAB0092</t>
  </si>
  <si>
    <t>LAB0093</t>
  </si>
  <si>
    <t>LAB0094</t>
  </si>
  <si>
    <t>LAB0095</t>
  </si>
  <si>
    <t>LAB0101</t>
  </si>
  <si>
    <t>LAB0102</t>
  </si>
  <si>
    <t>LAB0103</t>
  </si>
  <si>
    <t>LAB0104</t>
  </si>
  <si>
    <t>LAB0105</t>
  </si>
  <si>
    <t>LAB0111</t>
  </si>
  <si>
    <t>LAB0112</t>
  </si>
  <si>
    <t>LAB0113</t>
  </si>
  <si>
    <t>LAB0114</t>
  </si>
  <si>
    <t>LAB0115</t>
  </si>
  <si>
    <t>LAB0121</t>
  </si>
  <si>
    <t>LAB0122</t>
  </si>
  <si>
    <t>LAB0123</t>
  </si>
  <si>
    <t>LAB0124</t>
  </si>
  <si>
    <t>LAB0125</t>
  </si>
  <si>
    <t>LAB0131</t>
  </si>
  <si>
    <t>LAB0132</t>
  </si>
  <si>
    <t>LAB0133</t>
  </si>
  <si>
    <t>LAB0134</t>
  </si>
  <si>
    <t>LAB0135</t>
  </si>
  <si>
    <t>LAB0141</t>
  </si>
  <si>
    <t>LAB0142</t>
  </si>
  <si>
    <t>LAB0143</t>
  </si>
  <si>
    <t>LAB0144</t>
  </si>
  <si>
    <t>LAB0145</t>
  </si>
  <si>
    <t>LAB0151</t>
  </si>
  <si>
    <t>LAB0152</t>
  </si>
  <si>
    <t>LAB0153</t>
  </si>
  <si>
    <t>LAB0154</t>
  </si>
  <si>
    <t>LAB0155</t>
  </si>
  <si>
    <t>LAB0161</t>
  </si>
  <si>
    <t>LAB0162</t>
  </si>
  <si>
    <t>LAB0163</t>
  </si>
  <si>
    <t>LAB0164</t>
  </si>
  <si>
    <t>LAB0165</t>
  </si>
  <si>
    <t>LAB0171</t>
  </si>
  <si>
    <t>LAB0172</t>
  </si>
  <si>
    <t>LAB0173</t>
  </si>
  <si>
    <t>LAB0174</t>
  </si>
  <si>
    <t>LAB0175</t>
  </si>
  <si>
    <t>LAB0181</t>
  </si>
  <si>
    <t>LAB0182</t>
  </si>
  <si>
    <t>LAB0183</t>
  </si>
  <si>
    <t>LAB0184</t>
  </si>
  <si>
    <t>LAB0185</t>
  </si>
  <si>
    <t>LAB0191</t>
  </si>
  <si>
    <t>LAB0192</t>
  </si>
  <si>
    <t>LAB0193</t>
  </si>
  <si>
    <t>LAB0194</t>
  </si>
  <si>
    <t>LAB0195</t>
  </si>
  <si>
    <t>LAB0201</t>
  </si>
  <si>
    <t>LAB0202</t>
  </si>
  <si>
    <t>LAB0203</t>
  </si>
  <si>
    <t>LAB0204</t>
  </si>
  <si>
    <t>LAB0205</t>
  </si>
  <si>
    <t>LAB0211</t>
  </si>
  <si>
    <t>LAB0212</t>
  </si>
  <si>
    <t>LAB0213</t>
  </si>
  <si>
    <t>LAB0214</t>
  </si>
  <si>
    <t>LAB0215</t>
  </si>
  <si>
    <t>LAB0221</t>
  </si>
  <si>
    <t>LAB0222</t>
  </si>
  <si>
    <t>LAB0223</t>
  </si>
  <si>
    <t>LAB0224</t>
  </si>
  <si>
    <t>LAB0225</t>
  </si>
  <si>
    <t>LAB0231</t>
  </si>
  <si>
    <t>LAB0232</t>
  </si>
  <si>
    <t>LAB0233</t>
  </si>
  <si>
    <t>LAB0234</t>
  </si>
  <si>
    <t>LAB0235</t>
  </si>
  <si>
    <t>LAB0241</t>
  </si>
  <si>
    <t>LAB0242</t>
  </si>
  <si>
    <t>LAB0243</t>
  </si>
  <si>
    <t>LAB0244</t>
  </si>
  <si>
    <t>LAB0245</t>
  </si>
  <si>
    <t>LAB0251</t>
  </si>
  <si>
    <t>LAB0252</t>
  </si>
  <si>
    <t>LAB0253</t>
  </si>
  <si>
    <t>LAB0254</t>
  </si>
  <si>
    <t>LAB0255</t>
  </si>
  <si>
    <t>LAB0261</t>
  </si>
  <si>
    <t>LAB0262</t>
  </si>
  <si>
    <t>LAB0263</t>
  </si>
  <si>
    <t>LAB0264</t>
  </si>
  <si>
    <t>LAB0265</t>
  </si>
  <si>
    <t>LAB0271</t>
  </si>
  <si>
    <t>LAB0272</t>
  </si>
  <si>
    <t>LAB0273</t>
  </si>
  <si>
    <t>LAB0274</t>
  </si>
  <si>
    <t>LAB0275</t>
  </si>
  <si>
    <t>LAB0281</t>
  </si>
  <si>
    <t>LAB0282</t>
  </si>
  <si>
    <t>LAB0283</t>
  </si>
  <si>
    <t>LAB0284</t>
  </si>
  <si>
    <t>LAB0285</t>
  </si>
  <si>
    <t>LAB0291</t>
  </si>
  <si>
    <t>LAB0292</t>
  </si>
  <si>
    <t>LAB0293</t>
  </si>
  <si>
    <t>LAB0294</t>
  </si>
  <si>
    <t>LAB0295</t>
  </si>
  <si>
    <t>LAB0301</t>
  </si>
  <si>
    <t>LAB0302</t>
  </si>
  <si>
    <t>LAB0303</t>
  </si>
  <si>
    <t>LAB0304</t>
  </si>
  <si>
    <t>LAB0305</t>
  </si>
  <si>
    <t>LAB0311</t>
  </si>
  <si>
    <t>LAB0312</t>
  </si>
  <si>
    <t>LAB0313</t>
  </si>
  <si>
    <t>LAB0314</t>
  </si>
  <si>
    <t>LAB0315</t>
  </si>
  <si>
    <t>LAB0321</t>
  </si>
  <si>
    <t>LAB0322</t>
  </si>
  <si>
    <t>LAB0323</t>
  </si>
  <si>
    <t>LAB0324</t>
  </si>
  <si>
    <t>LAB0325</t>
  </si>
  <si>
    <t>LAB0331</t>
  </si>
  <si>
    <t>LAB0332</t>
  </si>
  <si>
    <t>LAB0333</t>
  </si>
  <si>
    <t>LAB0334</t>
  </si>
  <si>
    <t>LAB0335</t>
  </si>
  <si>
    <t>LAB0341</t>
  </si>
  <si>
    <t>LAB0342</t>
  </si>
  <si>
    <t>LAB0343</t>
  </si>
  <si>
    <t>LAB0344</t>
  </si>
  <si>
    <t>LAB0345</t>
  </si>
  <si>
    <t>LAB0351</t>
  </si>
  <si>
    <t>LAB0352</t>
  </si>
  <si>
    <t>LAB0353</t>
  </si>
  <si>
    <t>LAB0354</t>
  </si>
  <si>
    <t>LAB0355</t>
  </si>
  <si>
    <t>LAB0361</t>
  </si>
  <si>
    <t>LAB0362</t>
  </si>
  <si>
    <t>LAB0363</t>
  </si>
  <si>
    <t>LAB0364</t>
  </si>
  <si>
    <t>LAB0365</t>
  </si>
  <si>
    <t>LAB0371</t>
  </si>
  <si>
    <t>LAB0372</t>
  </si>
  <si>
    <t>LAB0373</t>
  </si>
  <si>
    <t>LAB0374</t>
  </si>
  <si>
    <t>LAB0375</t>
  </si>
  <si>
    <t>LAB0381</t>
  </si>
  <si>
    <t>LAB0382</t>
  </si>
  <si>
    <t>LAB0383</t>
  </si>
  <si>
    <t>LAB0384</t>
  </si>
  <si>
    <t>LAB0385</t>
  </si>
  <si>
    <t>LAB0391</t>
  </si>
  <si>
    <t>LAB0392</t>
  </si>
  <si>
    <t>LAB0393</t>
  </si>
  <si>
    <t>LAB0394</t>
  </si>
  <si>
    <t>LAB0395</t>
  </si>
  <si>
    <t>LAB0401</t>
  </si>
  <si>
    <t>LAB0402</t>
  </si>
  <si>
    <t>LAB0403</t>
  </si>
  <si>
    <t>LAB0404</t>
  </si>
  <si>
    <t>LAB0405</t>
  </si>
  <si>
    <t>LAB0411</t>
  </si>
  <si>
    <t>LAB0412</t>
  </si>
  <si>
    <t>LAB0413</t>
  </si>
  <si>
    <t>LAB0414</t>
  </si>
  <si>
    <t>LAB0415</t>
  </si>
  <si>
    <t>LAB0421</t>
  </si>
  <si>
    <t>LAB0422</t>
  </si>
  <si>
    <t>LAB0423</t>
  </si>
  <si>
    <t>LAB0424</t>
  </si>
  <si>
    <t>LAB0425</t>
  </si>
  <si>
    <t>LAB0431</t>
  </si>
  <si>
    <t>LAB0432</t>
  </si>
  <si>
    <t>LAB0433</t>
  </si>
  <si>
    <t>LAB0434</t>
  </si>
  <si>
    <t>LAB0435</t>
  </si>
  <si>
    <t>LAB0441</t>
  </si>
  <si>
    <t>LAB0442</t>
  </si>
  <si>
    <t>LAB0443</t>
  </si>
  <si>
    <t>LAB0444</t>
  </si>
  <si>
    <t>LAB0445</t>
  </si>
  <si>
    <t>LAB0451</t>
  </si>
  <si>
    <t>LAB0452</t>
  </si>
  <si>
    <t>LAB0453</t>
  </si>
  <si>
    <t>LAB0454</t>
  </si>
  <si>
    <t>LAB0455</t>
  </si>
  <si>
    <t>LAB0461</t>
  </si>
  <si>
    <t>LAB0462</t>
  </si>
  <si>
    <t>LAB0463</t>
  </si>
  <si>
    <t>LAB0464</t>
  </si>
  <si>
    <t>LAB0465</t>
  </si>
  <si>
    <t>LAB0471</t>
  </si>
  <si>
    <t>LAB0472</t>
  </si>
  <si>
    <t>LAB0473</t>
  </si>
  <si>
    <t>LAB0474</t>
  </si>
  <si>
    <t>LAB0475</t>
  </si>
  <si>
    <t>LAB0481</t>
  </si>
  <si>
    <t>LAB0482</t>
  </si>
  <si>
    <t>LAB0483</t>
  </si>
  <si>
    <t>LAB0484</t>
  </si>
  <si>
    <t>LAB0485</t>
  </si>
  <si>
    <t>LAB0491</t>
  </si>
  <si>
    <t>LAB0492</t>
  </si>
  <si>
    <t>LAB0493</t>
  </si>
  <si>
    <t>LAB0494</t>
  </si>
  <si>
    <t>LAB0495</t>
  </si>
  <si>
    <t>LAB0501</t>
  </si>
  <si>
    <t>LAB0502</t>
  </si>
  <si>
    <t>LAB0503</t>
  </si>
  <si>
    <t>LAB0504</t>
  </si>
  <si>
    <t>LAB0505</t>
  </si>
  <si>
    <t>Order_ID</t>
  </si>
  <si>
    <t>Order_Date</t>
  </si>
  <si>
    <t>Order_Type</t>
  </si>
  <si>
    <t>CPT_HCPCS</t>
  </si>
  <si>
    <t>Order_Description</t>
  </si>
  <si>
    <t>ORD0001</t>
  </si>
  <si>
    <t>Procedure</t>
  </si>
  <si>
    <t>99214</t>
  </si>
  <si>
    <t>Established patient office visit</t>
  </si>
  <si>
    <t>ORD0002</t>
  </si>
  <si>
    <t>93000</t>
  </si>
  <si>
    <t>Electrocardiogram</t>
  </si>
  <si>
    <t>ORD0003</t>
  </si>
  <si>
    <t>71046</t>
  </si>
  <si>
    <t>Chest radiography</t>
  </si>
  <si>
    <t>ORD0004</t>
  </si>
  <si>
    <t>80053</t>
  </si>
  <si>
    <t>Comprehensive metabolic panel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</si>
  <si>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</si>
  <si>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</si>
  <si>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</si>
  <si>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</si>
  <si>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</si>
  <si>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</si>
  <si>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</si>
  <si>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</si>
  <si>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</si>
  <si>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</si>
  <si>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</si>
  <si>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</si>
  <si>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</si>
  <si>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</si>
  <si>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</si>
  <si>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</si>
  <si>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</si>
  <si>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</si>
  <si>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</si>
  <si>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</si>
  <si>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</si>
  <si>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</si>
  <si>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</si>
  <si>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</si>
  <si>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</si>
  <si>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</si>
  <si>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</si>
  <si>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</si>
  <si>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</si>
  <si>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</si>
  <si>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</si>
  <si>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</si>
  <si>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</si>
  <si>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</si>
  <si>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</si>
  <si>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</si>
  <si>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</si>
  <si>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</si>
  <si>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</si>
  <si>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</si>
  <si>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</si>
  <si>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</si>
  <si>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</si>
  <si>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</si>
  <si>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</si>
  <si>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</si>
  <si>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Immunization_ID</t>
  </si>
  <si>
    <t>Vaccine</t>
  </si>
  <si>
    <t>CVX_Code</t>
  </si>
  <si>
    <t>Administration_Date</t>
  </si>
  <si>
    <t>Site</t>
  </si>
  <si>
    <t>Administered_By</t>
  </si>
  <si>
    <t>Lot_Number</t>
  </si>
  <si>
    <t>IMM0001</t>
  </si>
  <si>
    <t>Influenza vaccine, quadrivalent</t>
  </si>
  <si>
    <t>150</t>
  </si>
  <si>
    <t>0.5 mL</t>
  </si>
  <si>
    <t>IM</t>
  </si>
  <si>
    <t>Left deltoid</t>
  </si>
  <si>
    <t>FLU-DEMO-001</t>
  </si>
  <si>
    <t>IMM0002</t>
  </si>
  <si>
    <t>FLU-DEMO-002</t>
  </si>
  <si>
    <t>IMM0003</t>
  </si>
  <si>
    <t>FLU-DEMO-003</t>
  </si>
  <si>
    <t>IMM0004</t>
  </si>
  <si>
    <t>FLU-DEMO-004</t>
  </si>
  <si>
    <t>IMM0005</t>
  </si>
  <si>
    <t>FLU-DEMO-005</t>
  </si>
  <si>
    <t>IMM0006</t>
  </si>
  <si>
    <t>FLU-DEMO-006</t>
  </si>
  <si>
    <t>IMM0007</t>
  </si>
  <si>
    <t>FLU-DEMO-007</t>
  </si>
  <si>
    <t>IMM0008</t>
  </si>
  <si>
    <t>FLU-DEMO-008</t>
  </si>
  <si>
    <t>IMM0009</t>
  </si>
  <si>
    <t>FLU-DEMO-009</t>
  </si>
  <si>
    <t>IMM0010</t>
  </si>
  <si>
    <t>FLU-DEMO-010</t>
  </si>
  <si>
    <t>IMM0011</t>
  </si>
  <si>
    <t>FLU-DEMO-011</t>
  </si>
  <si>
    <t>IMM0012</t>
  </si>
  <si>
    <t>FLU-DEMO-012</t>
  </si>
  <si>
    <t>IMM0013</t>
  </si>
  <si>
    <t>FLU-DEMO-013</t>
  </si>
  <si>
    <t>IMM0014</t>
  </si>
  <si>
    <t>FLU-DEMO-014</t>
  </si>
  <si>
    <t>IMM0015</t>
  </si>
  <si>
    <t>FLU-DEMO-015</t>
  </si>
  <si>
    <t>IMM0016</t>
  </si>
  <si>
    <t>FLU-DEMO-016</t>
  </si>
  <si>
    <t>IMM0017</t>
  </si>
  <si>
    <t>FLU-DEMO-017</t>
  </si>
  <si>
    <t>IMM0018</t>
  </si>
  <si>
    <t>FLU-DEMO-018</t>
  </si>
  <si>
    <t>IMM0019</t>
  </si>
  <si>
    <t>FLU-DEMO-019</t>
  </si>
  <si>
    <t>IMM0020</t>
  </si>
  <si>
    <t>FLU-DEMO-020</t>
  </si>
  <si>
    <t>IMM0021</t>
  </si>
  <si>
    <t>FLU-DEMO-021</t>
  </si>
  <si>
    <t>IMM0022</t>
  </si>
  <si>
    <t>FLU-DEMO-022</t>
  </si>
  <si>
    <t>IMM0023</t>
  </si>
  <si>
    <t>FLU-DEMO-023</t>
  </si>
  <si>
    <t>IMM0024</t>
  </si>
  <si>
    <t>FLU-DEMO-024</t>
  </si>
  <si>
    <t>IMM0025</t>
  </si>
  <si>
    <t>FLU-DEMO-025</t>
  </si>
  <si>
    <t>IMM0026</t>
  </si>
  <si>
    <t>FLU-DEMO-026</t>
  </si>
  <si>
    <t>IMM0027</t>
  </si>
  <si>
    <t>FLU-DEMO-027</t>
  </si>
  <si>
    <t>IMM0028</t>
  </si>
  <si>
    <t>FLU-DEMO-028</t>
  </si>
  <si>
    <t>IMM0029</t>
  </si>
  <si>
    <t>FLU-DEMO-029</t>
  </si>
  <si>
    <t>IMM0030</t>
  </si>
  <si>
    <t>FLU-DEMO-030</t>
  </si>
  <si>
    <t>IMM0031</t>
  </si>
  <si>
    <t>FLU-DEMO-031</t>
  </si>
  <si>
    <t>IMM0032</t>
  </si>
  <si>
    <t>FLU-DEMO-032</t>
  </si>
  <si>
    <t>IMM0033</t>
  </si>
  <si>
    <t>FLU-DEMO-033</t>
  </si>
  <si>
    <t>IMM0034</t>
  </si>
  <si>
    <t>FLU-DEMO-034</t>
  </si>
  <si>
    <t>IMM0035</t>
  </si>
  <si>
    <t>FLU-DEMO-035</t>
  </si>
  <si>
    <t>IMM0036</t>
  </si>
  <si>
    <t>FLU-DEMO-036</t>
  </si>
  <si>
    <t>IMM0037</t>
  </si>
  <si>
    <t>FLU-DEMO-037</t>
  </si>
  <si>
    <t>IMM0038</t>
  </si>
  <si>
    <t>FLU-DEMO-038</t>
  </si>
  <si>
    <t>IMM0039</t>
  </si>
  <si>
    <t>FLU-DEMO-039</t>
  </si>
  <si>
    <t>IMM0040</t>
  </si>
  <si>
    <t>FLU-DEMO-040</t>
  </si>
  <si>
    <t>IMM0041</t>
  </si>
  <si>
    <t>FLU-DEMO-041</t>
  </si>
  <si>
    <t>IMM0042</t>
  </si>
  <si>
    <t>FLU-DEMO-042</t>
  </si>
  <si>
    <t>IMM0043</t>
  </si>
  <si>
    <t>FLU-DEMO-043</t>
  </si>
  <si>
    <t>IMM0044</t>
  </si>
  <si>
    <t>FLU-DEMO-044</t>
  </si>
  <si>
    <t>IMM0045</t>
  </si>
  <si>
    <t>FLU-DEMO-045</t>
  </si>
  <si>
    <t>IMM0046</t>
  </si>
  <si>
    <t>FLU-DEMO-046</t>
  </si>
  <si>
    <t>IMM0047</t>
  </si>
  <si>
    <t>FLU-DEMO-047</t>
  </si>
  <si>
    <t>IMM0048</t>
  </si>
  <si>
    <t>FLU-DEMO-048</t>
  </si>
  <si>
    <t>IMM0049</t>
  </si>
  <si>
    <t>FLU-DEMO-049</t>
  </si>
  <si>
    <t>IMM0050</t>
  </si>
  <si>
    <t>FLU-DEMO-050</t>
  </si>
  <si>
    <t>Appointment_ID</t>
  </si>
  <si>
    <t>Time</t>
  </si>
  <si>
    <t>Booked_Via</t>
  </si>
  <si>
    <t>APT0001</t>
  </si>
  <si>
    <t>08:30</t>
  </si>
  <si>
    <t>Scheduled</t>
  </si>
  <si>
    <t>Chronic care follow-up</t>
  </si>
  <si>
    <t>MyChart</t>
  </si>
  <si>
    <t>APT0002</t>
  </si>
  <si>
    <t>09:30</t>
  </si>
  <si>
    <t>APT0003</t>
  </si>
  <si>
    <t>10:30</t>
  </si>
  <si>
    <t>APT0004</t>
  </si>
  <si>
    <t>11:30</t>
  </si>
  <si>
    <t>APT0005</t>
  </si>
  <si>
    <t>12:30</t>
  </si>
  <si>
    <t>APT0006</t>
  </si>
  <si>
    <t>13:30</t>
  </si>
  <si>
    <t>APT0007</t>
  </si>
  <si>
    <t>14:30</t>
  </si>
  <si>
    <t>APT0008</t>
  </si>
  <si>
    <t>15:30</t>
  </si>
  <si>
    <t>APT0009</t>
  </si>
  <si>
    <t>16:30</t>
  </si>
  <si>
    <t>APT0010</t>
  </si>
  <si>
    <t>APT0011</t>
  </si>
  <si>
    <t>APT0012</t>
  </si>
  <si>
    <t>APT0013</t>
  </si>
  <si>
    <t>APT0014</t>
  </si>
  <si>
    <t>APT0015</t>
  </si>
  <si>
    <t>APT0016</t>
  </si>
  <si>
    <t>APT0017</t>
  </si>
  <si>
    <t>APT0018</t>
  </si>
  <si>
    <t>APT0019</t>
  </si>
  <si>
    <t>APT0020</t>
  </si>
  <si>
    <t>APT0021</t>
  </si>
  <si>
    <t>APT0022</t>
  </si>
  <si>
    <t>APT0023</t>
  </si>
  <si>
    <t>APT0024</t>
  </si>
  <si>
    <t>APT0025</t>
  </si>
  <si>
    <t>APT0026</t>
  </si>
  <si>
    <t>APT0027</t>
  </si>
  <si>
    <t>APT0028</t>
  </si>
  <si>
    <t>APT0029</t>
  </si>
  <si>
    <t>APT0030</t>
  </si>
  <si>
    <t>APT0031</t>
  </si>
  <si>
    <t>APT0032</t>
  </si>
  <si>
    <t>APT0033</t>
  </si>
  <si>
    <t>APT0034</t>
  </si>
  <si>
    <t>APT0035</t>
  </si>
  <si>
    <t>APT0036</t>
  </si>
  <si>
    <t>APT0037</t>
  </si>
  <si>
    <t>APT0038</t>
  </si>
  <si>
    <t>APT0039</t>
  </si>
  <si>
    <t>APT0040</t>
  </si>
  <si>
    <t>APT0041</t>
  </si>
  <si>
    <t>APT0042</t>
  </si>
  <si>
    <t>APT0043</t>
  </si>
  <si>
    <t>APT0044</t>
  </si>
  <si>
    <t>APT0045</t>
  </si>
  <si>
    <t>APT0046</t>
  </si>
  <si>
    <t>APT0047</t>
  </si>
  <si>
    <t>APT0048</t>
  </si>
  <si>
    <t>APT0049</t>
  </si>
  <si>
    <t>APT0050</t>
  </si>
  <si>
    <t>Note_ID</t>
  </si>
  <si>
    <t>Note_Type</t>
  </si>
  <si>
    <t>Service_Date</t>
  </si>
  <si>
    <t>Author</t>
  </si>
  <si>
    <t>Note_Summary</t>
  </si>
  <si>
    <t>Data_Tag</t>
  </si>
  <si>
    <t>NOTE0001</t>
  </si>
  <si>
    <t>Progress Note</t>
  </si>
  <si>
    <t>Follow-up for essential hypertension. Medication reconciliation completed. Results, risks, and return precautions reviewed.</t>
  </si>
  <si>
    <t>Signed</t>
  </si>
  <si>
    <t>Synthetic summary</t>
  </si>
  <si>
    <t>NOTE0002</t>
  </si>
  <si>
    <t>Follow-up for type 2 diabetes mellitus without complications. Medication reconciliation completed. Results, risks, and return precautions reviewed.</t>
  </si>
  <si>
    <t>NOTE0003</t>
  </si>
  <si>
    <t>Follow-up for hyperlipidemia, unspecified. Medication reconciliation completed. Results, risks, and return precautions reviewed.</t>
  </si>
  <si>
    <t>NOTE0004</t>
  </si>
  <si>
    <t>Follow-up for unspecified asthma, uncomplicated. Medication reconciliation completed. Results, risks, and return precautions reviewed.</t>
  </si>
  <si>
    <t>NOTE0005</t>
  </si>
  <si>
    <t>Follow-up for migraine, unspecified, not intractable. Medication reconciliation completed. Results, risks, and return precautions reviewed.</t>
  </si>
  <si>
    <t>NOTE0006</t>
  </si>
  <si>
    <t>Follow-up for osteoarthritis, right knee. Medication reconciliation completed. Results, risks, and return precautions reviewed.</t>
  </si>
  <si>
    <t>NOTE0007</t>
  </si>
  <si>
    <t>Follow-up for anxiety disorder, unspecified. Medication reconciliation completed. Results, risks, and return precautions reviewed.</t>
  </si>
  <si>
    <t>NOTE0008</t>
  </si>
  <si>
    <t>Follow-up for gastro-esophageal reflux disease without esophagitis. Medication reconciliation completed. Results, risks, and return precautions reviewed.</t>
  </si>
  <si>
    <t>NOTE0009</t>
  </si>
  <si>
    <t>Follow-up for hypothyroidism, unspecified. Medication reconciliation completed. Results, risks, and return precautions reviewed.</t>
  </si>
  <si>
    <t>NOTE0010</t>
  </si>
  <si>
    <t>Follow-up for atherosclerotic heart disease. Medication reconciliation completed. Results, risks, and return precautions reviewed.</t>
  </si>
  <si>
    <t>NOTE0011</t>
  </si>
  <si>
    <t>NOTE0012</t>
  </si>
  <si>
    <t>NOTE0013</t>
  </si>
  <si>
    <t>NOTE0014</t>
  </si>
  <si>
    <t>NOTE0015</t>
  </si>
  <si>
    <t>NOTE0016</t>
  </si>
  <si>
    <t>NOTE0017</t>
  </si>
  <si>
    <t>NOTE0018</t>
  </si>
  <si>
    <t>NOTE0019</t>
  </si>
  <si>
    <t>NOTE0020</t>
  </si>
  <si>
    <t>NOTE0021</t>
  </si>
  <si>
    <t>NOTE0022</t>
  </si>
  <si>
    <t>NOTE0023</t>
  </si>
  <si>
    <t>NOTE0024</t>
  </si>
  <si>
    <t>NOTE0025</t>
  </si>
  <si>
    <t>NOTE0026</t>
  </si>
  <si>
    <t>NOTE0027</t>
  </si>
  <si>
    <t>NOTE0028</t>
  </si>
  <si>
    <t>NOTE0029</t>
  </si>
  <si>
    <t>NOTE0030</t>
  </si>
  <si>
    <t>NOTE0031</t>
  </si>
  <si>
    <t>NOTE0032</t>
  </si>
  <si>
    <t>NOTE0033</t>
  </si>
  <si>
    <t>NOTE0034</t>
  </si>
  <si>
    <t>NOTE0035</t>
  </si>
  <si>
    <t>NOTE0036</t>
  </si>
  <si>
    <t>NOTE0037</t>
  </si>
  <si>
    <t>NOTE0038</t>
  </si>
  <si>
    <t>NOTE0039</t>
  </si>
  <si>
    <t>NOTE0040</t>
  </si>
  <si>
    <t>NOTE0041</t>
  </si>
  <si>
    <t>NOTE0042</t>
  </si>
  <si>
    <t>NOTE0043</t>
  </si>
  <si>
    <t>NOTE0044</t>
  </si>
  <si>
    <t>NOTE0045</t>
  </si>
  <si>
    <t>NOTE0046</t>
  </si>
  <si>
    <t>NOTE0047</t>
  </si>
  <si>
    <t>NOTE0048</t>
  </si>
  <si>
    <t>NOTE0049</t>
  </si>
  <si>
    <t>NOTE0050</t>
  </si>
  <si>
    <t>Coverage_ID</t>
  </si>
  <si>
    <t>Payer_Name</t>
  </si>
  <si>
    <t>Member_ID</t>
  </si>
  <si>
    <t>Group_Number</t>
  </si>
  <si>
    <t>Relationship_to_Subscriber</t>
  </si>
  <si>
    <t>Effective_Date</t>
  </si>
  <si>
    <t>Termination_Date</t>
  </si>
  <si>
    <t>Plan_Type</t>
  </si>
  <si>
    <t>Assigned_PCP</t>
  </si>
  <si>
    <t>Annual_Deductible_USD</t>
  </si>
  <si>
    <t>Copay_USD</t>
  </si>
  <si>
    <t>COV700001</t>
  </si>
  <si>
    <t>Primary</t>
  </si>
  <si>
    <t>UnitedHealthcare Demo PPO</t>
  </si>
  <si>
    <t>MBR800001</t>
  </si>
  <si>
    <t>GRP3000</t>
  </si>
  <si>
    <t>Self</t>
  </si>
  <si>
    <t>PPO</t>
  </si>
  <si>
    <t>COV700002</t>
  </si>
  <si>
    <t>Blue Cross Demo HMO</t>
  </si>
  <si>
    <t>MBR800002</t>
  </si>
  <si>
    <t>GRP3001</t>
  </si>
  <si>
    <t>HMO</t>
  </si>
  <si>
    <t>COV700003</t>
  </si>
  <si>
    <t>Aetna Demo Choice POS</t>
  </si>
  <si>
    <t>MBR800003</t>
  </si>
  <si>
    <t>GRP3002</t>
  </si>
  <si>
    <t>POS</t>
  </si>
  <si>
    <t>COV700004</t>
  </si>
  <si>
    <t>Cigna Demo Open Access</t>
  </si>
  <si>
    <t>MBR800004</t>
  </si>
  <si>
    <t>GRP3003</t>
  </si>
  <si>
    <t>Medicare</t>
  </si>
  <si>
    <t>COV700005</t>
  </si>
  <si>
    <t>Medicare Demo</t>
  </si>
  <si>
    <t>MBR800005</t>
  </si>
  <si>
    <t>GRP3004</t>
  </si>
  <si>
    <t>Medicaid</t>
  </si>
  <si>
    <t>COV700006</t>
  </si>
  <si>
    <t>Medicaid Demo</t>
  </si>
  <si>
    <t>MBR800006</t>
  </si>
  <si>
    <t>GRP3005</t>
  </si>
  <si>
    <t>COV700007</t>
  </si>
  <si>
    <t>MBR800007</t>
  </si>
  <si>
    <t>GRP3006</t>
  </si>
  <si>
    <t>COV700008</t>
  </si>
  <si>
    <t>MBR800008</t>
  </si>
  <si>
    <t>GRP3007</t>
  </si>
  <si>
    <t>COV700009</t>
  </si>
  <si>
    <t>MBR800009</t>
  </si>
  <si>
    <t>GRP3008</t>
  </si>
  <si>
    <t>COV700010</t>
  </si>
  <si>
    <t>MBR800010</t>
  </si>
  <si>
    <t>GRP3009</t>
  </si>
  <si>
    <t>COV700011</t>
  </si>
  <si>
    <t>MBR800011</t>
  </si>
  <si>
    <t>GRP3010</t>
  </si>
  <si>
    <t>COV700012</t>
  </si>
  <si>
    <t>MBR800012</t>
  </si>
  <si>
    <t>GRP3011</t>
  </si>
  <si>
    <t>COV700013</t>
  </si>
  <si>
    <t>MBR800013</t>
  </si>
  <si>
    <t>COV700014</t>
  </si>
  <si>
    <t>MBR800014</t>
  </si>
  <si>
    <t>COV700015</t>
  </si>
  <si>
    <t>MBR800015</t>
  </si>
  <si>
    <t>COV700016</t>
  </si>
  <si>
    <t>MBR800016</t>
  </si>
  <si>
    <t>COV700017</t>
  </si>
  <si>
    <t>MBR800017</t>
  </si>
  <si>
    <t>COV700018</t>
  </si>
  <si>
    <t>MBR800018</t>
  </si>
  <si>
    <t>COV700019</t>
  </si>
  <si>
    <t>MBR800019</t>
  </si>
  <si>
    <t>COV700020</t>
  </si>
  <si>
    <t>MBR800020</t>
  </si>
  <si>
    <t>COV700021</t>
  </si>
  <si>
    <t>MBR800021</t>
  </si>
  <si>
    <t>COV700022</t>
  </si>
  <si>
    <t>MBR800022</t>
  </si>
  <si>
    <t>COV700023</t>
  </si>
  <si>
    <t>MBR800023</t>
  </si>
  <si>
    <t>COV700024</t>
  </si>
  <si>
    <t>MBR800024</t>
  </si>
  <si>
    <t>COV700025</t>
  </si>
  <si>
    <t>MBR800025</t>
  </si>
  <si>
    <t>COV700026</t>
  </si>
  <si>
    <t>MBR800026</t>
  </si>
  <si>
    <t>COV700027</t>
  </si>
  <si>
    <t>MBR800027</t>
  </si>
  <si>
    <t>COV700028</t>
  </si>
  <si>
    <t>MBR800028</t>
  </si>
  <si>
    <t>COV700029</t>
  </si>
  <si>
    <t>MBR800029</t>
  </si>
  <si>
    <t>COV700030</t>
  </si>
  <si>
    <t>MBR800030</t>
  </si>
  <si>
    <t>COV700031</t>
  </si>
  <si>
    <t>MBR800031</t>
  </si>
  <si>
    <t>COV700032</t>
  </si>
  <si>
    <t>MBR800032</t>
  </si>
  <si>
    <t>COV700033</t>
  </si>
  <si>
    <t>MBR800033</t>
  </si>
  <si>
    <t>COV700034</t>
  </si>
  <si>
    <t>MBR800034</t>
  </si>
  <si>
    <t>COV700035</t>
  </si>
  <si>
    <t>MBR800035</t>
  </si>
  <si>
    <t>COV700036</t>
  </si>
  <si>
    <t>MBR800036</t>
  </si>
  <si>
    <t>COV700037</t>
  </si>
  <si>
    <t>MBR800037</t>
  </si>
  <si>
    <t>COV700038</t>
  </si>
  <si>
    <t>MBR800038</t>
  </si>
  <si>
    <t>COV700039</t>
  </si>
  <si>
    <t>MBR800039</t>
  </si>
  <si>
    <t>COV700040</t>
  </si>
  <si>
    <t>MBR800040</t>
  </si>
  <si>
    <t>COV700041</t>
  </si>
  <si>
    <t>MBR800041</t>
  </si>
  <si>
    <t>COV700042</t>
  </si>
  <si>
    <t>MBR800042</t>
  </si>
  <si>
    <t>COV700043</t>
  </si>
  <si>
    <t>MBR800043</t>
  </si>
  <si>
    <t>COV700044</t>
  </si>
  <si>
    <t>MBR800044</t>
  </si>
  <si>
    <t>COV700045</t>
  </si>
  <si>
    <t>MBR800045</t>
  </si>
  <si>
    <t>COV700046</t>
  </si>
  <si>
    <t>MBR800046</t>
  </si>
  <si>
    <t>COV700047</t>
  </si>
  <si>
    <t>MBR800047</t>
  </si>
  <si>
    <t>COV700048</t>
  </si>
  <si>
    <t>MBR800048</t>
  </si>
  <si>
    <t>COV700049</t>
  </si>
  <si>
    <t>MBR800049</t>
  </si>
  <si>
    <t>COV700050</t>
  </si>
  <si>
    <t>MBR800050</t>
  </si>
  <si>
    <t>Claim_ID</t>
  </si>
  <si>
    <t>Description</t>
  </si>
  <si>
    <t>Units</t>
  </si>
  <si>
    <t>Charge_USD</t>
  </si>
  <si>
    <t>Contractual_Adjustment_USD</t>
  </si>
  <si>
    <t>Payment_USD</t>
  </si>
  <si>
    <t>Patient_Balance_USD</t>
  </si>
  <si>
    <t>Payer</t>
  </si>
  <si>
    <t>Claim_Status</t>
  </si>
  <si>
    <t>Currency</t>
  </si>
  <si>
    <t>CLM00001</t>
  </si>
  <si>
    <t>1</t>
  </si>
  <si>
    <t>Paid</t>
  </si>
  <si>
    <t>USD</t>
  </si>
  <si>
    <t>CLM00002</t>
  </si>
  <si>
    <t>Submitted</t>
  </si>
  <si>
    <t>CLM00003</t>
  </si>
  <si>
    <t>Pending</t>
  </si>
  <si>
    <t>CLM00004</t>
  </si>
  <si>
    <t>CLM00005</t>
  </si>
  <si>
    <t>CLM00006</t>
  </si>
  <si>
    <t>CLM00007</t>
  </si>
  <si>
    <t>CLM00008</t>
  </si>
  <si>
    <t>CLM00009</t>
  </si>
  <si>
    <t>CLM00010</t>
  </si>
  <si>
    <t>CLM00011</t>
  </si>
  <si>
    <t>CLM00012</t>
  </si>
  <si>
    <t>CLM00013</t>
  </si>
  <si>
    <t>CLM00014</t>
  </si>
  <si>
    <t>CLM00015</t>
  </si>
  <si>
    <t>CLM00016</t>
  </si>
  <si>
    <t>CLM00017</t>
  </si>
  <si>
    <t>CLM00018</t>
  </si>
  <si>
    <t>CLM00019</t>
  </si>
  <si>
    <t>CLM00020</t>
  </si>
  <si>
    <t>CLM00021</t>
  </si>
  <si>
    <t>CLM00022</t>
  </si>
  <si>
    <t>CLM00023</t>
  </si>
  <si>
    <t>CLM00024</t>
  </si>
  <si>
    <t>CLM00025</t>
  </si>
  <si>
    <t>CLM00026</t>
  </si>
  <si>
    <t>CLM00027</t>
  </si>
  <si>
    <t>CLM00028</t>
  </si>
  <si>
    <t>CLM00029</t>
  </si>
  <si>
    <t>CLM00030</t>
  </si>
  <si>
    <t>CLM00031</t>
  </si>
  <si>
    <t>CLM00032</t>
  </si>
  <si>
    <t>CLM00033</t>
  </si>
  <si>
    <t>CLM00034</t>
  </si>
  <si>
    <t>CLM00035</t>
  </si>
  <si>
    <t>CLM00036</t>
  </si>
  <si>
    <t>CLM00037</t>
  </si>
  <si>
    <t>CLM00038</t>
  </si>
  <si>
    <t>CLM00039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</si>
  <si>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</si>
  <si>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</si>
  <si>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</si>
  <si>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</si>
  <si>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</si>
  <si>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</si>
  <si>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</si>
  <si>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</si>
  <si>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</si>
  <si>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</si>
  <si>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</si>
  <si>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Consent_Type</t>
  </si>
  <si>
    <t>Expiration_Date</t>
  </si>
  <si>
    <t>Capture_Method</t>
  </si>
  <si>
    <t>Privacy_Notice</t>
  </si>
  <si>
    <t>Portal_Consent</t>
  </si>
  <si>
    <t>Advance_Directive_On_File</t>
  </si>
  <si>
    <t>Code_Status</t>
  </si>
  <si>
    <t>General Treatment Consent</t>
  </si>
  <si>
    <t>Electronic signature</t>
  </si>
  <si>
    <t>Acknowledged</t>
  </si>
  <si>
    <t>Yes</t>
  </si>
  <si>
    <t>Advance directive on file</t>
  </si>
  <si>
    <t>No</t>
  </si>
  <si>
    <t>Full Code</t>
  </si>
  <si>
    <t>Care_Team_ID</t>
  </si>
  <si>
    <t>Specialty</t>
  </si>
  <si>
    <t>Role</t>
  </si>
  <si>
    <t>Organization</t>
  </si>
  <si>
    <t>CT0001A</t>
  </si>
  <si>
    <t>Primary Care</t>
  </si>
  <si>
    <t>Northstar Health</t>
  </si>
  <si>
    <t>CT0001B</t>
  </si>
  <si>
    <t>Consulting</t>
  </si>
  <si>
    <t>CT0002A</t>
  </si>
  <si>
    <t>CT0002B</t>
  </si>
  <si>
    <t>CT0003A</t>
  </si>
  <si>
    <t>CT0003B</t>
  </si>
  <si>
    <t>Endocrinology</t>
  </si>
  <si>
    <t>CT0004A</t>
  </si>
  <si>
    <t>CT0004B</t>
  </si>
  <si>
    <t>CT0005A</t>
  </si>
  <si>
    <t>CT0005B</t>
  </si>
  <si>
    <t>CT0006A</t>
  </si>
  <si>
    <t>CT0006B</t>
  </si>
  <si>
    <t>CT0007A</t>
  </si>
  <si>
    <t>CT0007B</t>
  </si>
  <si>
    <t>CT0008A</t>
  </si>
  <si>
    <t>CT0008B</t>
  </si>
  <si>
    <t>CT0009A</t>
  </si>
  <si>
    <t>CT0009B</t>
  </si>
  <si>
    <t>CT0010A</t>
  </si>
  <si>
    <t>CT0010B</t>
  </si>
  <si>
    <t>CT0011A</t>
  </si>
  <si>
    <t>CT0011B</t>
  </si>
  <si>
    <t>CT0012A</t>
  </si>
  <si>
    <t>CT0012B</t>
  </si>
  <si>
    <t>CT0013A</t>
  </si>
  <si>
    <t>CT0013B</t>
  </si>
  <si>
    <t>CT0014A</t>
  </si>
  <si>
    <t>CT0014B</t>
  </si>
  <si>
    <t>CT0015A</t>
  </si>
  <si>
    <t>CT0015B</t>
  </si>
  <si>
    <t>CT0016A</t>
  </si>
  <si>
    <t>CT0016B</t>
  </si>
  <si>
    <t>CT0017A</t>
  </si>
  <si>
    <t>CT0017B</t>
  </si>
  <si>
    <t>CT0018A</t>
  </si>
  <si>
    <t>CT0018B</t>
  </si>
  <si>
    <t>CT0019A</t>
  </si>
  <si>
    <t>CT0019B</t>
  </si>
  <si>
    <t>CT0020A</t>
  </si>
  <si>
    <t>CT0020B</t>
  </si>
  <si>
    <t>CT0021A</t>
  </si>
  <si>
    <t>CT0021B</t>
  </si>
  <si>
    <t>CT0022A</t>
  </si>
  <si>
    <t>CT0022B</t>
  </si>
  <si>
    <t>CT0023A</t>
  </si>
  <si>
    <t>CT0023B</t>
  </si>
  <si>
    <t>CT0024A</t>
  </si>
  <si>
    <t>CT0024B</t>
  </si>
  <si>
    <t>CT0025A</t>
  </si>
  <si>
    <t>CT0025B</t>
  </si>
  <si>
    <t>CT0026A</t>
  </si>
  <si>
    <t>CT0026B</t>
  </si>
  <si>
    <t>CT0027A</t>
  </si>
  <si>
    <t>CT0027B</t>
  </si>
  <si>
    <t>CT0028A</t>
  </si>
  <si>
    <t>CT0028B</t>
  </si>
  <si>
    <t>CT0029A</t>
  </si>
  <si>
    <t>CT0029B</t>
  </si>
  <si>
    <t>CT0030A</t>
  </si>
  <si>
    <t>CT0030B</t>
  </si>
  <si>
    <t>CT0031A</t>
  </si>
  <si>
    <t>CT0031B</t>
  </si>
  <si>
    <t>CT0032A</t>
  </si>
  <si>
    <t>CT0032B</t>
  </si>
  <si>
    <t>CT0033A</t>
  </si>
  <si>
    <t>CT0033B</t>
  </si>
  <si>
    <t>CT0034A</t>
  </si>
  <si>
    <t>CT0034B</t>
  </si>
  <si>
    <t>CT0035A</t>
  </si>
  <si>
    <t>CT0035B</t>
  </si>
  <si>
    <t>CT0036A</t>
  </si>
  <si>
    <t>CT0036B</t>
  </si>
  <si>
    <t>CT0037A</t>
  </si>
  <si>
    <t>CT0037B</t>
  </si>
  <si>
    <t>CT0038A</t>
  </si>
  <si>
    <t>CT0038B</t>
  </si>
  <si>
    <t>CT0039A</t>
  </si>
  <si>
    <t>CT0039B</t>
  </si>
  <si>
    <t>CT0040A</t>
  </si>
  <si>
    <t>CT0040B</t>
  </si>
  <si>
    <t>CT0041A</t>
  </si>
  <si>
    <t>CT0041B</t>
  </si>
  <si>
    <t>CT0042A</t>
  </si>
  <si>
    <t>CT0042B</t>
  </si>
  <si>
    <t>CT0043A</t>
  </si>
  <si>
    <t>CT0043B</t>
  </si>
  <si>
    <t>CT0044A</t>
  </si>
  <si>
    <t>CT0044B</t>
  </si>
  <si>
    <t>CT0045A</t>
  </si>
  <si>
    <t>CT0045B</t>
  </si>
  <si>
    <t>CT0046A</t>
  </si>
  <si>
    <t>CT0046B</t>
  </si>
  <si>
    <t>CT0047A</t>
  </si>
  <si>
    <t>CT0047B</t>
  </si>
  <si>
    <t>CT0048A</t>
  </si>
  <si>
    <t>CT0048B</t>
  </si>
  <si>
    <t>CT0049A</t>
  </si>
  <si>
    <t>CT0049B</t>
  </si>
  <si>
    <t>CT0050A</t>
  </si>
  <si>
    <t>CT0050B</t>
  </si>
  <si>
    <t>Family_Member</t>
  </si>
  <si>
    <t>Family_Condition</t>
  </si>
  <si>
    <t>Family_Status</t>
  </si>
  <si>
    <t>Tobacco_Use</t>
  </si>
  <si>
    <t>Alcohol_Use</t>
  </si>
  <si>
    <t>Recreational_Drug_Use</t>
  </si>
  <si>
    <t>Physical_Activity</t>
  </si>
  <si>
    <t>Occupation</t>
  </si>
  <si>
    <t>Housing_Status</t>
  </si>
  <si>
    <t>Social_Risk</t>
  </si>
  <si>
    <t>Mother</t>
  </si>
  <si>
    <t>Type 2 diabetes</t>
  </si>
  <si>
    <t>Deceased</t>
  </si>
  <si>
    <t>Former</t>
  </si>
  <si>
    <t>Social</t>
  </si>
  <si>
    <t>60 min/week</t>
  </si>
  <si>
    <t>Engineer</t>
  </si>
  <si>
    <t>Stable housing</t>
  </si>
  <si>
    <t>Father</t>
  </si>
  <si>
    <t>Hypertension</t>
  </si>
  <si>
    <t>Living</t>
  </si>
  <si>
    <t>Never</t>
  </si>
  <si>
    <t>150 min/week</t>
  </si>
  <si>
    <t>Teacher</t>
  </si>
  <si>
    <t>Low</t>
  </si>
  <si>
    <t>Student</t>
  </si>
  <si>
    <t>Retired</t>
  </si>
  <si>
    <t>Healthcare worker</t>
  </si>
  <si>
    <t>Northstar Health | Synthetic Population Dashboard</t>
  </si>
  <si>
    <t>Patients</t>
  </si>
  <si>
    <t>Encounter Type</t>
  </si>
  <si>
    <t>Count</t>
  </si>
  <si>
    <t>Open Patient Balance</t>
  </si>
  <si>
    <t>Sheet</t>
  </si>
  <si>
    <t>Field</t>
  </si>
  <si>
    <t>Business_Description</t>
  </si>
  <si>
    <t>Conceptual_FHIR_Mapping</t>
  </si>
  <si>
    <t>Note</t>
  </si>
  <si>
    <t>FHIR Patient</t>
  </si>
  <si>
    <t>Synthetic demo field</t>
  </si>
  <si>
    <t>First Name</t>
  </si>
  <si>
    <t>Last Name</t>
  </si>
  <si>
    <t>Legal Name</t>
  </si>
  <si>
    <t>Sex at Birth</t>
  </si>
  <si>
    <t>Marital Status</t>
  </si>
  <si>
    <t>Preferred Language</t>
  </si>
  <si>
    <t>Secondary Language</t>
  </si>
  <si>
    <t>Record Status</t>
  </si>
  <si>
    <t>Height cm</t>
  </si>
  <si>
    <t>Weight kg</t>
  </si>
  <si>
    <t>Street Address</t>
  </si>
  <si>
    <t>Encounter ID</t>
  </si>
  <si>
    <t>FHIR Encounter</t>
  </si>
  <si>
    <t>Primary Diagnosis Code</t>
  </si>
  <si>
    <t>Primary Diagnosis</t>
  </si>
  <si>
    <t>Disposition or Follow Up</t>
  </si>
  <si>
    <t>Problem ID</t>
  </si>
  <si>
    <t>FHIR Condition</t>
  </si>
  <si>
    <t>ICD 10 CM</t>
  </si>
  <si>
    <t>Problem Name</t>
  </si>
  <si>
    <t>Clinical Status</t>
  </si>
  <si>
    <t>Verification Status</t>
  </si>
  <si>
    <t>Onset Date</t>
  </si>
  <si>
    <t>Resolved Date</t>
  </si>
  <si>
    <t>Allergy ID</t>
  </si>
  <si>
    <t>FHIR AllergyIntolerance</t>
  </si>
  <si>
    <t>Recorded Date</t>
  </si>
  <si>
    <t>Medication ID</t>
  </si>
  <si>
    <t>FHIR MedicationRequest/MedicationStatement</t>
  </si>
  <si>
    <t>Start Date</t>
  </si>
  <si>
    <t>Indication ICD 10</t>
  </si>
  <si>
    <t>Vital ID</t>
  </si>
  <si>
    <t>FHIR Observation</t>
  </si>
  <si>
    <t>Observed Date</t>
  </si>
  <si>
    <t>Systolic mmHg</t>
  </si>
  <si>
    <t>Diastolic mmHg</t>
  </si>
  <si>
    <t>Heart Rate bpm</t>
  </si>
  <si>
    <t>Respiratory Rate</t>
  </si>
  <si>
    <t>SpO2 Percent</t>
  </si>
  <si>
    <t>Temperature F</t>
  </si>
  <si>
    <t>Recorded By</t>
  </si>
  <si>
    <t>Lab ID</t>
  </si>
  <si>
    <t>FHIR Observation / DiagnosticReport</t>
  </si>
  <si>
    <t>Result Date</t>
  </si>
  <si>
    <t>LOINC Code</t>
  </si>
  <si>
    <t>Test Name</t>
  </si>
  <si>
    <t>Reference Range</t>
  </si>
  <si>
    <t>Performing Lab</t>
  </si>
  <si>
    <t>Ordering Provider</t>
  </si>
  <si>
    <t>Order ID</t>
  </si>
  <si>
    <t>FHIR ServiceRequest / Procedure</t>
  </si>
  <si>
    <t>Order Date</t>
  </si>
  <si>
    <t>Order Type</t>
  </si>
  <si>
    <t>CPT HCPCS</t>
  </si>
  <si>
    <t>Order Description</t>
  </si>
  <si>
    <t>Immunization ID</t>
  </si>
  <si>
    <t>FHIR Immunization</t>
  </si>
  <si>
    <t>CVX Code</t>
  </si>
  <si>
    <t>Administration Date</t>
  </si>
  <si>
    <t>Administered By</t>
  </si>
  <si>
    <t>Lot Number</t>
  </si>
  <si>
    <t>Appointment ID</t>
  </si>
  <si>
    <t>FHIR Appointment</t>
  </si>
  <si>
    <t>Booked Via</t>
  </si>
  <si>
    <t>Note ID</t>
  </si>
  <si>
    <t>FHIR DocumentReference</t>
  </si>
  <si>
    <t>Note Type</t>
  </si>
  <si>
    <t>Service Date</t>
  </si>
  <si>
    <t>Note Summary</t>
  </si>
  <si>
    <t>Data Tag</t>
  </si>
  <si>
    <t>Coverage ID</t>
  </si>
  <si>
    <t>FHIR Coverage</t>
  </si>
  <si>
    <t>Payer Name</t>
  </si>
  <si>
    <t>Member ID</t>
  </si>
  <si>
    <t>Group Number</t>
  </si>
  <si>
    <t>Relationship to Subscriber</t>
  </si>
  <si>
    <t>Effective Date</t>
  </si>
  <si>
    <t>Termination Date</t>
  </si>
  <si>
    <t>Plan Type</t>
  </si>
  <si>
    <t>Assigned PCP</t>
  </si>
  <si>
    <t>Annual Deductible USD</t>
  </si>
  <si>
    <t>Copay USD</t>
  </si>
  <si>
    <t>Claim ID</t>
  </si>
  <si>
    <t>FHIR Claim / ExplanationOfBenefit</t>
  </si>
  <si>
    <t>Charge USD</t>
  </si>
  <si>
    <t>Contractual Adjustment USD</t>
  </si>
  <si>
    <t>Payment USD</t>
  </si>
  <si>
    <t>Patient Balance USD</t>
  </si>
  <si>
    <t>Claim Status</t>
  </si>
  <si>
    <t>FHIR Consent / DocumentReference</t>
  </si>
  <si>
    <t>Consent Type</t>
  </si>
  <si>
    <t>Expiration Date</t>
  </si>
  <si>
    <t>Capture Method</t>
  </si>
  <si>
    <t>Privacy Notice</t>
  </si>
  <si>
    <t>Portal Consent</t>
  </si>
  <si>
    <t>Advance Directive On File</t>
  </si>
  <si>
    <t>Code Status</t>
  </si>
  <si>
    <t>Care Team ID</t>
  </si>
  <si>
    <t>FHIR CareTeam</t>
  </si>
  <si>
    <t>FHIR FamilyMemberHistory / Observation</t>
  </si>
  <si>
    <t>Family Member</t>
  </si>
  <si>
    <t>Family Condition</t>
  </si>
  <si>
    <t>Family Status</t>
  </si>
  <si>
    <t>Tobacco Use</t>
  </si>
  <si>
    <t>Alcohol Use</t>
  </si>
  <si>
    <t>Recreational Drug Use</t>
  </si>
  <si>
    <t>Physical Activity</t>
  </si>
  <si>
    <t>Housing Status</t>
  </si>
  <si>
    <t>Social Risk</t>
  </si>
  <si>
    <t>Source</t>
  </si>
  <si>
    <t>URL</t>
  </si>
  <si>
    <t>Purpose</t>
  </si>
  <si>
    <t>Epic on FHIR</t>
  </si>
  <si>
    <t>https://fhir.epic.com/</t>
  </si>
  <si>
    <t>Public documentation for Epic-supported FHIR resources and interoperability context</t>
  </si>
  <si>
    <t>Epic on FHIR FAQ</t>
  </si>
  <si>
    <t>https://fhir.epic.com/FAQ</t>
  </si>
  <si>
    <t>Public overview of Epic FHIR and USCDI support</t>
  </si>
  <si>
    <t>HL7 FHIR R4</t>
  </si>
  <si>
    <t>https://hl7.org/fhir/R4/</t>
  </si>
  <si>
    <t>Common healthcare resource structures</t>
  </si>
  <si>
    <t>US Core</t>
  </si>
  <si>
    <t>https://hl7.org/fhir/us/core/</t>
  </si>
  <si>
    <t>U.S. patient and clinical interoperability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</si>
</sst>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;[Red]\(\$#,##0.00\);\-"/>
    <numFmt numFmtId="166" formatCode="\$#,##0.00"/>
  </numFmts>
  <fonts count="14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0"/>
      <color rgb="FF0000FF"/>
      <name val="Aptos"/>
    </font>
    <font>
      <sz val="10"/>
      <color rgb="FF000000"/>
      <name val="Aptos"/>
    </font>
    <font>
      <b/>
      <sz val="22"/>
      <color rgb="FFFFFFFF"/>
      <name val="Aptos"/>
    </font>
    <font>
      <b/>
      <sz val="10"/>
      <color rgb="FF23395B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b/>
      <sz val="10"/>
      <color rgb="FF0000FF"/>
      <name val="Aptos"/>
    </font>
    <font>
      <b/>
      <sz val="9"/>
      <color rgb="FF666666"/>
      <name val="Aptos"/>
    </font>
    <font>
      <b/>
      <sz val="11"/>
      <color rgb="FF263238"/>
      <name val="Aptos"/>
    </font>
    <font>
      <b/>
      <sz val="16"/>
      <color rgb="FF2A9D8F"/>
      <name val="Aptos"/>
    </font>
    <font>
      <b/>
      <sz val="20"/>
      <color rgb="FFFFFFFF"/>
      <name val="Aptos"/>
    </font>
    <font>
      <b/>
      <sz val="15"/>
      <color rgb="FF2A9D8F"/>
      <name val="Aptos"/>
    </font>
  </fonts>
  <fills count="7">
    <fill>
      <patternFill patternType="none"/>
    </fill>
    <fill>
      <patternFill patternType="gray125"/>
    </fill>
    <fill>
      <patternFill patternType="solid">
        <fgColor rgb="FF23395B"/>
      </patternFill>
    </fill>
    <fill>
      <patternFill patternType="solid">
        <fgColor rgb="FF2F6F9F"/>
      </patternFill>
    </fill>
    <fill>
      <patternFill patternType="solid">
        <fgColor rgb="FFFFF2CC"/>
      </patternFill>
    </fill>
    <fill>
      <patternFill patternType="solid">
        <fgColor rgb="FFF4F8FB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5" fillId="0" borderId="0" xfId="0" applyFont="1"/>
    <xf numFmtId="0" fontId="0" fillId="0" borderId="0" xfId="0" applyAlignment="1">
      <alignment vertical="top" wrapText="1"/>
    </xf>
    <xf numFmtId="0" fontId="6" fillId="3" borderId="0" xfId="0" applyFont="1" applyFill="1"/>
    <xf numFmtId="0" fontId="1" fillId="0" borderId="0" xfId="1"/>
    <xf numFmtId="0" fontId="8" fillId="4" borderId="0" xfId="0" applyFont="1" applyFill="1"/>
    <xf numFmtId="0" fontId="9" fillId="5" borderId="0" xfId="0" applyFont="1" applyFill="1"/>
    <xf numFmtId="0" fontId="0" fillId="5" borderId="0" xfId="0" applyFill="1"/>
    <xf numFmtId="0" fontId="10" fillId="5" borderId="0" xfId="0" applyFont="1" applyFill="1"/>
    <xf numFmtId="164" fontId="10" fillId="5" borderId="0" xfId="0" applyNumberFormat="1" applyFont="1" applyFill="1"/>
    <xf numFmtId="0" fontId="6" fillId="3" borderId="0" xfId="0" applyFont="1" applyFill="1" applyAlignment="1">
      <alignment horizontal="center"/>
    </xf>
    <xf numFmtId="0" fontId="5" fillId="6" borderId="0" xfId="0" applyFont="1" applyFill="1"/>
    <xf numFmtId="0" fontId="11" fillId="5" borderId="0" xfId="0" applyFont="1" applyFill="1"/>
    <xf numFmtId="166" fontId="11" fillId="5" borderId="0" xfId="0" applyNumberFormat="1" applyFont="1" applyFill="1"/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0" fontId="13" fillId="0" borderId="0" xfId="0" applyFont="1"/>
    <xf numFmtId="166" fontId="13" fillId="0" borderId="0" xfId="0" applyNumberFormat="1" applyFont="1"/>
    <xf numFmtId="0" fontId="4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7" fillId="2" borderId="0" xfId="0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Encounters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Population_Dashboard!E4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Population_Dashboard!$D$5:$D$7</c:f>
              <c:strCache>
                <c:ptCount val="3"/>
                <c:pt idx="0">
                  <c:v>Office Visit</c:v>
                </c:pt>
                <c:pt idx="1">
                  <c:v>Annual Wellness</c:v>
                </c:pt>
                <c:pt idx="2">
                  <c:v>Emergency</c:v>
                </c:pt>
              </c:strCache>
            </c:strRef>
          </c:cat>
          <c:val>
            <c:numRef>
              <c:f>Population_Dashboard!$E$5:$E$7</c:f>
              <c:numCache>
                <c:formatCode>General</c:formatCode>
                <c:ptCount val="3"/>
                <c:pt idx="0">
                  <c:v>50</c:v>
                </c:pt>
                <c:pt idx="1">
                  <c:v>87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7-4027-B8BD-EC411FD3B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tientMaster" displayName="tblPatientMaster" ref="A1:Z51">
  <autoFilter ref="A1:Z51" xr:uid="{00000000-0009-0000-0100-000001000000}"/>
  <tableColumns count="26">
    <tableColumn id="1" xr3:uid="{00000000-0010-0000-0000-000001000000}" name="Patient_ID"/>
    <tableColumn id="2" xr3:uid="{00000000-0010-0000-0000-000002000000}" name="MRN"/>
    <tableColumn id="3" xr3:uid="{00000000-0010-0000-0000-000003000000}" name="First_Name"/>
    <tableColumn id="4" xr3:uid="{00000000-0010-0000-0000-000004000000}" name="Last_Name"/>
    <tableColumn id="5" xr3:uid="{00000000-0010-0000-0000-000005000000}" name="Legal_Name"/>
    <tableColumn id="6" xr3:uid="{00000000-0010-0000-0000-000006000000}" name="DOB"/>
    <tableColumn id="7" xr3:uid="{00000000-0010-0000-0000-000007000000}" name="Age"/>
    <tableColumn id="8" xr3:uid="{00000000-0010-0000-0000-000008000000}" name="Sex_at_Birth"/>
    <tableColumn id="9" xr3:uid="{00000000-0010-0000-0000-000009000000}" name="Pronouns"/>
    <tableColumn id="10" xr3:uid="{00000000-0010-0000-0000-00000A000000}" name="Marital_Status"/>
    <tableColumn id="11" xr3:uid="{00000000-0010-0000-0000-00000B000000}" name="Race"/>
    <tableColumn id="12" xr3:uid="{00000000-0010-0000-0000-00000C000000}" name="Ethnicity"/>
    <tableColumn id="13" xr3:uid="{00000000-0010-0000-0000-00000D000000}" name="Preferred_Language"/>
    <tableColumn id="14" xr3:uid="{00000000-0010-0000-0000-00000E000000}" name="Secondary_Language"/>
    <tableColumn id="15" xr3:uid="{00000000-0010-0000-0000-00000F000000}" name="PCP"/>
    <tableColumn id="16" xr3:uid="{00000000-0010-0000-0000-000010000000}" name="Record_Status"/>
    <tableColumn id="17" xr3:uid="{00000000-0010-0000-0000-000011000000}" name="Height_cm"/>
    <tableColumn id="18" xr3:uid="{00000000-0010-0000-0000-000012000000}" name="Weight_kg"/>
    <tableColumn id="19" xr3:uid="{00000000-0010-0000-0000-000013000000}" name="BMI"/>
    <tableColumn id="20" xr3:uid="{00000000-0010-0000-0000-000014000000}" name="City"/>
    <tableColumn id="21" xr3:uid="{00000000-0010-0000-0000-000015000000}" name="State"/>
    <tableColumn id="22" xr3:uid="{00000000-0010-0000-0000-000016000000}" name="ZIP"/>
    <tableColumn id="23" xr3:uid="{00000000-0010-0000-0000-000017000000}" name="Country"/>
    <tableColumn id="24" xr3:uid="{00000000-0010-0000-0000-000018000000}" name="Street_Address"/>
    <tableColumn id="25" xr3:uid="{00000000-0010-0000-0000-000019000000}" name="Mobile"/>
    <tableColumn id="26" xr3:uid="{00000000-0010-0000-0000-00001A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ncounters" displayName="tblEncounters" ref="A1:L151">
  <autoFilter ref="A1:L151" xr:uid="{00000000-0009-0000-0100-000002000000}"/>
  <tableColumns count="12">
    <tableColumn id="1" xr3:uid="{00000000-0010-0000-0100-000001000000}" name="Encounter_ID"/>
    <tableColumn id="2" xr3:uid="{00000000-0010-0000-0100-000002000000}" name="Patient_ID"/>
    <tableColumn id="3" xr3:uid="{00000000-0010-0000-0100-000003000000}" name="Date"/>
    <tableColumn id="4" xr3:uid="{00000000-0010-0000-0100-000004000000}" name="Type"/>
    <tableColumn id="5" xr3:uid="{00000000-0010-0000-0100-000005000000}" name="Department"/>
    <tableColumn id="6" xr3:uid="{00000000-0010-0000-0100-000006000000}" name="Provider"/>
    <tableColumn id="7" xr3:uid="{00000000-0010-0000-0100-000007000000}" name="Facility"/>
    <tableColumn id="8" xr3:uid="{00000000-0010-0000-0100-000008000000}" name="Status"/>
    <tableColumn id="9" xr3:uid="{00000000-0010-0000-0100-000009000000}" name="Primary_Diagnosis_Code"/>
    <tableColumn id="10" xr3:uid="{00000000-0010-0000-0100-00000A000000}" name="Primary_Diagnosis"/>
    <tableColumn id="11" xr3:uid="{00000000-0010-0000-0100-00000B000000}" name="Priority"/>
    <tableColumn id="12" xr3:uid="{00000000-0010-0000-0100-00000C000000}" name="Disposition_or_Follow_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blems" displayName="tblProblems" ref="A1:J101">
  <autoFilter ref="A1:J101" xr:uid="{00000000-0009-0000-0100-000003000000}"/>
  <tableColumns count="10">
    <tableColumn id="1" xr3:uid="{00000000-0010-0000-0200-000001000000}" name="Problem_ID"/>
    <tableColumn id="2" xr3:uid="{00000000-0010-0000-0200-000002000000}" name="Patient_ID"/>
    <tableColumn id="3" xr3:uid="{00000000-0010-0000-0200-000003000000}" name="ICD_10_CM"/>
    <tableColumn id="4" xr3:uid="{00000000-0010-0000-0200-000004000000}" name="Problem_Name"/>
    <tableColumn id="5" xr3:uid="{00000000-0010-0000-0200-000005000000}" name="Clinical_Status"/>
    <tableColumn id="6" xr3:uid="{00000000-0010-0000-0200-000006000000}" name="Verification_Status"/>
    <tableColumn id="7" xr3:uid="{00000000-0010-0000-0200-000007000000}" name="Onset_Date"/>
    <tableColumn id="8" xr3:uid="{00000000-0010-0000-0200-000008000000}" name="Resolved_Date"/>
    <tableColumn id="9" xr3:uid="{00000000-0010-0000-0200-000009000000}" name="Provider"/>
    <tableColumn id="10" xr3:uid="{00000000-0010-0000-0200-00000A000000}" name="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llergies" displayName="tblAllergies" ref="A1:J51">
  <autoFilter ref="A1:J51" xr:uid="{00000000-0009-0000-0100-000004000000}"/>
  <tableColumns count="10">
    <tableColumn id="1" xr3:uid="{00000000-0010-0000-0300-000001000000}" name="Allergy_ID"/>
    <tableColumn id="2" xr3:uid="{00000000-0010-0000-0300-000002000000}" name="Patient_ID"/>
    <tableColumn id="3" xr3:uid="{00000000-0010-0000-0300-000003000000}" name="Substance"/>
    <tableColumn id="4" xr3:uid="{00000000-0010-0000-0300-000004000000}" name="Category"/>
    <tableColumn id="5" xr3:uid="{00000000-0010-0000-0300-000005000000}" name="Reaction"/>
    <tableColumn id="6" xr3:uid="{00000000-0010-0000-0300-000006000000}" name="Severity"/>
    <tableColumn id="7" xr3:uid="{00000000-0010-0000-0300-000007000000}" name="Clinical_Status"/>
    <tableColumn id="8" xr3:uid="{00000000-0010-0000-0300-000008000000}" name="Verification_Status"/>
    <tableColumn id="9" xr3:uid="{00000000-0010-0000-0300-000009000000}" name="Recorded_Date"/>
    <tableColumn id="10" xr3:uid="{00000000-0010-0000-0300-00000A000000}" name="Rec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edications" displayName="tblMedications" ref="A1:L101">
  <autoFilter ref="A1:L101" xr:uid="{00000000-0009-0000-0100-000005000000}"/>
  <tableColumns count="12">
    <tableColumn id="1" xr3:uid="{00000000-0010-0000-0400-000001000000}" name="Medication_ID"/>
    <tableColumn id="2" xr3:uid="{00000000-0010-0000-0400-000002000000}" name="Patient_ID"/>
    <tableColumn id="3" xr3:uid="{00000000-0010-0000-0400-000003000000}" name="Medication"/>
    <tableColumn id="4" xr3:uid="{00000000-0010-0000-0400-000004000000}" name="Dose"/>
    <tableColumn id="5" xr3:uid="{00000000-0010-0000-0400-000005000000}" name="Route"/>
    <tableColumn id="6" xr3:uid="{00000000-0010-0000-0400-000006000000}" name="Frequency"/>
    <tableColumn id="7" xr3:uid="{00000000-0010-0000-0400-000007000000}" name="Start_Date"/>
    <tableColumn id="8" xr3:uid="{00000000-0010-0000-0400-000008000000}" name="Status"/>
    <tableColumn id="9" xr3:uid="{00000000-0010-0000-0400-000009000000}" name="Prescriber"/>
    <tableColumn id="10" xr3:uid="{00000000-0010-0000-0400-00000A000000}" name="Indication_ICD_10"/>
    <tableColumn id="11" xr3:uid="{00000000-0010-0000-0400-00000B000000}" name="Dispense"/>
    <tableColumn id="12" xr3:uid="{00000000-0010-0000-0400-00000C000000}" name="Refil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Vitals" displayName="tblVitals" ref="A1:N151">
  <autoFilter ref="A1:N151" xr:uid="{00000000-0009-0000-0100-000006000000}"/>
  <tableColumns count="14">
    <tableColumn id="1" xr3:uid="{00000000-0010-0000-0500-000001000000}" name="Vital_ID"/>
    <tableColumn id="2" xr3:uid="{00000000-0010-0000-0500-000002000000}" name="Patient_ID"/>
    <tableColumn id="3" xr3:uid="{00000000-0010-0000-0500-000003000000}" name="Observed_Date"/>
    <tableColumn id="4" xr3:uid="{00000000-0010-0000-0500-000004000000}" name="Systolic_mmHg"/>
    <tableColumn id="5" xr3:uid="{00000000-0010-0000-0500-000005000000}" name="Diastolic_mmHg"/>
    <tableColumn id="6" xr3:uid="{00000000-0010-0000-0500-000006000000}" name="Heart_Rate_bpm"/>
    <tableColumn id="7" xr3:uid="{00000000-0010-0000-0500-000007000000}" name="Respiratory_Rate"/>
    <tableColumn id="8" xr3:uid="{00000000-0010-0000-0500-000008000000}" name="SpO2_Percent"/>
    <tableColumn id="9" xr3:uid="{00000000-0010-0000-0500-000009000000}" name="Temperature_F"/>
    <tableColumn id="10" xr3:uid="{00000000-0010-0000-0500-00000A000000}" name="Weight_kg"/>
    <tableColumn id="11" xr3:uid="{00000000-0010-0000-0500-00000B000000}" name="Height_cm"/>
    <tableColumn id="12" xr3:uid="{00000000-0010-0000-0500-00000C000000}" name="BMI"/>
    <tableColumn id="13" xr3:uid="{00000000-0010-0000-0500-00000D000000}" name="Recorded_By"/>
    <tableColumn id="14" xr3:uid="{00000000-0010-0000-0500-00000E000000}" name="Pos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abs" displayName="tblLabs" ref="A1:L251">
  <autoFilter ref="A1:L251" xr:uid="{00000000-0009-0000-0100-000007000000}"/>
  <tableColumns count="12">
    <tableColumn id="1" xr3:uid="{00000000-0010-0000-0600-000001000000}" name="Lab_ID"/>
    <tableColumn id="2" xr3:uid="{00000000-0010-0000-0600-000002000000}" name="Patient_ID"/>
    <tableColumn id="3" xr3:uid="{00000000-0010-0000-0600-000003000000}" name="Result_Date"/>
    <tableColumn id="4" xr3:uid="{00000000-0010-0000-0600-000004000000}" name="LOINC_Code"/>
    <tableColumn id="5" xr3:uid="{00000000-0010-0000-0600-000005000000}" name="Test_Name"/>
    <tableColumn id="6" xr3:uid="{00000000-0010-0000-0600-000006000000}" name="Result"/>
    <tableColumn id="7" xr3:uid="{00000000-0010-0000-0600-000007000000}" name="Unit"/>
    <tableColumn id="8" xr3:uid="{00000000-0010-0000-0600-000008000000}" name="Reference_Range"/>
    <tableColumn id="9" xr3:uid="{00000000-0010-0000-0600-000009000000}" name="Flag"/>
    <tableColumn id="10" xr3:uid="{00000000-0010-0000-0600-00000A000000}" name="Status"/>
    <tableColumn id="11" xr3:uid="{00000000-0010-0000-0600-00000B000000}" name="Performing_Lab"/>
    <tableColumn id="12" xr3:uid="{00000000-0010-0000-0600-00000C000000}" name="Ordering_Provi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OrdersProcedures" displayName="tblOrdersProcedures" ref="A1:K51">
  <autoFilter ref="A1:K51" xr:uid="{00000000-0009-0000-0100-000008000000}"/>
  <tableColumns count="11">
    <tableColumn id="1" xr3:uid="{00000000-0010-0000-0700-000001000000}" name="Order_ID"/>
    <tableColumn id="2" xr3:uid="{00000000-0010-0000-0700-000002000000}" name="Patient_ID"/>
    <tableColumn id="3" xr3:uid="{00000000-0010-0000-0700-000003000000}" name="Encounter_ID"/>
    <tableColumn id="4" xr3:uid="{00000000-0010-0000-0700-000004000000}" name="Order_Date"/>
    <tableColumn id="5" xr3:uid="{00000000-0010-0000-0700-000005000000}" name="Order_Type"/>
    <tableColumn id="6" xr3:uid="{00000000-0010-0000-0700-000006000000}" name="CPT_HCPCS"/>
    <tableColumn id="7" xr3:uid="{00000000-0010-0000-0700-000007000000}" name="Order_Description"/>
    <tableColumn id="8" xr3:uid="{00000000-0010-0000-0700-000008000000}" name="Status"/>
    <tableColumn id="9" xr3:uid="{00000000-0010-0000-0700-000009000000}" name="Ordering_Provider"/>
    <tableColumn id="10" xr3:uid="{00000000-0010-0000-0700-00000A000000}" name="Facility"/>
    <tableColumn id="11" xr3:uid="{00000000-0010-0000-0700-00000B000000}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Immunizations" displayName="tblImmunizations" ref="A1:J51">
  <autoFilter ref="A1:J51" xr:uid="{00000000-0009-0000-0100-000009000000}"/>
  <tableColumns count="10">
    <tableColumn id="1" xr3:uid="{00000000-0010-0000-0800-000001000000}" name="Immunization_ID"/>
    <tableColumn id="2" xr3:uid="{00000000-0010-0000-0800-000002000000}" name="Patient_ID"/>
    <tableColumn id="3" xr3:uid="{00000000-0010-0000-0800-000003000000}" name="Vaccine"/>
    <tableColumn id="4" xr3:uid="{00000000-0010-0000-0800-000004000000}" name="CVX_Code"/>
    <tableColumn id="5" xr3:uid="{00000000-0010-0000-0800-000005000000}" name="Administration_Date"/>
    <tableColumn id="6" xr3:uid="{00000000-0010-0000-0800-000006000000}" name="Dose"/>
    <tableColumn id="7" xr3:uid="{00000000-0010-0000-0800-000007000000}" name="Route"/>
    <tableColumn id="8" xr3:uid="{00000000-0010-0000-0800-000008000000}" name="Site"/>
    <tableColumn id="9" xr3:uid="{00000000-0010-0000-0800-000009000000}" name="Administered_By"/>
    <tableColumn id="10" xr3:uid="{00000000-0010-0000-0800-00000A000000}" name="Lot_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ppointments" displayName="tblAppointments" ref="A1:J51">
  <autoFilter ref="A1:J51" xr:uid="{00000000-0009-0000-0100-00000A000000}"/>
  <tableColumns count="10">
    <tableColumn id="1" xr3:uid="{00000000-0010-0000-0900-000001000000}" name="Appointment_ID"/>
    <tableColumn id="2" xr3:uid="{00000000-0010-0000-0900-000002000000}" name="Patient_ID"/>
    <tableColumn id="3" xr3:uid="{00000000-0010-0000-0900-000003000000}" name="Date"/>
    <tableColumn id="4" xr3:uid="{00000000-0010-0000-0900-000004000000}" name="Time"/>
    <tableColumn id="5" xr3:uid="{00000000-0010-0000-0900-000005000000}" name="Department"/>
    <tableColumn id="6" xr3:uid="{00000000-0010-0000-0900-000006000000}" name="Provider"/>
    <tableColumn id="7" xr3:uid="{00000000-0010-0000-0900-000007000000}" name="Location"/>
    <tableColumn id="8" xr3:uid="{00000000-0010-0000-0900-000008000000}" name="Status"/>
    <tableColumn id="9" xr3:uid="{00000000-0010-0000-0900-000009000000}" name="Reason"/>
    <tableColumn id="10" xr3:uid="{00000000-0010-0000-0900-00000A000000}" name="Booked_V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linicalNotes" displayName="tblClinicalNotes" ref="A1:I51">
  <autoFilter ref="A1:I51" xr:uid="{00000000-0009-0000-0100-00000B000000}"/>
  <tableColumns count="9">
    <tableColumn id="1" xr3:uid="{00000000-0010-0000-0A00-000001000000}" name="Note_ID"/>
    <tableColumn id="2" xr3:uid="{00000000-0010-0000-0A00-000002000000}" name="Patient_ID"/>
    <tableColumn id="3" xr3:uid="{00000000-0010-0000-0A00-000003000000}" name="Encounter_ID"/>
    <tableColumn id="4" xr3:uid="{00000000-0010-0000-0A00-000004000000}" name="Note_Type"/>
    <tableColumn id="5" xr3:uid="{00000000-0010-0000-0A00-000005000000}" name="Service_Date"/>
    <tableColumn id="6" xr3:uid="{00000000-0010-0000-0A00-000006000000}" name="Author"/>
    <tableColumn id="7" xr3:uid="{00000000-0010-0000-0A00-000007000000}" name="Note_Summary"/>
    <tableColumn id="8" xr3:uid="{00000000-0010-0000-0A00-000008000000}" name="Status"/>
    <tableColumn id="9" xr3:uid="{00000000-0010-0000-0A00-000009000000}" name="Data_Ta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Insurance" displayName="tblInsurance" ref="A1:N51">
  <autoFilter ref="A1:N51" xr:uid="{00000000-0009-0000-0100-00000C000000}"/>
  <tableColumns count="14">
    <tableColumn id="1" xr3:uid="{00000000-0010-0000-0B00-000001000000}" name="Coverage_ID"/>
    <tableColumn id="2" xr3:uid="{00000000-0010-0000-0B00-000002000000}" name="Patient_ID"/>
    <tableColumn id="3" xr3:uid="{00000000-0010-0000-0B00-000003000000}" name="Priority"/>
    <tableColumn id="4" xr3:uid="{00000000-0010-0000-0B00-000004000000}" name="Payer_Name"/>
    <tableColumn id="5" xr3:uid="{00000000-0010-0000-0B00-000005000000}" name="Member_ID"/>
    <tableColumn id="6" xr3:uid="{00000000-0010-0000-0B00-000006000000}" name="Group_Number"/>
    <tableColumn id="7" xr3:uid="{00000000-0010-0000-0B00-000007000000}" name="Relationship_to_Subscriber"/>
    <tableColumn id="8" xr3:uid="{00000000-0010-0000-0B00-000008000000}" name="Effective_Date"/>
    <tableColumn id="9" xr3:uid="{00000000-0010-0000-0B00-000009000000}" name="Termination_Date"/>
    <tableColumn id="10" xr3:uid="{00000000-0010-0000-0B00-00000A000000}" name="Status"/>
    <tableColumn id="11" xr3:uid="{00000000-0010-0000-0B00-00000B000000}" name="Plan_Type"/>
    <tableColumn id="12" xr3:uid="{00000000-0010-0000-0B00-00000C000000}" name="Assigned_PCP"/>
    <tableColumn id="13" xr3:uid="{00000000-0010-0000-0B00-00000D000000}" name="Annual_Deductible_USD"/>
    <tableColumn id="14" xr3:uid="{00000000-0010-0000-0B00-00000E000000}" name="Copay_US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BillingClaims" displayName="tblBillingClaims" ref="A1:N51">
  <autoFilter ref="A1:N51" xr:uid="{00000000-0009-0000-0100-00000D000000}"/>
  <tableColumns count="14">
    <tableColumn id="1" xr3:uid="{00000000-0010-0000-0C00-000001000000}" name="Claim_ID"/>
    <tableColumn id="2" xr3:uid="{00000000-0010-0000-0C00-000002000000}" name="Patient_ID"/>
    <tableColumn id="3" xr3:uid="{00000000-0010-0000-0C00-000003000000}" name="Encounter_ID"/>
    <tableColumn id="4" xr3:uid="{00000000-0010-0000-0C00-000004000000}" name="Service_Date"/>
    <tableColumn id="5" xr3:uid="{00000000-0010-0000-0C00-000005000000}" name="CPT_HCPCS"/>
    <tableColumn id="6" xr3:uid="{00000000-0010-0000-0C00-000006000000}" name="Description"/>
    <tableColumn id="7" xr3:uid="{00000000-0010-0000-0C00-000007000000}" name="Units"/>
    <tableColumn id="8" xr3:uid="{00000000-0010-0000-0C00-000008000000}" name="Charge_USD"/>
    <tableColumn id="9" xr3:uid="{00000000-0010-0000-0C00-000009000000}" name="Contractual_Adjustment_USD"/>
    <tableColumn id="10" xr3:uid="{00000000-0010-0000-0C00-00000A000000}" name="Payment_USD"/>
    <tableColumn id="11" xr3:uid="{00000000-0010-0000-0C00-00000B000000}" name="Patient_Balance_USD"/>
    <tableColumn id="12" xr3:uid="{00000000-0010-0000-0C00-00000C000000}" name="Payer"/>
    <tableColumn id="13" xr3:uid="{00000000-0010-0000-0C00-00000D000000}" name="Claim_Status"/>
    <tableColumn id="14" xr3:uid="{00000000-0010-0000-0C00-00000E000000}" name="Currenc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ConsentDirectives" displayName="tblConsentDirectives" ref="A1:J51">
  <autoFilter ref="A1:J51" xr:uid="{00000000-0009-0000-0100-00000E000000}"/>
  <tableColumns count="10">
    <tableColumn id="1" xr3:uid="{00000000-0010-0000-0D00-000001000000}" name="Patient_ID"/>
    <tableColumn id="2" xr3:uid="{00000000-0010-0000-0D00-000002000000}" name="Consent_Type"/>
    <tableColumn id="3" xr3:uid="{00000000-0010-0000-0D00-000003000000}" name="Status"/>
    <tableColumn id="4" xr3:uid="{00000000-0010-0000-0D00-000004000000}" name="Effective_Date"/>
    <tableColumn id="5" xr3:uid="{00000000-0010-0000-0D00-000005000000}" name="Expiration_Date"/>
    <tableColumn id="6" xr3:uid="{00000000-0010-0000-0D00-000006000000}" name="Capture_Method"/>
    <tableColumn id="7" xr3:uid="{00000000-0010-0000-0D00-000007000000}" name="Privacy_Notice"/>
    <tableColumn id="8" xr3:uid="{00000000-0010-0000-0D00-000008000000}" name="Portal_Consent"/>
    <tableColumn id="9" xr3:uid="{00000000-0010-0000-0D00-000009000000}" name="Advance_Directive_On_File"/>
    <tableColumn id="10" xr3:uid="{00000000-0010-0000-0D00-00000A000000}" name="Code_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CareTeam" displayName="tblCareTeam" ref="A1:H101">
  <autoFilter ref="A1:H101" xr:uid="{00000000-0009-0000-0100-00000F000000}"/>
  <tableColumns count="8">
    <tableColumn id="1" xr3:uid="{00000000-0010-0000-0E00-000001000000}" name="Care_Team_ID"/>
    <tableColumn id="2" xr3:uid="{00000000-0010-0000-0E00-000002000000}" name="Patient_ID"/>
    <tableColumn id="3" xr3:uid="{00000000-0010-0000-0E00-000003000000}" name="Provider"/>
    <tableColumn id="4" xr3:uid="{00000000-0010-0000-0E00-000004000000}" name="Specialty"/>
    <tableColumn id="5" xr3:uid="{00000000-0010-0000-0E00-000005000000}" name="Role"/>
    <tableColumn id="6" xr3:uid="{00000000-0010-0000-0E00-000006000000}" name="Status"/>
    <tableColumn id="7" xr3:uid="{00000000-0010-0000-0E00-000007000000}" name="Start_Date"/>
    <tableColumn id="8" xr3:uid="{00000000-0010-0000-0E00-000008000000}" name="Organiz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FamilySocialHx" displayName="tblFamilySocialHx" ref="A1:K51">
  <autoFilter ref="A1:K51" xr:uid="{00000000-0009-0000-0100-000010000000}"/>
  <tableColumns count="11">
    <tableColumn id="1" xr3:uid="{00000000-0010-0000-0F00-000001000000}" name="Patient_ID"/>
    <tableColumn id="2" xr3:uid="{00000000-0010-0000-0F00-000002000000}" name="Family_Member"/>
    <tableColumn id="3" xr3:uid="{00000000-0010-0000-0F00-000003000000}" name="Family_Condition"/>
    <tableColumn id="4" xr3:uid="{00000000-0010-0000-0F00-000004000000}" name="Family_Status"/>
    <tableColumn id="5" xr3:uid="{00000000-0010-0000-0F00-000005000000}" name="Tobacco_Use"/>
    <tableColumn id="6" xr3:uid="{00000000-0010-0000-0F00-000006000000}" name="Alcohol_Use"/>
    <tableColumn id="7" xr3:uid="{00000000-0010-0000-0F00-000007000000}" name="Recreational_Drug_Use"/>
    <tableColumn id="8" xr3:uid="{00000000-0010-0000-0F00-000008000000}" name="Physical_Activity"/>
    <tableColumn id="9" xr3:uid="{00000000-0010-0000-0F00-000009000000}" name="Occupation"/>
    <tableColumn id="10" xr3:uid="{00000000-0010-0000-0F00-00000A000000}" name="Housing_Status"/>
    <tableColumn id="11" xr3:uid="{00000000-0010-0000-0F00-00000B000000}" name="Social_Risk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DataDictionary" displayName="tblDataDictionary" ref="A1:E194">
  <autoFilter ref="A1:E194" xr:uid="{00000000-0009-0000-0100-000011000000}"/>
  <tableColumns count="5">
    <tableColumn id="1" xr3:uid="{00000000-0010-0000-1000-000001000000}" name="Sheet"/>
    <tableColumn id="2" xr3:uid="{00000000-0010-0000-1000-000002000000}" name="Field"/>
    <tableColumn id="3" xr3:uid="{00000000-0010-0000-1000-000003000000}" name="Business_Description"/>
    <tableColumn id="4" xr3:uid="{00000000-0010-0000-1000-000004000000}" name="Conceptual_FHIR_Mapping"/>
    <tableColumn id="5" xr3:uid="{00000000-0010-0000-1000-000005000000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Sources" displayName="tblSources" ref="A1:C5">
  <autoFilter ref="A1:C5" xr:uid="{00000000-0009-0000-0100-000012000000}"/>
  <tableColumns count="3">
    <tableColumn id="1" xr3:uid="{00000000-0010-0000-1100-000001000000}" name="Source"/>
    <tableColumn id="2" xr3:uid="{00000000-0010-0000-1100-000002000000}" name="URL"/>
    <tableColumn id="3" xr3:uid="{00000000-0010-0000-11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Labs'!A1" TargetMode="External"/><Relationship Id="rId13" Type="http://schemas.openxmlformats.org/officeDocument/2006/relationships/hyperlink" Target="#'Insurance'!A1" TargetMode="External"/><Relationship Id="rId18" Type="http://schemas.openxmlformats.org/officeDocument/2006/relationships/hyperlink" Target="#'Data_Dictionary'!A1" TargetMode="External"/><Relationship Id="rId3" Type="http://schemas.openxmlformats.org/officeDocument/2006/relationships/hyperlink" Target="#'Encounters'!A1" TargetMode="External"/><Relationship Id="rId7" Type="http://schemas.openxmlformats.org/officeDocument/2006/relationships/hyperlink" Target="#'Vitals'!A1" TargetMode="External"/><Relationship Id="rId12" Type="http://schemas.openxmlformats.org/officeDocument/2006/relationships/hyperlink" Target="#'Clinical_Notes'!A1" TargetMode="External"/><Relationship Id="rId17" Type="http://schemas.openxmlformats.org/officeDocument/2006/relationships/hyperlink" Target="#'Family_Social_Hx'!A1" TargetMode="External"/><Relationship Id="rId2" Type="http://schemas.openxmlformats.org/officeDocument/2006/relationships/hyperlink" Target="#'Patient_Master'!A1" TargetMode="External"/><Relationship Id="rId16" Type="http://schemas.openxmlformats.org/officeDocument/2006/relationships/hyperlink" Target="#'Care_Team'!A1" TargetMode="External"/><Relationship Id="rId1" Type="http://schemas.openxmlformats.org/officeDocument/2006/relationships/hyperlink" Target="#'PATIENT_CHART'!A1" TargetMode="External"/><Relationship Id="rId6" Type="http://schemas.openxmlformats.org/officeDocument/2006/relationships/hyperlink" Target="#'Medications'!A1" TargetMode="External"/><Relationship Id="rId11" Type="http://schemas.openxmlformats.org/officeDocument/2006/relationships/hyperlink" Target="#'Appointments'!A1" TargetMode="External"/><Relationship Id="rId5" Type="http://schemas.openxmlformats.org/officeDocument/2006/relationships/hyperlink" Target="#'Allergies'!A1" TargetMode="External"/><Relationship Id="rId15" Type="http://schemas.openxmlformats.org/officeDocument/2006/relationships/hyperlink" Target="#'Consent_Directives'!A1" TargetMode="External"/><Relationship Id="rId10" Type="http://schemas.openxmlformats.org/officeDocument/2006/relationships/hyperlink" Target="#'Immunizations'!A1" TargetMode="External"/><Relationship Id="rId19" Type="http://schemas.openxmlformats.org/officeDocument/2006/relationships/hyperlink" Target="#'Sources'!A1" TargetMode="External"/><Relationship Id="rId4" Type="http://schemas.openxmlformats.org/officeDocument/2006/relationships/hyperlink" Target="#'Problems'!A1" TargetMode="External"/><Relationship Id="rId9" Type="http://schemas.openxmlformats.org/officeDocument/2006/relationships/hyperlink" Target="#'Orders_Procedures'!A1" TargetMode="External"/><Relationship Id="rId14" Type="http://schemas.openxmlformats.org/officeDocument/2006/relationships/hyperlink" Target="#'Billing_Claims'!A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#'Problems'!A1" TargetMode="External"/><Relationship Id="rId3" Type="http://schemas.openxmlformats.org/officeDocument/2006/relationships/hyperlink" Target="#'Problems'!A1" TargetMode="External"/><Relationship Id="rId7" Type="http://schemas.openxmlformats.org/officeDocument/2006/relationships/hyperlink" Target="#'Clinical_Notes'!A1" TargetMode="External"/><Relationship Id="rId2" Type="http://schemas.openxmlformats.org/officeDocument/2006/relationships/hyperlink" Target="#'Encounters'!A1" TargetMode="External"/><Relationship Id="rId1" Type="http://schemas.openxmlformats.org/officeDocument/2006/relationships/hyperlink" Target="#A11" TargetMode="External"/><Relationship Id="rId6" Type="http://schemas.openxmlformats.org/officeDocument/2006/relationships/hyperlink" Target="#'Orders_Procedures'!A1" TargetMode="External"/><Relationship Id="rId11" Type="http://schemas.openxmlformats.org/officeDocument/2006/relationships/hyperlink" Target="#'Labs'!A1" TargetMode="External"/><Relationship Id="rId5" Type="http://schemas.openxmlformats.org/officeDocument/2006/relationships/hyperlink" Target="#'Labs'!A1" TargetMode="External"/><Relationship Id="rId10" Type="http://schemas.openxmlformats.org/officeDocument/2006/relationships/hyperlink" Target="#'Appointments'!A1" TargetMode="External"/><Relationship Id="rId4" Type="http://schemas.openxmlformats.org/officeDocument/2006/relationships/hyperlink" Target="#'Medications'!A1" TargetMode="External"/><Relationship Id="rId9" Type="http://schemas.openxmlformats.org/officeDocument/2006/relationships/hyperlink" Target="#'Medications'!A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hl7.org/fhir/R4/" TargetMode="External"/><Relationship Id="rId2" Type="http://schemas.openxmlformats.org/officeDocument/2006/relationships/hyperlink" Target="https://fhir.epic.com/FAQ" TargetMode="External"/><Relationship Id="rId1" Type="http://schemas.openxmlformats.org/officeDocument/2006/relationships/hyperlink" Target="https://fhir.epic.com/" TargetMode="External"/><Relationship Id="rId5" Type="http://schemas.openxmlformats.org/officeDocument/2006/relationships/table" Target="../tables/table18.xml"/><Relationship Id="rId4" Type="http://schemas.openxmlformats.org/officeDocument/2006/relationships/hyperlink" Target="https://hl7.org/fhir/us/co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zoomScale="90" workbookViewId="0"/>
  </sheetViews>
  <sheetFormatPr defaultRowHeight="15"/>
  <cols>
    <col min="1" max="1" width="26" customWidth="1"/>
    <col min="2" max="2" width="110" customWidth="1"/>
  </cols>
  <sheetData>
    <row r="1" spans="1:8">
      <c r="A1" s="25" t="s">
        <v>0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4" spans="1:8" ht="33.950000000000003" customHeight="1">
      <c r="A4" s="1" t="s">
        <v>1</v>
      </c>
      <c r="B4" s="26" t="s">
        <v>2</v>
      </c>
      <c r="C4" s="28"/>
      <c r="D4" s="28"/>
      <c r="E4" s="28"/>
      <c r="F4" s="28"/>
      <c r="G4" s="28"/>
      <c r="H4" s="28"/>
    </row>
    <row r="5" spans="1:8" ht="33.950000000000003" customHeight="1">
      <c r="A5" s="1" t="s">
        <v>3</v>
      </c>
      <c r="B5" s="26" t="s">
        <v>4</v>
      </c>
      <c r="C5" s="28"/>
      <c r="D5" s="28"/>
      <c r="E5" s="28"/>
      <c r="F5" s="28"/>
      <c r="G5" s="28"/>
      <c r="H5" s="28"/>
    </row>
    <row r="6" spans="1:8" ht="33.950000000000003" customHeight="1">
      <c r="A6" s="1" t="s">
        <v>5</v>
      </c>
      <c r="B6" s="26" t="s">
        <v>6</v>
      </c>
      <c r="C6" s="28"/>
      <c r="D6" s="28"/>
      <c r="E6" s="28"/>
      <c r="F6" s="28"/>
      <c r="G6" s="28"/>
      <c r="H6" s="28"/>
    </row>
    <row r="7" spans="1:8" ht="33.950000000000003" customHeight="1">
      <c r="A7" s="1" t="s">
        <v>7</v>
      </c>
      <c r="B7" s="26" t="s">
        <v>8</v>
      </c>
      <c r="C7" s="28"/>
      <c r="D7" s="28"/>
      <c r="E7" s="28"/>
      <c r="F7" s="28"/>
      <c r="G7" s="28"/>
      <c r="H7" s="28"/>
    </row>
    <row r="8" spans="1:8" ht="33.950000000000003" customHeight="1">
      <c r="A8" s="1" t="s">
        <v>9</v>
      </c>
      <c r="B8" s="26" t="s">
        <v>10</v>
      </c>
      <c r="C8" s="28"/>
      <c r="D8" s="28"/>
      <c r="E8" s="28"/>
      <c r="F8" s="28"/>
      <c r="G8" s="28"/>
      <c r="H8" s="28"/>
    </row>
    <row r="9" spans="1:8" ht="33.950000000000003" customHeight="1">
      <c r="A9" s="1" t="s">
        <v>11</v>
      </c>
      <c r="B9" s="26" t="s">
        <v>12</v>
      </c>
      <c r="C9" s="28"/>
      <c r="D9" s="28"/>
      <c r="E9" s="28"/>
      <c r="F9" s="28"/>
      <c r="G9" s="28"/>
      <c r="H9" s="28"/>
    </row>
    <row r="12" spans="1:8">
      <c r="A12" s="3" t="s">
        <v>13</v>
      </c>
    </row>
    <row r="13" spans="1:8">
      <c r="A13" s="4" t="s">
        <v>14</v>
      </c>
    </row>
    <row r="14" spans="1:8">
      <c r="A14" s="4" t="s">
        <v>15</v>
      </c>
    </row>
    <row r="15" spans="1:8">
      <c r="A15" s="4" t="s">
        <v>16</v>
      </c>
    </row>
    <row r="16" spans="1:8">
      <c r="A16" s="4" t="s">
        <v>17</v>
      </c>
    </row>
    <row r="17" spans="1:1">
      <c r="A17" s="4" t="s">
        <v>18</v>
      </c>
    </row>
    <row r="18" spans="1:1">
      <c r="A18" s="4" t="s">
        <v>19</v>
      </c>
    </row>
    <row r="19" spans="1:1">
      <c r="A19" s="4" t="s">
        <v>20</v>
      </c>
    </row>
    <row r="20" spans="1:1">
      <c r="A20" s="4" t="s">
        <v>21</v>
      </c>
    </row>
    <row r="21" spans="1:1">
      <c r="A21" s="4" t="s">
        <v>22</v>
      </c>
    </row>
    <row r="22" spans="1:1">
      <c r="A22" s="4" t="s">
        <v>23</v>
      </c>
    </row>
    <row r="23" spans="1:1">
      <c r="A23" s="4" t="s">
        <v>24</v>
      </c>
    </row>
    <row r="24" spans="1:1">
      <c r="A24" s="4" t="s">
        <v>25</v>
      </c>
    </row>
    <row r="25" spans="1:1">
      <c r="A25" s="4" t="s">
        <v>26</v>
      </c>
    </row>
    <row r="26" spans="1:1">
      <c r="A26" s="4" t="s">
        <v>27</v>
      </c>
    </row>
    <row r="27" spans="1:1">
      <c r="A27" s="4" t="s">
        <v>28</v>
      </c>
    </row>
    <row r="28" spans="1:1">
      <c r="A28" s="4" t="s">
        <v>29</v>
      </c>
    </row>
    <row r="29" spans="1:1">
      <c r="A29" s="4" t="s">
        <v>30</v>
      </c>
    </row>
    <row r="30" spans="1:1">
      <c r="A30" s="4" t="s">
        <v>31</v>
      </c>
    </row>
    <row r="31" spans="1:1">
      <c r="A31" s="4" t="s">
        <v>32</v>
      </c>
    </row>
  </sheetData>
  <mergeCells count="7">
    <mergeCell ref="A1:H2"/>
    <mergeCell ref="B5:H5"/>
    <mergeCell ref="B8:H8"/>
    <mergeCell ref="B9:H9"/>
    <mergeCell ref="B4:H4"/>
    <mergeCell ref="B6:H6"/>
    <mergeCell ref="B7:H7"/>
  </mergeCells>
  <hyperlinks>
    <hyperlink ref="A13" r:id="rId1" xr:uid="{00000000-0004-0000-0000-000000000000}"/>
    <hyperlink ref="A14" r:id="rId2" xr:uid="{00000000-0004-0000-0000-000001000000}"/>
    <hyperlink ref="A15" r:id="rId3" xr:uid="{00000000-0004-0000-0000-000002000000}"/>
    <hyperlink ref="A16" r:id="rId4" xr:uid="{00000000-0004-0000-0000-000003000000}"/>
    <hyperlink ref="A17" r:id="rId5" xr:uid="{00000000-0004-0000-0000-000004000000}"/>
    <hyperlink ref="A18" r:id="rId6" xr:uid="{00000000-0004-0000-0000-000005000000}"/>
    <hyperlink ref="A19" r:id="rId7" xr:uid="{00000000-0004-0000-0000-000006000000}"/>
    <hyperlink ref="A20" r:id="rId8" xr:uid="{00000000-0004-0000-0000-000007000000}"/>
    <hyperlink ref="A21" r:id="rId9" xr:uid="{00000000-0004-0000-0000-000008000000}"/>
    <hyperlink ref="A22" r:id="rId10" xr:uid="{00000000-0004-0000-0000-000009000000}"/>
    <hyperlink ref="A23" r:id="rId11" xr:uid="{00000000-0004-0000-0000-00000A000000}"/>
    <hyperlink ref="A24" r:id="rId12" xr:uid="{00000000-0004-0000-0000-00000B000000}"/>
    <hyperlink ref="A25" r:id="rId13" xr:uid="{00000000-0004-0000-0000-00000C000000}"/>
    <hyperlink ref="A26" r:id="rId14" xr:uid="{00000000-0004-0000-0000-00000D000000}"/>
    <hyperlink ref="A27" r:id="rId15" xr:uid="{00000000-0004-0000-0000-00000E000000}"/>
    <hyperlink ref="A28" r:id="rId16" xr:uid="{00000000-0004-0000-0000-00000F000000}"/>
    <hyperlink ref="A29" r:id="rId17" xr:uid="{00000000-0004-0000-0000-000010000000}"/>
    <hyperlink ref="A30" r:id="rId18" xr:uid="{00000000-0004-0000-0000-000011000000}"/>
    <hyperlink ref="A31" r:id="rId19" xr:uid="{00000000-0004-0000-00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F9F"/>
  </sheetPr>
  <dimension ref="A1:M28"/>
  <sheetViews>
    <sheetView showGridLines="0" zoomScale="90" workbookViewId="0">
      <pane ySplit="9" topLeftCell="A10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16" customWidth="1"/>
    <col min="4" max="4" width="18" customWidth="1"/>
    <col min="5" max="5" width="16" customWidth="1"/>
    <col min="6" max="6" width="4" customWidth="1"/>
    <col min="7" max="7" width="18" customWidth="1"/>
    <col min="8" max="8" width="24" customWidth="1"/>
    <col min="9" max="9" width="16" customWidth="1"/>
    <col min="10" max="12" width="18" customWidth="1"/>
  </cols>
  <sheetData>
    <row r="1" spans="1:13" ht="33.950000000000003" customHeight="1">
      <c r="A1" s="27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3">
      <c r="A3" s="1" t="s">
        <v>34</v>
      </c>
      <c r="B3" s="5" t="s">
        <v>35</v>
      </c>
    </row>
    <row r="5" spans="1:13">
      <c r="A5" s="6" t="s">
        <v>36</v>
      </c>
      <c r="B5" s="7"/>
      <c r="C5" s="7"/>
      <c r="D5" s="6" t="s">
        <v>37</v>
      </c>
      <c r="E5" s="7"/>
      <c r="F5" s="6" t="s">
        <v>38</v>
      </c>
      <c r="G5" s="7"/>
      <c r="H5" s="6" t="s">
        <v>39</v>
      </c>
      <c r="I5" s="7"/>
      <c r="J5" s="6" t="s">
        <v>40</v>
      </c>
      <c r="K5" s="7"/>
      <c r="L5" s="7"/>
    </row>
    <row r="6" spans="1:13">
      <c r="A6" s="8" t="str">
        <f>IFERROR(INDEX(Patient_Master!$E$2:$E$51,MATCH($B$3,Patient_Master!$A$2:$A$51,0)),"")</f>
        <v>Olivia Johnson</v>
      </c>
      <c r="B6" s="7"/>
      <c r="C6" s="7"/>
      <c r="D6" s="8" t="str">
        <f>IFERROR(INDEX(Patient_Master!$B$2:$B$51,MATCH($B$3,Patient_Master!$A$2:$A$51,0)),"")</f>
        <v>MRN500001</v>
      </c>
      <c r="E6" s="7"/>
      <c r="F6" s="9">
        <f>IFERROR(INDEX(Patient_Master!$F$2:$F$51,MATCH($B$3,Patient_Master!$A$2:$A$51,0)),"")</f>
        <v>14611</v>
      </c>
      <c r="G6" s="7"/>
      <c r="H6" s="8">
        <f ca="1">IFERROR(INDEX(Patient_Master!$G$2:$G$51,MATCH($B$3,Patient_Master!$A$2:$A$51,0)),"")</f>
        <v>86</v>
      </c>
      <c r="I6" s="7"/>
      <c r="J6" s="8" t="str">
        <f>IFERROR(INDEX(Patient_Master!$H$2:$H$51,MATCH($B$3,Patient_Master!$A$2:$A$51,0)),"")</f>
        <v>Female</v>
      </c>
      <c r="K6" s="7"/>
      <c r="L6" s="7"/>
    </row>
    <row r="7" spans="1:13">
      <c r="A7" s="6" t="s">
        <v>41</v>
      </c>
      <c r="B7" s="7"/>
      <c r="C7" s="7"/>
      <c r="D7" s="7"/>
      <c r="E7" s="7"/>
      <c r="F7" s="6" t="s">
        <v>42</v>
      </c>
      <c r="G7" s="7"/>
      <c r="H7" s="7"/>
      <c r="I7" s="6" t="s">
        <v>43</v>
      </c>
      <c r="J7" s="7"/>
      <c r="K7" s="7"/>
      <c r="L7" s="7"/>
    </row>
    <row r="8" spans="1:13">
      <c r="A8" s="8" t="str">
        <f>IFERROR(INDEX(Patient_Master!$O$2:$O$51,MATCH($B$3,Patient_Master!$A$2:$A$51,0)),"")</f>
        <v>Emily Carter, MD</v>
      </c>
      <c r="B8" s="7"/>
      <c r="C8" s="7"/>
      <c r="D8" s="7"/>
      <c r="E8" s="7"/>
      <c r="F8" s="8" t="str">
        <f>IFERROR(INDEX(Patient_Master!$M$2:$M$51,MATCH($B$3,Patient_Master!$A$2:$A$51,0)),"")</f>
        <v>English</v>
      </c>
      <c r="G8" s="7"/>
      <c r="H8" s="7"/>
      <c r="I8" s="8" t="str">
        <f>IFERROR(INDEX(Patient_Master!$T$2:$T$51,MATCH($B$3,Patient_Master!$A$2:$A$51,0))&amp;", "&amp;INDEX(Patient_Master!$U$2:$U$51,MATCH($B$3,Patient_Master!$A$2:$A$51,0)),"")</f>
        <v>Seattle, WA</v>
      </c>
      <c r="J8" s="7"/>
      <c r="K8" s="7"/>
      <c r="L8" s="7"/>
    </row>
    <row r="10" spans="1:13">
      <c r="A10" s="10" t="s">
        <v>44</v>
      </c>
      <c r="C10" s="10" t="s">
        <v>16</v>
      </c>
      <c r="E10" s="10" t="s">
        <v>17</v>
      </c>
      <c r="G10" s="10" t="s">
        <v>45</v>
      </c>
      <c r="I10" s="10" t="s">
        <v>21</v>
      </c>
      <c r="K10" s="10" t="s">
        <v>46</v>
      </c>
      <c r="M10" s="10" t="s">
        <v>47</v>
      </c>
    </row>
    <row r="12" spans="1:13">
      <c r="A12" s="11" t="s">
        <v>48</v>
      </c>
      <c r="C12" s="11" t="s">
        <v>49</v>
      </c>
      <c r="E12" s="11" t="s">
        <v>18</v>
      </c>
      <c r="G12" s="11" t="s">
        <v>50</v>
      </c>
      <c r="I12" s="11" t="s">
        <v>51</v>
      </c>
      <c r="K12" s="11" t="s">
        <v>52</v>
      </c>
    </row>
    <row r="13" spans="1:13">
      <c r="B13" s="12">
        <f>COUNTIFS(Problems!$B:$B,$B$3,Problems!$E:$E,"Active")</f>
        <v>2</v>
      </c>
      <c r="D13" s="12">
        <f>COUNTIFS(Medications!$B:$B,$B$3,Medications!$H:$H,"Active")</f>
        <v>1</v>
      </c>
      <c r="F13" s="12">
        <f>COUNTIF(Allergies!$B:$B,$B$3)</f>
        <v>1</v>
      </c>
      <c r="H13" s="12">
        <f>COUNTIF(Encounters!$B:$B,$B$3)</f>
        <v>3</v>
      </c>
      <c r="J13" s="12">
        <f>COUNTIFS(Labs!$B:$B,$B$3,Labs!$I:$I,"High")</f>
        <v>0</v>
      </c>
      <c r="L13" s="13">
        <f>SUMIF(Billing_Claims!$B:$B,$B$3,Billing_Claims!$K:$K)</f>
        <v>45</v>
      </c>
    </row>
    <row r="16" spans="1:13">
      <c r="A16" s="14" t="s">
        <v>53</v>
      </c>
      <c r="G16" s="14" t="s">
        <v>19</v>
      </c>
    </row>
    <row r="17" spans="1:12">
      <c r="A17" s="2" t="s">
        <v>54</v>
      </c>
      <c r="B17" s="2" t="str">
        <f>IFERROR(INDEX(Problems!$D$2:$D$101,MATCH($B$3,Problems!$B$2:$B$101,0)),"None")</f>
        <v>Essential hypertension</v>
      </c>
      <c r="C17" s="2"/>
      <c r="D17" s="2"/>
      <c r="E17" s="2"/>
      <c r="F17" s="2"/>
      <c r="G17" s="2" t="s">
        <v>55</v>
      </c>
      <c r="H17" s="2" t="str">
        <f>IFERROR(INDEX(Medications!$C$2:$C$101,MATCH($B$3,Medications!$B$2:$B$101,0)),"None")</f>
        <v>Lisinopril 10 mg tablet</v>
      </c>
      <c r="I17" s="2"/>
      <c r="J17" s="2"/>
      <c r="K17" s="2"/>
      <c r="L17" s="2"/>
    </row>
    <row r="18" spans="1:12">
      <c r="A18" s="2" t="s">
        <v>56</v>
      </c>
      <c r="B18" s="2" t="str">
        <f>IFERROR(INDEX(Problems!$C$2:$C$101,MATCH($B$3,Problems!$B$2:$B$101,0)),"")</f>
        <v>I10</v>
      </c>
      <c r="C18" s="2"/>
      <c r="D18" s="2"/>
      <c r="E18" s="2"/>
      <c r="F18" s="2"/>
      <c r="G18" s="2" t="s">
        <v>57</v>
      </c>
      <c r="H18" s="2" t="str">
        <f>IFERROR(INDEX(Medications!$D$2:$D$101,MATCH($B$3,Medications!$B$2:$B$101,0)),"")</f>
        <v>10 mg</v>
      </c>
      <c r="I18" s="2"/>
      <c r="J18" s="2"/>
      <c r="K18" s="2"/>
      <c r="L18" s="2"/>
    </row>
    <row r="19" spans="1:12">
      <c r="A19" s="2" t="s">
        <v>58</v>
      </c>
      <c r="B19" s="2" t="str">
        <f>IFERROR(INDEX(Problems!$E$2:$E$101,MATCH($B$3,Problems!$B$2:$B$101,0)),"")</f>
        <v>Active</v>
      </c>
      <c r="C19" s="2"/>
      <c r="D19" s="2"/>
      <c r="E19" s="2"/>
      <c r="F19" s="2"/>
      <c r="G19" s="2" t="s">
        <v>59</v>
      </c>
      <c r="H19" s="2" t="str">
        <f>IFERROR(INDEX(Medications!$F$2:$F$101,MATCH($B$3,Medications!$B$2:$B$101,0)),"")</f>
        <v>Daily</v>
      </c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15" t="s">
        <v>24</v>
      </c>
      <c r="B25" s="2"/>
      <c r="C25" s="2"/>
      <c r="D25" s="2"/>
      <c r="E25" s="2"/>
      <c r="F25" s="2"/>
      <c r="G25" s="15" t="s">
        <v>60</v>
      </c>
      <c r="H25" s="2"/>
      <c r="I25" s="2"/>
      <c r="J25" s="2"/>
      <c r="K25" s="2"/>
      <c r="L25" s="2"/>
    </row>
    <row r="26" spans="1:12">
      <c r="A26" s="2" t="s">
        <v>61</v>
      </c>
      <c r="B26" s="16">
        <f>IFERROR(INDEX(Appointments!$C$2:$C$51,MATCH($B$3,Appointments!$B$2:$B$51,0)),"")</f>
        <v>46300</v>
      </c>
      <c r="C26" s="2"/>
      <c r="D26" s="2"/>
      <c r="E26" s="2"/>
      <c r="F26" s="2"/>
      <c r="G26" s="2" t="s">
        <v>62</v>
      </c>
      <c r="H26" s="2" t="str">
        <f>IFERROR(INDEX(Labs!$E$2:$E$251,MATCH($B$3,Labs!$B$2:$B$251,0)),"")</f>
        <v>Hemoglobin A1c</v>
      </c>
      <c r="I26" s="2"/>
      <c r="J26" s="2"/>
      <c r="K26" s="2"/>
      <c r="L26" s="2"/>
    </row>
    <row r="27" spans="1:12">
      <c r="A27" s="2" t="s">
        <v>63</v>
      </c>
      <c r="B27" s="2" t="str">
        <f>IFERROR(INDEX(Appointments!$I$2:$I$51,MATCH($B$3,Appointments!$B$2:$B$51,0)),"")</f>
        <v>Chronic care follow-up</v>
      </c>
      <c r="C27" s="2"/>
      <c r="D27" s="2"/>
      <c r="E27" s="2"/>
      <c r="F27" s="2"/>
      <c r="G27" s="2" t="s">
        <v>64</v>
      </c>
      <c r="H27" s="2" t="str">
        <f>IFERROR(INDEX(Labs!$F$2:$F$251,MATCH($B$3,Labs!$B$2:$B$251,0))&amp;" "&amp;INDEX(Labs!$G$2:$G$251,MATCH($B$3,Labs!$B$2:$B$251,0)),"")</f>
        <v>5.1 %</v>
      </c>
      <c r="I27" s="2"/>
      <c r="J27" s="2"/>
      <c r="K27" s="2"/>
      <c r="L27" s="2"/>
    </row>
    <row r="28" spans="1:12">
      <c r="A28" s="2" t="s">
        <v>58</v>
      </c>
      <c r="B28" s="2" t="str">
        <f>IFERROR(INDEX(Appointments!$H$2:$H$51,MATCH($B$3,Appointments!$B$2:$B$51,0)),"")</f>
        <v>Scheduled</v>
      </c>
      <c r="C28" s="2"/>
      <c r="D28" s="2"/>
      <c r="E28" s="2"/>
      <c r="F28" s="2"/>
      <c r="G28" s="2" t="s">
        <v>65</v>
      </c>
      <c r="H28" s="2" t="str">
        <f>IFERROR(INDEX(Labs!$I$2:$I$251,MATCH($B$3,Labs!$B$2:$B$251,0)),"")</f>
        <v>Normal</v>
      </c>
      <c r="I28" s="2"/>
      <c r="J28" s="2"/>
      <c r="K28" s="2"/>
      <c r="L28" s="2"/>
    </row>
  </sheetData>
  <mergeCells count="1">
    <mergeCell ref="A1:L1"/>
  </mergeCells>
  <hyperlinks>
    <hyperlink ref="A10" r:id="rId1" xr:uid="{00000000-0004-0000-0100-000000000000}"/>
    <hyperlink ref="C10" r:id="rId2" xr:uid="{00000000-0004-0000-0100-000001000000}"/>
    <hyperlink ref="E10" r:id="rId3" xr:uid="{00000000-0004-0000-0100-000002000000}"/>
    <hyperlink ref="G10" r:id="rId4" xr:uid="{00000000-0004-0000-0100-000003000000}"/>
    <hyperlink ref="I10" r:id="rId5" xr:uid="{00000000-0004-0000-0100-000004000000}"/>
    <hyperlink ref="K10" r:id="rId6" xr:uid="{00000000-0004-0000-0100-000005000000}"/>
    <hyperlink ref="M10" r:id="rId7" xr:uid="{00000000-0004-0000-0100-000006000000}"/>
    <hyperlink ref="A16" r:id="rId8" xr:uid="{00000000-0004-0000-0100-000007000000}"/>
    <hyperlink ref="G16" r:id="rId9" xr:uid="{00000000-0004-0000-0100-000008000000}"/>
    <hyperlink ref="A25" r:id="rId10" xr:uid="{00000000-0004-0000-0100-000009000000}"/>
    <hyperlink ref="G25" r:id="rId11" xr:uid="{00000000-0004-0000-0100-00000A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Patient_Master!$A$2:$A$51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F9F"/>
  </sheetPr>
  <dimension ref="A1:Z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3" width="14" customWidth="1"/>
    <col min="4" max="4" width="16" customWidth="1"/>
    <col min="5" max="5" width="24" customWidth="1"/>
    <col min="6" max="6" width="13" customWidth="1"/>
    <col min="7" max="7" width="8" customWidth="1"/>
    <col min="8" max="8" width="14" customWidth="1"/>
    <col min="9" max="9" width="12" customWidth="1"/>
    <col min="10" max="10" width="14" customWidth="1"/>
    <col min="11" max="11" width="30" customWidth="1"/>
    <col min="12" max="12" width="24" customWidth="1"/>
    <col min="13" max="14" width="20" customWidth="1"/>
    <col min="15" max="15" width="24" customWidth="1"/>
    <col min="16" max="16" width="14" customWidth="1"/>
    <col min="17" max="18" width="12" customWidth="1"/>
    <col min="19" max="19" width="10" customWidth="1"/>
    <col min="20" max="20" width="18" customWidth="1"/>
    <col min="21" max="22" width="10" customWidth="1"/>
    <col min="23" max="23" width="14" customWidth="1"/>
    <col min="24" max="24" width="28" customWidth="1"/>
    <col min="25" max="25" width="18" customWidth="1"/>
    <col min="26" max="26" width="34" customWidth="1"/>
  </cols>
  <sheetData>
    <row r="1" spans="1:26" ht="30" customHeight="1">
      <c r="A1" s="17" t="s">
        <v>66</v>
      </c>
      <c r="B1" s="17" t="s">
        <v>37</v>
      </c>
      <c r="C1" s="17" t="s">
        <v>67</v>
      </c>
      <c r="D1" s="17" t="s">
        <v>68</v>
      </c>
      <c r="E1" s="17" t="s">
        <v>69</v>
      </c>
      <c r="F1" s="17" t="s">
        <v>38</v>
      </c>
      <c r="G1" s="17" t="s">
        <v>39</v>
      </c>
      <c r="H1" s="17" t="s">
        <v>70</v>
      </c>
      <c r="I1" s="17" t="s">
        <v>71</v>
      </c>
      <c r="J1" s="17" t="s">
        <v>72</v>
      </c>
      <c r="K1" s="17" t="s">
        <v>73</v>
      </c>
      <c r="L1" s="17" t="s">
        <v>74</v>
      </c>
      <c r="M1" s="17" t="s">
        <v>75</v>
      </c>
      <c r="N1" s="17" t="s">
        <v>76</v>
      </c>
      <c r="O1" s="17" t="s">
        <v>41</v>
      </c>
      <c r="P1" s="17" t="s">
        <v>77</v>
      </c>
      <c r="Q1" s="17" t="s">
        <v>78</v>
      </c>
      <c r="R1" s="17" t="s">
        <v>79</v>
      </c>
      <c r="S1" s="17" t="s">
        <v>80</v>
      </c>
      <c r="T1" s="17" t="s">
        <v>81</v>
      </c>
      <c r="U1" s="17" t="s">
        <v>82</v>
      </c>
      <c r="V1" s="17" t="s">
        <v>83</v>
      </c>
      <c r="W1" s="17" t="s">
        <v>84</v>
      </c>
      <c r="X1" s="17" t="s">
        <v>85</v>
      </c>
      <c r="Y1" s="17" t="s">
        <v>86</v>
      </c>
      <c r="Z1" s="17" t="s">
        <v>87</v>
      </c>
    </row>
    <row r="2" spans="1:26">
      <c r="A2" s="18" t="s">
        <v>35</v>
      </c>
      <c r="B2" s="18" t="s">
        <v>88</v>
      </c>
      <c r="C2" s="18" t="s">
        <v>89</v>
      </c>
      <c r="D2" s="18" t="s">
        <v>90</v>
      </c>
      <c r="E2" s="18" t="s">
        <v>91</v>
      </c>
      <c r="F2" s="19">
        <v>14611</v>
      </c>
      <c r="G2" s="20">
        <f ca="1">DATEDIF(F2,TODAY(),"Y")</f>
        <v>86</v>
      </c>
      <c r="H2" s="18" t="s">
        <v>92</v>
      </c>
      <c r="I2" s="18" t="s">
        <v>93</v>
      </c>
      <c r="J2" s="18" t="s">
        <v>94</v>
      </c>
      <c r="K2" s="18" t="s">
        <v>95</v>
      </c>
      <c r="L2" s="18" t="s">
        <v>96</v>
      </c>
      <c r="M2" s="18" t="s">
        <v>97</v>
      </c>
      <c r="N2" s="18" t="s">
        <v>97</v>
      </c>
      <c r="O2" s="18" t="s">
        <v>98</v>
      </c>
      <c r="P2" s="18" t="s">
        <v>99</v>
      </c>
      <c r="Q2" s="18">
        <v>158</v>
      </c>
      <c r="R2" s="18">
        <v>55</v>
      </c>
      <c r="S2" s="20">
        <f>IFERROR(R2/((Q2/100)^2),"")</f>
        <v>22.031725684986377</v>
      </c>
      <c r="T2" s="18" t="s">
        <v>100</v>
      </c>
      <c r="U2" s="18" t="s">
        <v>101</v>
      </c>
      <c r="V2" s="18" t="s">
        <v>102</v>
      </c>
      <c r="W2" s="18" t="s">
        <v>103</v>
      </c>
      <c r="X2" s="18" t="s">
        <v>104</v>
      </c>
      <c r="Y2" s="18" t="s">
        <v>105</v>
      </c>
      <c r="Z2" s="18" t="s">
        <v>106</v>
      </c>
    </row>
    <row r="3" spans="1:26">
      <c r="A3" s="18" t="s">
        <v>107</v>
      </c>
      <c r="B3" s="18" t="s">
        <v>108</v>
      </c>
      <c r="C3" s="18" t="s">
        <v>109</v>
      </c>
      <c r="D3" s="18" t="s">
        <v>110</v>
      </c>
      <c r="E3" s="18" t="s">
        <v>111</v>
      </c>
      <c r="F3" s="19">
        <v>17330</v>
      </c>
      <c r="G3" s="20">
        <f ca="1">DATEDIF(F3,TODAY(),"Y")</f>
        <v>79</v>
      </c>
      <c r="H3" s="18" t="s">
        <v>112</v>
      </c>
      <c r="I3" s="18" t="s">
        <v>113</v>
      </c>
      <c r="J3" s="18" t="s">
        <v>114</v>
      </c>
      <c r="K3" s="18" t="s">
        <v>115</v>
      </c>
      <c r="L3" s="18" t="s">
        <v>116</v>
      </c>
      <c r="M3" s="18" t="s">
        <v>117</v>
      </c>
      <c r="N3" s="18" t="s">
        <v>97</v>
      </c>
      <c r="O3" s="18" t="s">
        <v>118</v>
      </c>
      <c r="P3" s="18" t="s">
        <v>99</v>
      </c>
      <c r="Q3" s="18">
        <v>172</v>
      </c>
      <c r="R3" s="18">
        <v>62</v>
      </c>
      <c r="S3" s="20">
        <f>IFERROR(R3/((Q3/100)^2),"")</f>
        <v>20.957274202271499</v>
      </c>
      <c r="T3" s="18" t="s">
        <v>119</v>
      </c>
      <c r="U3" s="18" t="s">
        <v>120</v>
      </c>
      <c r="V3" s="18" t="s">
        <v>121</v>
      </c>
      <c r="W3" s="18" t="s">
        <v>103</v>
      </c>
      <c r="X3" s="18" t="s">
        <v>122</v>
      </c>
      <c r="Y3" s="18" t="s">
        <v>123</v>
      </c>
      <c r="Z3" s="18" t="s">
        <v>124</v>
      </c>
    </row>
    <row r="4" spans="1:26">
      <c r="A4" s="18" t="s">
        <v>125</v>
      </c>
      <c r="B4" s="18" t="s">
        <v>126</v>
      </c>
      <c r="C4" s="18" t="s">
        <v>127</v>
      </c>
      <c r="D4" s="18" t="s">
        <v>128</v>
      </c>
      <c r="E4" s="18" t="s">
        <v>129</v>
      </c>
      <c r="F4" s="19">
        <v>20051</v>
      </c>
      <c r="G4" s="20">
        <f ca="1">DATEDIF(F4,TODAY(),"Y")</f>
        <v>71</v>
      </c>
      <c r="H4" s="18" t="s">
        <v>92</v>
      </c>
      <c r="I4" s="18" t="s">
        <v>93</v>
      </c>
      <c r="J4" s="18" t="s">
        <v>130</v>
      </c>
      <c r="K4" s="18" t="s">
        <v>131</v>
      </c>
      <c r="L4" s="18" t="s">
        <v>132</v>
      </c>
      <c r="M4" s="18" t="s">
        <v>133</v>
      </c>
      <c r="N4" s="18" t="s">
        <v>97</v>
      </c>
      <c r="O4" s="18" t="s">
        <v>134</v>
      </c>
      <c r="P4" s="18" t="s">
        <v>99</v>
      </c>
      <c r="Q4" s="18">
        <v>164</v>
      </c>
      <c r="R4" s="18">
        <v>69</v>
      </c>
      <c r="S4" s="20">
        <f>IFERROR(R4/((Q4/100)^2),"")</f>
        <v>25.654372397382513</v>
      </c>
      <c r="T4" s="18" t="s">
        <v>135</v>
      </c>
      <c r="U4" s="18" t="s">
        <v>136</v>
      </c>
      <c r="V4" s="18" t="s">
        <v>137</v>
      </c>
      <c r="W4" s="18" t="s">
        <v>103</v>
      </c>
      <c r="X4" s="18" t="s">
        <v>138</v>
      </c>
      <c r="Y4" s="18" t="s">
        <v>139</v>
      </c>
      <c r="Z4" s="18" t="s">
        <v>140</v>
      </c>
    </row>
    <row r="5" spans="1:26">
      <c r="A5" s="18" t="s">
        <v>141</v>
      </c>
      <c r="B5" s="18" t="s">
        <v>142</v>
      </c>
      <c r="C5" s="18" t="s">
        <v>143</v>
      </c>
      <c r="D5" s="18" t="s">
        <v>144</v>
      </c>
      <c r="E5" s="18" t="s">
        <v>145</v>
      </c>
      <c r="F5" s="19">
        <v>22378</v>
      </c>
      <c r="G5" s="20">
        <f ca="1">DATEDIF(F5,TODAY(),"Y")</f>
        <v>65</v>
      </c>
      <c r="H5" s="18" t="s">
        <v>112</v>
      </c>
      <c r="I5" s="18" t="s">
        <v>113</v>
      </c>
      <c r="J5" s="18" t="s">
        <v>146</v>
      </c>
      <c r="K5" s="18" t="s">
        <v>147</v>
      </c>
      <c r="L5" s="18" t="s">
        <v>96</v>
      </c>
      <c r="M5" s="18" t="s">
        <v>148</v>
      </c>
      <c r="N5" s="18" t="s">
        <v>97</v>
      </c>
      <c r="O5" s="18" t="s">
        <v>149</v>
      </c>
      <c r="P5" s="18" t="s">
        <v>99</v>
      </c>
      <c r="Q5" s="18">
        <v>180</v>
      </c>
      <c r="R5" s="18">
        <v>76</v>
      </c>
      <c r="S5" s="20">
        <f>IFERROR(R5/((Q5/100)^2),"")</f>
        <v>23.456790123456788</v>
      </c>
      <c r="T5" s="18" t="s">
        <v>150</v>
      </c>
      <c r="U5" s="18" t="s">
        <v>136</v>
      </c>
      <c r="V5" s="18" t="s">
        <v>151</v>
      </c>
      <c r="W5" s="18" t="s">
        <v>103</v>
      </c>
      <c r="X5" s="18" t="s">
        <v>152</v>
      </c>
      <c r="Y5" s="18" t="s">
        <v>153</v>
      </c>
      <c r="Z5" s="18" t="s">
        <v>154</v>
      </c>
    </row>
    <row r="6" spans="1:26">
      <c r="A6" s="18" t="s">
        <v>155</v>
      </c>
      <c r="B6" s="18" t="s">
        <v>156</v>
      </c>
      <c r="C6" s="18" t="s">
        <v>157</v>
      </c>
      <c r="D6" s="18" t="s">
        <v>158</v>
      </c>
      <c r="E6" s="18" t="s">
        <v>159</v>
      </c>
      <c r="F6" s="19">
        <v>25099</v>
      </c>
      <c r="G6" s="20">
        <f ca="1">DATEDIF(F6,TODAY(),"Y")</f>
        <v>58</v>
      </c>
      <c r="H6" s="18" t="s">
        <v>92</v>
      </c>
      <c r="I6" s="18" t="s">
        <v>93</v>
      </c>
      <c r="J6" s="18" t="s">
        <v>94</v>
      </c>
      <c r="K6" s="18" t="s">
        <v>160</v>
      </c>
      <c r="L6" s="18" t="s">
        <v>116</v>
      </c>
      <c r="M6" s="18" t="s">
        <v>161</v>
      </c>
      <c r="N6" s="18" t="s">
        <v>97</v>
      </c>
      <c r="O6" s="18" t="s">
        <v>162</v>
      </c>
      <c r="P6" s="18" t="s">
        <v>99</v>
      </c>
      <c r="Q6" s="18">
        <v>170</v>
      </c>
      <c r="R6" s="18">
        <v>83</v>
      </c>
      <c r="S6" s="20">
        <f>IFERROR(R6/((Q6/100)^2),"")</f>
        <v>28.719723183391007</v>
      </c>
      <c r="T6" s="18" t="s">
        <v>163</v>
      </c>
      <c r="U6" s="18" t="s">
        <v>164</v>
      </c>
      <c r="V6" s="18" t="s">
        <v>165</v>
      </c>
      <c r="W6" s="18" t="s">
        <v>103</v>
      </c>
      <c r="X6" s="18" t="s">
        <v>166</v>
      </c>
      <c r="Y6" s="18" t="s">
        <v>167</v>
      </c>
      <c r="Z6" s="18" t="s">
        <v>168</v>
      </c>
    </row>
    <row r="7" spans="1:26">
      <c r="A7" s="18" t="s">
        <v>169</v>
      </c>
      <c r="B7" s="18" t="s">
        <v>170</v>
      </c>
      <c r="C7" s="18" t="s">
        <v>171</v>
      </c>
      <c r="D7" s="18" t="s">
        <v>172</v>
      </c>
      <c r="E7" s="18" t="s">
        <v>173</v>
      </c>
      <c r="F7" s="19">
        <v>27427</v>
      </c>
      <c r="G7" s="20">
        <f ca="1">DATEDIF(F7,TODAY(),"Y")</f>
        <v>51</v>
      </c>
      <c r="H7" s="18" t="s">
        <v>112</v>
      </c>
      <c r="I7" s="18" t="s">
        <v>113</v>
      </c>
      <c r="J7" s="18" t="s">
        <v>114</v>
      </c>
      <c r="K7" s="18" t="s">
        <v>174</v>
      </c>
      <c r="L7" s="18" t="s">
        <v>132</v>
      </c>
      <c r="M7" s="18" t="s">
        <v>175</v>
      </c>
      <c r="N7" s="18" t="s">
        <v>97</v>
      </c>
      <c r="O7" s="18" t="s">
        <v>176</v>
      </c>
      <c r="P7" s="18" t="s">
        <v>99</v>
      </c>
      <c r="Q7" s="18">
        <v>188</v>
      </c>
      <c r="R7" s="18">
        <v>90</v>
      </c>
      <c r="S7" s="20">
        <f>IFERROR(R7/((Q7/100)^2),"")</f>
        <v>25.464010864644639</v>
      </c>
      <c r="T7" s="18" t="s">
        <v>177</v>
      </c>
      <c r="U7" s="18" t="s">
        <v>178</v>
      </c>
      <c r="V7" s="18" t="s">
        <v>179</v>
      </c>
      <c r="W7" s="18" t="s">
        <v>103</v>
      </c>
      <c r="X7" s="18" t="s">
        <v>180</v>
      </c>
      <c r="Y7" s="18" t="s">
        <v>181</v>
      </c>
      <c r="Z7" s="18" t="s">
        <v>182</v>
      </c>
    </row>
    <row r="8" spans="1:26">
      <c r="A8" s="18" t="s">
        <v>183</v>
      </c>
      <c r="B8" s="18" t="s">
        <v>184</v>
      </c>
      <c r="C8" s="18" t="s">
        <v>185</v>
      </c>
      <c r="D8" s="18" t="s">
        <v>186</v>
      </c>
      <c r="E8" s="18" t="s">
        <v>187</v>
      </c>
      <c r="F8" s="19">
        <v>30145</v>
      </c>
      <c r="G8" s="20">
        <f ca="1">DATEDIF(F8,TODAY(),"Y")</f>
        <v>44</v>
      </c>
      <c r="H8" s="18" t="s">
        <v>92</v>
      </c>
      <c r="I8" s="18" t="s">
        <v>93</v>
      </c>
      <c r="J8" s="18" t="s">
        <v>130</v>
      </c>
      <c r="K8" s="18" t="s">
        <v>132</v>
      </c>
      <c r="L8" s="18" t="s">
        <v>96</v>
      </c>
      <c r="M8" s="18" t="s">
        <v>97</v>
      </c>
      <c r="N8" s="18" t="s">
        <v>97</v>
      </c>
      <c r="O8" s="18" t="s">
        <v>98</v>
      </c>
      <c r="P8" s="18" t="s">
        <v>99</v>
      </c>
      <c r="Q8" s="18">
        <v>176</v>
      </c>
      <c r="R8" s="18">
        <v>97</v>
      </c>
      <c r="S8" s="20">
        <f>IFERROR(R8/((Q8/100)^2),"")</f>
        <v>31.31456611570248</v>
      </c>
      <c r="T8" s="18" t="s">
        <v>188</v>
      </c>
      <c r="U8" s="18" t="s">
        <v>189</v>
      </c>
      <c r="V8" s="18" t="s">
        <v>190</v>
      </c>
      <c r="W8" s="18" t="s">
        <v>103</v>
      </c>
      <c r="X8" s="18" t="s">
        <v>191</v>
      </c>
      <c r="Y8" s="18" t="s">
        <v>192</v>
      </c>
      <c r="Z8" s="18" t="s">
        <v>193</v>
      </c>
    </row>
    <row r="9" spans="1:26">
      <c r="A9" s="18" t="s">
        <v>194</v>
      </c>
      <c r="B9" s="18" t="s">
        <v>195</v>
      </c>
      <c r="C9" s="18" t="s">
        <v>196</v>
      </c>
      <c r="D9" s="18" t="s">
        <v>197</v>
      </c>
      <c r="E9" s="18" t="s">
        <v>198</v>
      </c>
      <c r="F9" s="19">
        <v>32866</v>
      </c>
      <c r="G9" s="20">
        <f ca="1">DATEDIF(F9,TODAY(),"Y")</f>
        <v>36</v>
      </c>
      <c r="H9" s="18" t="s">
        <v>112</v>
      </c>
      <c r="I9" s="18" t="s">
        <v>113</v>
      </c>
      <c r="J9" s="18" t="s">
        <v>146</v>
      </c>
      <c r="K9" s="18" t="s">
        <v>95</v>
      </c>
      <c r="L9" s="18" t="s">
        <v>116</v>
      </c>
      <c r="M9" s="18" t="s">
        <v>117</v>
      </c>
      <c r="N9" s="18" t="s">
        <v>97</v>
      </c>
      <c r="O9" s="18" t="s">
        <v>118</v>
      </c>
      <c r="P9" s="18" t="s">
        <v>99</v>
      </c>
      <c r="Q9" s="18">
        <v>171</v>
      </c>
      <c r="R9" s="18">
        <v>104</v>
      </c>
      <c r="S9" s="20">
        <f>IFERROR(R9/((Q9/100)^2),"")</f>
        <v>35.566499093738251</v>
      </c>
      <c r="T9" s="18" t="s">
        <v>199</v>
      </c>
      <c r="U9" s="18" t="s">
        <v>189</v>
      </c>
      <c r="V9" s="18" t="s">
        <v>200</v>
      </c>
      <c r="W9" s="18" t="s">
        <v>103</v>
      </c>
      <c r="X9" s="18" t="s">
        <v>201</v>
      </c>
      <c r="Y9" s="18" t="s">
        <v>202</v>
      </c>
      <c r="Z9" s="18" t="s">
        <v>203</v>
      </c>
    </row>
    <row r="10" spans="1:26">
      <c r="A10" s="18" t="s">
        <v>204</v>
      </c>
      <c r="B10" s="18" t="s">
        <v>205</v>
      </c>
      <c r="C10" s="18" t="s">
        <v>206</v>
      </c>
      <c r="D10" s="18" t="s">
        <v>207</v>
      </c>
      <c r="E10" s="18" t="s">
        <v>208</v>
      </c>
      <c r="F10" s="19">
        <v>35193</v>
      </c>
      <c r="G10" s="20">
        <f ca="1">DATEDIF(F10,TODAY(),"Y")</f>
        <v>30</v>
      </c>
      <c r="H10" s="18" t="s">
        <v>92</v>
      </c>
      <c r="I10" s="18" t="s">
        <v>93</v>
      </c>
      <c r="J10" s="18" t="s">
        <v>94</v>
      </c>
      <c r="K10" s="18" t="s">
        <v>115</v>
      </c>
      <c r="L10" s="18" t="s">
        <v>132</v>
      </c>
      <c r="M10" s="18" t="s">
        <v>133</v>
      </c>
      <c r="N10" s="18" t="s">
        <v>97</v>
      </c>
      <c r="O10" s="18" t="s">
        <v>134</v>
      </c>
      <c r="P10" s="18" t="s">
        <v>99</v>
      </c>
      <c r="Q10" s="18">
        <v>182</v>
      </c>
      <c r="R10" s="18">
        <v>111</v>
      </c>
      <c r="S10" s="20">
        <f>IFERROR(R10/((Q10/100)^2),"")</f>
        <v>33.510445598357684</v>
      </c>
      <c r="T10" s="18" t="s">
        <v>209</v>
      </c>
      <c r="U10" s="18" t="s">
        <v>210</v>
      </c>
      <c r="V10" s="18" t="s">
        <v>211</v>
      </c>
      <c r="W10" s="18" t="s">
        <v>103</v>
      </c>
      <c r="X10" s="18" t="s">
        <v>212</v>
      </c>
      <c r="Y10" s="18" t="s">
        <v>213</v>
      </c>
      <c r="Z10" s="18" t="s">
        <v>214</v>
      </c>
    </row>
    <row r="11" spans="1:26">
      <c r="A11" s="18" t="s">
        <v>215</v>
      </c>
      <c r="B11" s="18" t="s">
        <v>216</v>
      </c>
      <c r="C11" s="18" t="s">
        <v>217</v>
      </c>
      <c r="D11" s="18" t="s">
        <v>218</v>
      </c>
      <c r="E11" s="18" t="s">
        <v>219</v>
      </c>
      <c r="F11" s="19">
        <v>37913</v>
      </c>
      <c r="G11" s="20">
        <f ca="1">DATEDIF(F11,TODAY(),"Y")</f>
        <v>22</v>
      </c>
      <c r="H11" s="18" t="s">
        <v>112</v>
      </c>
      <c r="I11" s="18" t="s">
        <v>113</v>
      </c>
      <c r="J11" s="18" t="s">
        <v>114</v>
      </c>
      <c r="K11" s="18" t="s">
        <v>131</v>
      </c>
      <c r="L11" s="18" t="s">
        <v>96</v>
      </c>
      <c r="M11" s="18" t="s">
        <v>148</v>
      </c>
      <c r="N11" s="18" t="s">
        <v>97</v>
      </c>
      <c r="O11" s="18" t="s">
        <v>149</v>
      </c>
      <c r="P11" s="18" t="s">
        <v>99</v>
      </c>
      <c r="Q11" s="18">
        <v>179</v>
      </c>
      <c r="R11" s="18">
        <v>60</v>
      </c>
      <c r="S11" s="20">
        <f>IFERROR(R11/((Q11/100)^2),"")</f>
        <v>18.726007303142847</v>
      </c>
      <c r="T11" s="18" t="s">
        <v>220</v>
      </c>
      <c r="U11" s="18" t="s">
        <v>221</v>
      </c>
      <c r="V11" s="18" t="s">
        <v>222</v>
      </c>
      <c r="W11" s="18" t="s">
        <v>103</v>
      </c>
      <c r="X11" s="18" t="s">
        <v>223</v>
      </c>
      <c r="Y11" s="18" t="s">
        <v>224</v>
      </c>
      <c r="Z11" s="18" t="s">
        <v>225</v>
      </c>
    </row>
    <row r="12" spans="1:26">
      <c r="A12" s="18" t="s">
        <v>226</v>
      </c>
      <c r="B12" s="18" t="s">
        <v>227</v>
      </c>
      <c r="C12" s="18" t="s">
        <v>228</v>
      </c>
      <c r="D12" s="18" t="s">
        <v>229</v>
      </c>
      <c r="E12" s="18" t="s">
        <v>230</v>
      </c>
      <c r="F12" s="19">
        <v>16134</v>
      </c>
      <c r="G12" s="20">
        <f ca="1">DATEDIF(F12,TODAY(),"Y")</f>
        <v>82</v>
      </c>
      <c r="H12" s="18" t="s">
        <v>92</v>
      </c>
      <c r="I12" s="18" t="s">
        <v>93</v>
      </c>
      <c r="J12" s="18" t="s">
        <v>130</v>
      </c>
      <c r="K12" s="18" t="s">
        <v>147</v>
      </c>
      <c r="L12" s="18" t="s">
        <v>116</v>
      </c>
      <c r="M12" s="18" t="s">
        <v>161</v>
      </c>
      <c r="N12" s="18" t="s">
        <v>97</v>
      </c>
      <c r="O12" s="18" t="s">
        <v>162</v>
      </c>
      <c r="P12" s="18" t="s">
        <v>99</v>
      </c>
      <c r="Q12" s="18">
        <v>160</v>
      </c>
      <c r="R12" s="18">
        <v>67</v>
      </c>
      <c r="S12" s="20">
        <f>IFERROR(R12/((Q12/100)^2),"")</f>
        <v>26.171874999999996</v>
      </c>
      <c r="T12" s="18" t="s">
        <v>231</v>
      </c>
      <c r="U12" s="18" t="s">
        <v>232</v>
      </c>
      <c r="V12" s="18" t="s">
        <v>233</v>
      </c>
      <c r="W12" s="18" t="s">
        <v>103</v>
      </c>
      <c r="X12" s="18" t="s">
        <v>234</v>
      </c>
      <c r="Y12" s="18" t="s">
        <v>235</v>
      </c>
      <c r="Z12" s="18" t="s">
        <v>236</v>
      </c>
    </row>
    <row r="13" spans="1:26">
      <c r="A13" s="18" t="s">
        <v>237</v>
      </c>
      <c r="B13" s="18" t="s">
        <v>238</v>
      </c>
      <c r="C13" s="18" t="s">
        <v>239</v>
      </c>
      <c r="D13" s="18" t="s">
        <v>240</v>
      </c>
      <c r="E13" s="18" t="s">
        <v>241</v>
      </c>
      <c r="F13" s="19">
        <v>18854</v>
      </c>
      <c r="G13" s="20">
        <f ca="1">DATEDIF(F13,TODAY(),"Y")</f>
        <v>75</v>
      </c>
      <c r="H13" s="18" t="s">
        <v>112</v>
      </c>
      <c r="I13" s="18" t="s">
        <v>113</v>
      </c>
      <c r="J13" s="18" t="s">
        <v>146</v>
      </c>
      <c r="K13" s="18" t="s">
        <v>160</v>
      </c>
      <c r="L13" s="18" t="s">
        <v>132</v>
      </c>
      <c r="M13" s="18" t="s">
        <v>175</v>
      </c>
      <c r="N13" s="18" t="s">
        <v>97</v>
      </c>
      <c r="O13" s="18" t="s">
        <v>176</v>
      </c>
      <c r="P13" s="18" t="s">
        <v>99</v>
      </c>
      <c r="Q13" s="18">
        <v>187</v>
      </c>
      <c r="R13" s="18">
        <v>74</v>
      </c>
      <c r="S13" s="20">
        <f>IFERROR(R13/((Q13/100)^2),"")</f>
        <v>21.161600274528865</v>
      </c>
      <c r="T13" s="18" t="s">
        <v>242</v>
      </c>
      <c r="U13" s="18" t="s">
        <v>243</v>
      </c>
      <c r="V13" s="18" t="s">
        <v>244</v>
      </c>
      <c r="W13" s="18" t="s">
        <v>103</v>
      </c>
      <c r="X13" s="18" t="s">
        <v>245</v>
      </c>
      <c r="Y13" s="18" t="s">
        <v>246</v>
      </c>
      <c r="Z13" s="18" t="s">
        <v>247</v>
      </c>
    </row>
    <row r="14" spans="1:26">
      <c r="A14" s="18" t="s">
        <v>248</v>
      </c>
      <c r="B14" s="18" t="s">
        <v>249</v>
      </c>
      <c r="C14" s="18" t="s">
        <v>250</v>
      </c>
      <c r="D14" s="18" t="s">
        <v>251</v>
      </c>
      <c r="E14" s="18" t="s">
        <v>252</v>
      </c>
      <c r="F14" s="19">
        <v>21210</v>
      </c>
      <c r="G14" s="20">
        <f ca="1">DATEDIF(F14,TODAY(),"Y")</f>
        <v>68</v>
      </c>
      <c r="H14" s="18" t="s">
        <v>92</v>
      </c>
      <c r="I14" s="18" t="s">
        <v>93</v>
      </c>
      <c r="J14" s="18" t="s">
        <v>94</v>
      </c>
      <c r="K14" s="18" t="s">
        <v>174</v>
      </c>
      <c r="L14" s="18" t="s">
        <v>96</v>
      </c>
      <c r="M14" s="18" t="s">
        <v>97</v>
      </c>
      <c r="N14" s="18" t="s">
        <v>97</v>
      </c>
      <c r="O14" s="18" t="s">
        <v>98</v>
      </c>
      <c r="P14" s="18" t="s">
        <v>99</v>
      </c>
      <c r="Q14" s="18">
        <v>166</v>
      </c>
      <c r="R14" s="18">
        <v>81</v>
      </c>
      <c r="S14" s="20">
        <f>IFERROR(R14/((Q14/100)^2),"")</f>
        <v>29.3946871824648</v>
      </c>
      <c r="T14" s="18" t="s">
        <v>253</v>
      </c>
      <c r="U14" s="18" t="s">
        <v>254</v>
      </c>
      <c r="V14" s="18" t="s">
        <v>255</v>
      </c>
      <c r="W14" s="18" t="s">
        <v>103</v>
      </c>
      <c r="X14" s="18" t="s">
        <v>256</v>
      </c>
      <c r="Y14" s="18" t="s">
        <v>257</v>
      </c>
      <c r="Z14" s="18" t="s">
        <v>258</v>
      </c>
    </row>
    <row r="15" spans="1:26">
      <c r="A15" s="18" t="s">
        <v>259</v>
      </c>
      <c r="B15" s="18" t="s">
        <v>260</v>
      </c>
      <c r="C15" s="18" t="s">
        <v>261</v>
      </c>
      <c r="D15" s="18" t="s">
        <v>262</v>
      </c>
      <c r="E15" s="18" t="s">
        <v>263</v>
      </c>
      <c r="F15" s="19">
        <v>23902</v>
      </c>
      <c r="G15" s="20">
        <f ca="1">DATEDIF(F15,TODAY(),"Y")</f>
        <v>61</v>
      </c>
      <c r="H15" s="18" t="s">
        <v>112</v>
      </c>
      <c r="I15" s="18" t="s">
        <v>113</v>
      </c>
      <c r="J15" s="18" t="s">
        <v>114</v>
      </c>
      <c r="K15" s="18" t="s">
        <v>132</v>
      </c>
      <c r="L15" s="18" t="s">
        <v>116</v>
      </c>
      <c r="M15" s="18" t="s">
        <v>117</v>
      </c>
      <c r="N15" s="18" t="s">
        <v>97</v>
      </c>
      <c r="O15" s="18" t="s">
        <v>118</v>
      </c>
      <c r="P15" s="18" t="s">
        <v>99</v>
      </c>
      <c r="Q15" s="18">
        <v>170</v>
      </c>
      <c r="R15" s="18">
        <v>88</v>
      </c>
      <c r="S15" s="20">
        <f>IFERROR(R15/((Q15/100)^2),"")</f>
        <v>30.449826989619382</v>
      </c>
      <c r="T15" s="18" t="s">
        <v>264</v>
      </c>
      <c r="U15" s="18" t="s">
        <v>265</v>
      </c>
      <c r="V15" s="18" t="s">
        <v>266</v>
      </c>
      <c r="W15" s="18" t="s">
        <v>103</v>
      </c>
      <c r="X15" s="18" t="s">
        <v>267</v>
      </c>
      <c r="Y15" s="18" t="s">
        <v>268</v>
      </c>
      <c r="Z15" s="18" t="s">
        <v>269</v>
      </c>
    </row>
    <row r="16" spans="1:26">
      <c r="A16" s="18" t="s">
        <v>270</v>
      </c>
      <c r="B16" s="18" t="s">
        <v>271</v>
      </c>
      <c r="C16" s="18" t="s">
        <v>272</v>
      </c>
      <c r="D16" s="18" t="s">
        <v>273</v>
      </c>
      <c r="E16" s="18" t="s">
        <v>274</v>
      </c>
      <c r="F16" s="19">
        <v>26623</v>
      </c>
      <c r="G16" s="20">
        <f ca="1">DATEDIF(F16,TODAY(),"Y")</f>
        <v>53</v>
      </c>
      <c r="H16" s="18" t="s">
        <v>92</v>
      </c>
      <c r="I16" s="18" t="s">
        <v>93</v>
      </c>
      <c r="J16" s="18" t="s">
        <v>130</v>
      </c>
      <c r="K16" s="18" t="s">
        <v>95</v>
      </c>
      <c r="L16" s="18" t="s">
        <v>132</v>
      </c>
      <c r="M16" s="18" t="s">
        <v>133</v>
      </c>
      <c r="N16" s="18" t="s">
        <v>97</v>
      </c>
      <c r="O16" s="18" t="s">
        <v>134</v>
      </c>
      <c r="P16" s="18" t="s">
        <v>99</v>
      </c>
      <c r="Q16" s="18">
        <v>172</v>
      </c>
      <c r="R16" s="18">
        <v>95</v>
      </c>
      <c r="S16" s="20">
        <f>IFERROR(R16/((Q16/100)^2),"")</f>
        <v>32.11195240670633</v>
      </c>
      <c r="T16" s="18" t="s">
        <v>275</v>
      </c>
      <c r="U16" s="18" t="s">
        <v>276</v>
      </c>
      <c r="V16" s="18" t="s">
        <v>277</v>
      </c>
      <c r="W16" s="18" t="s">
        <v>103</v>
      </c>
      <c r="X16" s="18" t="s">
        <v>278</v>
      </c>
      <c r="Y16" s="18" t="s">
        <v>279</v>
      </c>
      <c r="Z16" s="18" t="s">
        <v>280</v>
      </c>
    </row>
    <row r="17" spans="1:26">
      <c r="A17" s="18" t="s">
        <v>281</v>
      </c>
      <c r="B17" s="18" t="s">
        <v>282</v>
      </c>
      <c r="C17" s="18" t="s">
        <v>283</v>
      </c>
      <c r="D17" s="18" t="s">
        <v>284</v>
      </c>
      <c r="E17" s="18" t="s">
        <v>285</v>
      </c>
      <c r="F17" s="19">
        <v>28949</v>
      </c>
      <c r="G17" s="20">
        <f ca="1">DATEDIF(F17,TODAY(),"Y")</f>
        <v>47</v>
      </c>
      <c r="H17" s="18" t="s">
        <v>112</v>
      </c>
      <c r="I17" s="18" t="s">
        <v>113</v>
      </c>
      <c r="J17" s="18" t="s">
        <v>146</v>
      </c>
      <c r="K17" s="18" t="s">
        <v>115</v>
      </c>
      <c r="L17" s="18" t="s">
        <v>96</v>
      </c>
      <c r="M17" s="18" t="s">
        <v>148</v>
      </c>
      <c r="N17" s="18" t="s">
        <v>97</v>
      </c>
      <c r="O17" s="18" t="s">
        <v>149</v>
      </c>
      <c r="P17" s="18" t="s">
        <v>99</v>
      </c>
      <c r="Q17" s="18">
        <v>178</v>
      </c>
      <c r="R17" s="18">
        <v>102</v>
      </c>
      <c r="S17" s="20">
        <f>IFERROR(R17/((Q17/100)^2),"")</f>
        <v>32.192904936245419</v>
      </c>
      <c r="T17" s="18" t="s">
        <v>286</v>
      </c>
      <c r="U17" s="18" t="s">
        <v>287</v>
      </c>
      <c r="V17" s="18" t="s">
        <v>288</v>
      </c>
      <c r="W17" s="18" t="s">
        <v>103</v>
      </c>
      <c r="X17" s="18" t="s">
        <v>289</v>
      </c>
      <c r="Y17" s="18" t="s">
        <v>290</v>
      </c>
      <c r="Z17" s="18" t="s">
        <v>291</v>
      </c>
    </row>
    <row r="18" spans="1:26">
      <c r="A18" s="18" t="s">
        <v>292</v>
      </c>
      <c r="B18" s="18" t="s">
        <v>293</v>
      </c>
      <c r="C18" s="18" t="s">
        <v>294</v>
      </c>
      <c r="D18" s="18" t="s">
        <v>295</v>
      </c>
      <c r="E18" s="18" t="s">
        <v>296</v>
      </c>
      <c r="F18" s="19">
        <v>31670</v>
      </c>
      <c r="G18" s="20">
        <f ca="1">DATEDIF(F18,TODAY(),"Y")</f>
        <v>40</v>
      </c>
      <c r="H18" s="18" t="s">
        <v>92</v>
      </c>
      <c r="I18" s="18" t="s">
        <v>93</v>
      </c>
      <c r="J18" s="18" t="s">
        <v>94</v>
      </c>
      <c r="K18" s="18" t="s">
        <v>131</v>
      </c>
      <c r="L18" s="18" t="s">
        <v>116</v>
      </c>
      <c r="M18" s="18" t="s">
        <v>161</v>
      </c>
      <c r="N18" s="18" t="s">
        <v>97</v>
      </c>
      <c r="O18" s="18" t="s">
        <v>162</v>
      </c>
      <c r="P18" s="18" t="s">
        <v>99</v>
      </c>
      <c r="Q18" s="18">
        <v>178</v>
      </c>
      <c r="R18" s="18">
        <v>109</v>
      </c>
      <c r="S18" s="20">
        <f>IFERROR(R18/((Q18/100)^2),"")</f>
        <v>34.402221941674028</v>
      </c>
      <c r="T18" s="18" t="s">
        <v>297</v>
      </c>
      <c r="U18" s="18" t="s">
        <v>298</v>
      </c>
      <c r="V18" s="18" t="s">
        <v>299</v>
      </c>
      <c r="W18" s="18" t="s">
        <v>103</v>
      </c>
      <c r="X18" s="18" t="s">
        <v>300</v>
      </c>
      <c r="Y18" s="18" t="s">
        <v>301</v>
      </c>
      <c r="Z18" s="18" t="s">
        <v>302</v>
      </c>
    </row>
    <row r="19" spans="1:26">
      <c r="A19" s="18" t="s">
        <v>303</v>
      </c>
      <c r="B19" s="18" t="s">
        <v>304</v>
      </c>
      <c r="C19" s="18" t="s">
        <v>305</v>
      </c>
      <c r="D19" s="18" t="s">
        <v>306</v>
      </c>
      <c r="E19" s="18" t="s">
        <v>307</v>
      </c>
      <c r="F19" s="19">
        <v>34026</v>
      </c>
      <c r="G19" s="20">
        <f ca="1">DATEDIF(F19,TODAY(),"Y")</f>
        <v>33</v>
      </c>
      <c r="H19" s="18" t="s">
        <v>112</v>
      </c>
      <c r="I19" s="18" t="s">
        <v>113</v>
      </c>
      <c r="J19" s="18" t="s">
        <v>114</v>
      </c>
      <c r="K19" s="18" t="s">
        <v>147</v>
      </c>
      <c r="L19" s="18" t="s">
        <v>132</v>
      </c>
      <c r="M19" s="18" t="s">
        <v>175</v>
      </c>
      <c r="N19" s="18" t="s">
        <v>97</v>
      </c>
      <c r="O19" s="18" t="s">
        <v>176</v>
      </c>
      <c r="P19" s="18" t="s">
        <v>99</v>
      </c>
      <c r="Q19" s="18">
        <v>186</v>
      </c>
      <c r="R19" s="18">
        <v>58</v>
      </c>
      <c r="S19" s="20">
        <f>IFERROR(R19/((Q19/100)^2),"")</f>
        <v>16.76494392415308</v>
      </c>
      <c r="T19" s="18" t="s">
        <v>250</v>
      </c>
      <c r="U19" s="18" t="s">
        <v>308</v>
      </c>
      <c r="V19" s="18" t="s">
        <v>309</v>
      </c>
      <c r="W19" s="18" t="s">
        <v>103</v>
      </c>
      <c r="X19" s="18" t="s">
        <v>310</v>
      </c>
      <c r="Y19" s="18" t="s">
        <v>311</v>
      </c>
      <c r="Z19" s="18" t="s">
        <v>312</v>
      </c>
    </row>
    <row r="20" spans="1:26">
      <c r="A20" s="18" t="s">
        <v>313</v>
      </c>
      <c r="B20" s="18" t="s">
        <v>314</v>
      </c>
      <c r="C20" s="18" t="s">
        <v>315</v>
      </c>
      <c r="D20" s="18" t="s">
        <v>316</v>
      </c>
      <c r="E20" s="18" t="s">
        <v>317</v>
      </c>
      <c r="F20" s="19">
        <v>36717</v>
      </c>
      <c r="G20" s="20">
        <f ca="1">DATEDIF(F20,TODAY(),"Y")</f>
        <v>26</v>
      </c>
      <c r="H20" s="18" t="s">
        <v>92</v>
      </c>
      <c r="I20" s="18" t="s">
        <v>93</v>
      </c>
      <c r="J20" s="18" t="s">
        <v>130</v>
      </c>
      <c r="K20" s="18" t="s">
        <v>160</v>
      </c>
      <c r="L20" s="18" t="s">
        <v>96</v>
      </c>
      <c r="M20" s="18" t="s">
        <v>97</v>
      </c>
      <c r="N20" s="18" t="s">
        <v>97</v>
      </c>
      <c r="O20" s="18" t="s">
        <v>98</v>
      </c>
      <c r="P20" s="18" t="s">
        <v>99</v>
      </c>
      <c r="Q20" s="18">
        <v>184</v>
      </c>
      <c r="R20" s="18">
        <v>65</v>
      </c>
      <c r="S20" s="20">
        <f>IFERROR(R20/((Q20/100)^2),"")</f>
        <v>19.198960302457465</v>
      </c>
      <c r="T20" s="18" t="s">
        <v>318</v>
      </c>
      <c r="U20" s="18" t="s">
        <v>319</v>
      </c>
      <c r="V20" s="18" t="s">
        <v>320</v>
      </c>
      <c r="W20" s="18" t="s">
        <v>103</v>
      </c>
      <c r="X20" s="18" t="s">
        <v>321</v>
      </c>
      <c r="Y20" s="18" t="s">
        <v>322</v>
      </c>
      <c r="Z20" s="18" t="s">
        <v>323</v>
      </c>
    </row>
    <row r="21" spans="1:26">
      <c r="A21" s="18" t="s">
        <v>324</v>
      </c>
      <c r="B21" s="18" t="s">
        <v>325</v>
      </c>
      <c r="C21" s="18" t="s">
        <v>326</v>
      </c>
      <c r="D21" s="18" t="s">
        <v>327</v>
      </c>
      <c r="E21" s="18" t="s">
        <v>328</v>
      </c>
      <c r="F21" s="19">
        <v>15331</v>
      </c>
      <c r="G21" s="20">
        <f ca="1">DATEDIF(F21,TODAY(),"Y")</f>
        <v>84</v>
      </c>
      <c r="H21" s="18" t="s">
        <v>112</v>
      </c>
      <c r="I21" s="18" t="s">
        <v>113</v>
      </c>
      <c r="J21" s="18" t="s">
        <v>146</v>
      </c>
      <c r="K21" s="18" t="s">
        <v>174</v>
      </c>
      <c r="L21" s="18" t="s">
        <v>116</v>
      </c>
      <c r="M21" s="18" t="s">
        <v>117</v>
      </c>
      <c r="N21" s="18" t="s">
        <v>97</v>
      </c>
      <c r="O21" s="18" t="s">
        <v>118</v>
      </c>
      <c r="P21" s="18" t="s">
        <v>99</v>
      </c>
      <c r="Q21" s="18">
        <v>169</v>
      </c>
      <c r="R21" s="18">
        <v>72</v>
      </c>
      <c r="S21" s="20">
        <f>IFERROR(R21/((Q21/100)^2),"")</f>
        <v>25.209201358495854</v>
      </c>
      <c r="T21" s="18" t="s">
        <v>329</v>
      </c>
      <c r="U21" s="18" t="s">
        <v>330</v>
      </c>
      <c r="V21" s="18" t="s">
        <v>331</v>
      </c>
      <c r="W21" s="18" t="s">
        <v>103</v>
      </c>
      <c r="X21" s="18" t="s">
        <v>332</v>
      </c>
      <c r="Y21" s="18" t="s">
        <v>333</v>
      </c>
      <c r="Z21" s="18" t="s">
        <v>334</v>
      </c>
    </row>
    <row r="22" spans="1:26">
      <c r="A22" s="18" t="s">
        <v>335</v>
      </c>
      <c r="B22" s="18" t="s">
        <v>336</v>
      </c>
      <c r="C22" s="18" t="s">
        <v>109</v>
      </c>
      <c r="D22" s="18" t="s">
        <v>337</v>
      </c>
      <c r="E22" s="18" t="s">
        <v>338</v>
      </c>
      <c r="F22" s="19">
        <v>17658</v>
      </c>
      <c r="G22" s="20">
        <f ca="1">DATEDIF(F22,TODAY(),"Y")</f>
        <v>78</v>
      </c>
      <c r="H22" s="18" t="s">
        <v>92</v>
      </c>
      <c r="I22" s="18" t="s">
        <v>93</v>
      </c>
      <c r="J22" s="18" t="s">
        <v>94</v>
      </c>
      <c r="K22" s="18" t="s">
        <v>132</v>
      </c>
      <c r="L22" s="18" t="s">
        <v>132</v>
      </c>
      <c r="M22" s="18" t="s">
        <v>133</v>
      </c>
      <c r="N22" s="18" t="s">
        <v>97</v>
      </c>
      <c r="O22" s="18" t="s">
        <v>134</v>
      </c>
      <c r="P22" s="18" t="s">
        <v>99</v>
      </c>
      <c r="Q22" s="18">
        <v>162</v>
      </c>
      <c r="R22" s="18">
        <v>79</v>
      </c>
      <c r="S22" s="20">
        <f>IFERROR(R22/((Q22/100)^2),"")</f>
        <v>30.102118579484827</v>
      </c>
      <c r="T22" s="18" t="s">
        <v>100</v>
      </c>
      <c r="U22" s="18" t="s">
        <v>101</v>
      </c>
      <c r="V22" s="18" t="s">
        <v>102</v>
      </c>
      <c r="W22" s="18" t="s">
        <v>103</v>
      </c>
      <c r="X22" s="18" t="s">
        <v>339</v>
      </c>
      <c r="Y22" s="18" t="s">
        <v>340</v>
      </c>
      <c r="Z22" s="18" t="s">
        <v>341</v>
      </c>
    </row>
    <row r="23" spans="1:26">
      <c r="A23" s="18" t="s">
        <v>342</v>
      </c>
      <c r="B23" s="18" t="s">
        <v>343</v>
      </c>
      <c r="C23" s="18" t="s">
        <v>344</v>
      </c>
      <c r="D23" s="18" t="s">
        <v>345</v>
      </c>
      <c r="E23" s="18" t="s">
        <v>346</v>
      </c>
      <c r="F23" s="19">
        <v>20378</v>
      </c>
      <c r="G23" s="20">
        <f ca="1">DATEDIF(F23,TODAY(),"Y")</f>
        <v>70</v>
      </c>
      <c r="H23" s="18" t="s">
        <v>112</v>
      </c>
      <c r="I23" s="18" t="s">
        <v>113</v>
      </c>
      <c r="J23" s="18" t="s">
        <v>114</v>
      </c>
      <c r="K23" s="18" t="s">
        <v>95</v>
      </c>
      <c r="L23" s="18" t="s">
        <v>96</v>
      </c>
      <c r="M23" s="18" t="s">
        <v>148</v>
      </c>
      <c r="N23" s="18" t="s">
        <v>97</v>
      </c>
      <c r="O23" s="18" t="s">
        <v>149</v>
      </c>
      <c r="P23" s="18" t="s">
        <v>99</v>
      </c>
      <c r="Q23" s="18">
        <v>177</v>
      </c>
      <c r="R23" s="18">
        <v>86</v>
      </c>
      <c r="S23" s="20">
        <f>IFERROR(R23/((Q23/100)^2),"")</f>
        <v>27.450604870886398</v>
      </c>
      <c r="T23" s="18" t="s">
        <v>119</v>
      </c>
      <c r="U23" s="18" t="s">
        <v>120</v>
      </c>
      <c r="V23" s="18" t="s">
        <v>121</v>
      </c>
      <c r="W23" s="18" t="s">
        <v>103</v>
      </c>
      <c r="X23" s="18" t="s">
        <v>347</v>
      </c>
      <c r="Y23" s="18" t="s">
        <v>348</v>
      </c>
      <c r="Z23" s="18" t="s">
        <v>349</v>
      </c>
    </row>
    <row r="24" spans="1:26">
      <c r="A24" s="18" t="s">
        <v>350</v>
      </c>
      <c r="B24" s="18" t="s">
        <v>351</v>
      </c>
      <c r="C24" s="18" t="s">
        <v>143</v>
      </c>
      <c r="D24" s="18" t="s">
        <v>95</v>
      </c>
      <c r="E24" s="18" t="s">
        <v>352</v>
      </c>
      <c r="F24" s="19">
        <v>22732</v>
      </c>
      <c r="G24" s="20">
        <f ca="1">DATEDIF(F24,TODAY(),"Y")</f>
        <v>64</v>
      </c>
      <c r="H24" s="18" t="s">
        <v>92</v>
      </c>
      <c r="I24" s="18" t="s">
        <v>93</v>
      </c>
      <c r="J24" s="18" t="s">
        <v>130</v>
      </c>
      <c r="K24" s="18" t="s">
        <v>115</v>
      </c>
      <c r="L24" s="18" t="s">
        <v>116</v>
      </c>
      <c r="M24" s="18" t="s">
        <v>161</v>
      </c>
      <c r="N24" s="18" t="s">
        <v>97</v>
      </c>
      <c r="O24" s="18" t="s">
        <v>162</v>
      </c>
      <c r="P24" s="18" t="s">
        <v>99</v>
      </c>
      <c r="Q24" s="18">
        <v>168</v>
      </c>
      <c r="R24" s="18">
        <v>93</v>
      </c>
      <c r="S24" s="20">
        <f>IFERROR(R24/((Q24/100)^2),"")</f>
        <v>32.950680272108848</v>
      </c>
      <c r="T24" s="18" t="s">
        <v>135</v>
      </c>
      <c r="U24" s="18" t="s">
        <v>136</v>
      </c>
      <c r="V24" s="18" t="s">
        <v>137</v>
      </c>
      <c r="W24" s="18" t="s">
        <v>103</v>
      </c>
      <c r="X24" s="18" t="s">
        <v>353</v>
      </c>
      <c r="Y24" s="18" t="s">
        <v>354</v>
      </c>
      <c r="Z24" s="18" t="s">
        <v>355</v>
      </c>
    </row>
    <row r="25" spans="1:26">
      <c r="A25" s="18" t="s">
        <v>356</v>
      </c>
      <c r="B25" s="18" t="s">
        <v>357</v>
      </c>
      <c r="C25" s="18" t="s">
        <v>358</v>
      </c>
      <c r="D25" s="18" t="s">
        <v>359</v>
      </c>
      <c r="E25" s="18" t="s">
        <v>360</v>
      </c>
      <c r="F25" s="19">
        <v>25426</v>
      </c>
      <c r="G25" s="20">
        <f ca="1">DATEDIF(F25,TODAY(),"Y")</f>
        <v>57</v>
      </c>
      <c r="H25" s="18" t="s">
        <v>112</v>
      </c>
      <c r="I25" s="18" t="s">
        <v>113</v>
      </c>
      <c r="J25" s="18" t="s">
        <v>146</v>
      </c>
      <c r="K25" s="18" t="s">
        <v>131</v>
      </c>
      <c r="L25" s="18" t="s">
        <v>132</v>
      </c>
      <c r="M25" s="18" t="s">
        <v>175</v>
      </c>
      <c r="N25" s="18" t="s">
        <v>97</v>
      </c>
      <c r="O25" s="18" t="s">
        <v>176</v>
      </c>
      <c r="P25" s="18" t="s">
        <v>99</v>
      </c>
      <c r="Q25" s="18">
        <v>185</v>
      </c>
      <c r="R25" s="18">
        <v>100</v>
      </c>
      <c r="S25" s="20">
        <f>IFERROR(R25/((Q25/100)^2),"")</f>
        <v>29.218407596785973</v>
      </c>
      <c r="T25" s="18" t="s">
        <v>150</v>
      </c>
      <c r="U25" s="18" t="s">
        <v>136</v>
      </c>
      <c r="V25" s="18" t="s">
        <v>151</v>
      </c>
      <c r="W25" s="18" t="s">
        <v>103</v>
      </c>
      <c r="X25" s="18" t="s">
        <v>361</v>
      </c>
      <c r="Y25" s="18" t="s">
        <v>362</v>
      </c>
      <c r="Z25" s="18" t="s">
        <v>363</v>
      </c>
    </row>
    <row r="26" spans="1:26">
      <c r="A26" s="18" t="s">
        <v>364</v>
      </c>
      <c r="B26" s="18" t="s">
        <v>365</v>
      </c>
      <c r="C26" s="18" t="s">
        <v>171</v>
      </c>
      <c r="D26" s="18" t="s">
        <v>366</v>
      </c>
      <c r="E26" s="18" t="s">
        <v>367</v>
      </c>
      <c r="F26" s="19">
        <v>27781</v>
      </c>
      <c r="G26" s="20">
        <f ca="1">DATEDIF(F26,TODAY(),"Y")</f>
        <v>50</v>
      </c>
      <c r="H26" s="18" t="s">
        <v>92</v>
      </c>
      <c r="I26" s="18" t="s">
        <v>93</v>
      </c>
      <c r="J26" s="18" t="s">
        <v>94</v>
      </c>
      <c r="K26" s="18" t="s">
        <v>147</v>
      </c>
      <c r="L26" s="18" t="s">
        <v>96</v>
      </c>
      <c r="M26" s="18" t="s">
        <v>97</v>
      </c>
      <c r="N26" s="18" t="s">
        <v>97</v>
      </c>
      <c r="O26" s="18" t="s">
        <v>98</v>
      </c>
      <c r="P26" s="18" t="s">
        <v>99</v>
      </c>
      <c r="Q26" s="18">
        <v>174</v>
      </c>
      <c r="R26" s="18">
        <v>107</v>
      </c>
      <c r="S26" s="20">
        <f>IFERROR(R26/((Q26/100)^2),"")</f>
        <v>35.341524639978857</v>
      </c>
      <c r="T26" s="18" t="s">
        <v>163</v>
      </c>
      <c r="U26" s="18" t="s">
        <v>164</v>
      </c>
      <c r="V26" s="18" t="s">
        <v>165</v>
      </c>
      <c r="W26" s="18" t="s">
        <v>103</v>
      </c>
      <c r="X26" s="18" t="s">
        <v>368</v>
      </c>
      <c r="Y26" s="18" t="s">
        <v>369</v>
      </c>
      <c r="Z26" s="18" t="s">
        <v>370</v>
      </c>
    </row>
    <row r="27" spans="1:26">
      <c r="A27" s="18" t="s">
        <v>371</v>
      </c>
      <c r="B27" s="18" t="s">
        <v>372</v>
      </c>
      <c r="C27" s="18" t="s">
        <v>373</v>
      </c>
      <c r="D27" s="18" t="s">
        <v>374</v>
      </c>
      <c r="E27" s="18" t="s">
        <v>375</v>
      </c>
      <c r="F27" s="19">
        <v>30473</v>
      </c>
      <c r="G27" s="20">
        <f ca="1">DATEDIF(F27,TODAY(),"Y")</f>
        <v>43</v>
      </c>
      <c r="H27" s="18" t="s">
        <v>112</v>
      </c>
      <c r="I27" s="18" t="s">
        <v>113</v>
      </c>
      <c r="J27" s="18" t="s">
        <v>114</v>
      </c>
      <c r="K27" s="18" t="s">
        <v>160</v>
      </c>
      <c r="L27" s="18" t="s">
        <v>116</v>
      </c>
      <c r="M27" s="18" t="s">
        <v>117</v>
      </c>
      <c r="N27" s="18" t="s">
        <v>97</v>
      </c>
      <c r="O27" s="18" t="s">
        <v>118</v>
      </c>
      <c r="P27" s="18" t="s">
        <v>99</v>
      </c>
      <c r="Q27" s="18">
        <v>168</v>
      </c>
      <c r="R27" s="18">
        <v>56</v>
      </c>
      <c r="S27" s="20">
        <f>IFERROR(R27/((Q27/100)^2),"")</f>
        <v>19.841269841269845</v>
      </c>
      <c r="T27" s="18" t="s">
        <v>177</v>
      </c>
      <c r="U27" s="18" t="s">
        <v>178</v>
      </c>
      <c r="V27" s="18" t="s">
        <v>179</v>
      </c>
      <c r="W27" s="18" t="s">
        <v>103</v>
      </c>
      <c r="X27" s="18" t="s">
        <v>376</v>
      </c>
      <c r="Y27" s="18" t="s">
        <v>377</v>
      </c>
      <c r="Z27" s="18" t="s">
        <v>378</v>
      </c>
    </row>
    <row r="28" spans="1:26">
      <c r="A28" s="18" t="s">
        <v>379</v>
      </c>
      <c r="B28" s="18" t="s">
        <v>380</v>
      </c>
      <c r="C28" s="18" t="s">
        <v>196</v>
      </c>
      <c r="D28" s="18" t="s">
        <v>381</v>
      </c>
      <c r="E28" s="18" t="s">
        <v>382</v>
      </c>
      <c r="F28" s="19">
        <v>33194</v>
      </c>
      <c r="G28" s="20">
        <f ca="1">DATEDIF(F28,TODAY(),"Y")</f>
        <v>35</v>
      </c>
      <c r="H28" s="18" t="s">
        <v>92</v>
      </c>
      <c r="I28" s="18" t="s">
        <v>93</v>
      </c>
      <c r="J28" s="18" t="s">
        <v>130</v>
      </c>
      <c r="K28" s="18" t="s">
        <v>174</v>
      </c>
      <c r="L28" s="18" t="s">
        <v>132</v>
      </c>
      <c r="M28" s="18" t="s">
        <v>133</v>
      </c>
      <c r="N28" s="18" t="s">
        <v>97</v>
      </c>
      <c r="O28" s="18" t="s">
        <v>134</v>
      </c>
      <c r="P28" s="18" t="s">
        <v>99</v>
      </c>
      <c r="Q28" s="18">
        <v>180</v>
      </c>
      <c r="R28" s="18">
        <v>63</v>
      </c>
      <c r="S28" s="20">
        <f>IFERROR(R28/((Q28/100)^2),"")</f>
        <v>19.444444444444443</v>
      </c>
      <c r="T28" s="18" t="s">
        <v>188</v>
      </c>
      <c r="U28" s="18" t="s">
        <v>189</v>
      </c>
      <c r="V28" s="18" t="s">
        <v>190</v>
      </c>
      <c r="W28" s="18" t="s">
        <v>103</v>
      </c>
      <c r="X28" s="18" t="s">
        <v>383</v>
      </c>
      <c r="Y28" s="18" t="s">
        <v>384</v>
      </c>
      <c r="Z28" s="18" t="s">
        <v>385</v>
      </c>
    </row>
    <row r="29" spans="1:26">
      <c r="A29" s="18" t="s">
        <v>386</v>
      </c>
      <c r="B29" s="18" t="s">
        <v>387</v>
      </c>
      <c r="C29" s="18" t="s">
        <v>306</v>
      </c>
      <c r="D29" s="18" t="s">
        <v>388</v>
      </c>
      <c r="E29" s="18" t="s">
        <v>389</v>
      </c>
      <c r="F29" s="19">
        <v>35521</v>
      </c>
      <c r="G29" s="20">
        <f ca="1">DATEDIF(F29,TODAY(),"Y")</f>
        <v>29</v>
      </c>
      <c r="H29" s="18" t="s">
        <v>112</v>
      </c>
      <c r="I29" s="18" t="s">
        <v>113</v>
      </c>
      <c r="J29" s="18" t="s">
        <v>146</v>
      </c>
      <c r="K29" s="18" t="s">
        <v>132</v>
      </c>
      <c r="L29" s="18" t="s">
        <v>96</v>
      </c>
      <c r="M29" s="18" t="s">
        <v>148</v>
      </c>
      <c r="N29" s="18" t="s">
        <v>97</v>
      </c>
      <c r="O29" s="18" t="s">
        <v>149</v>
      </c>
      <c r="P29" s="18" t="s">
        <v>99</v>
      </c>
      <c r="Q29" s="18">
        <v>176</v>
      </c>
      <c r="R29" s="18">
        <v>70</v>
      </c>
      <c r="S29" s="20">
        <f>IFERROR(R29/((Q29/100)^2),"")</f>
        <v>22.598140495867771</v>
      </c>
      <c r="T29" s="18" t="s">
        <v>199</v>
      </c>
      <c r="U29" s="18" t="s">
        <v>189</v>
      </c>
      <c r="V29" s="18" t="s">
        <v>200</v>
      </c>
      <c r="W29" s="18" t="s">
        <v>103</v>
      </c>
      <c r="X29" s="18" t="s">
        <v>390</v>
      </c>
      <c r="Y29" s="18" t="s">
        <v>391</v>
      </c>
      <c r="Z29" s="18" t="s">
        <v>392</v>
      </c>
    </row>
    <row r="30" spans="1:26">
      <c r="A30" s="18" t="s">
        <v>393</v>
      </c>
      <c r="B30" s="18" t="s">
        <v>394</v>
      </c>
      <c r="C30" s="18" t="s">
        <v>217</v>
      </c>
      <c r="D30" s="18" t="s">
        <v>395</v>
      </c>
      <c r="E30" s="18" t="s">
        <v>396</v>
      </c>
      <c r="F30" s="19">
        <v>38242</v>
      </c>
      <c r="G30" s="20">
        <f ca="1">DATEDIF(F30,TODAY(),"Y")</f>
        <v>22</v>
      </c>
      <c r="H30" s="18" t="s">
        <v>92</v>
      </c>
      <c r="I30" s="18" t="s">
        <v>93</v>
      </c>
      <c r="J30" s="18" t="s">
        <v>94</v>
      </c>
      <c r="K30" s="18" t="s">
        <v>95</v>
      </c>
      <c r="L30" s="18" t="s">
        <v>116</v>
      </c>
      <c r="M30" s="18" t="s">
        <v>161</v>
      </c>
      <c r="N30" s="18" t="s">
        <v>97</v>
      </c>
      <c r="O30" s="18" t="s">
        <v>162</v>
      </c>
      <c r="P30" s="18" t="s">
        <v>99</v>
      </c>
      <c r="Q30" s="18">
        <v>158</v>
      </c>
      <c r="R30" s="18">
        <v>77</v>
      </c>
      <c r="S30" s="20">
        <f>IFERROR(R30/((Q30/100)^2),"")</f>
        <v>30.844415958980928</v>
      </c>
      <c r="T30" s="18" t="s">
        <v>209</v>
      </c>
      <c r="U30" s="18" t="s">
        <v>210</v>
      </c>
      <c r="V30" s="18" t="s">
        <v>211</v>
      </c>
      <c r="W30" s="18" t="s">
        <v>103</v>
      </c>
      <c r="X30" s="18" t="s">
        <v>397</v>
      </c>
      <c r="Y30" s="18" t="s">
        <v>398</v>
      </c>
      <c r="Z30" s="18" t="s">
        <v>399</v>
      </c>
    </row>
    <row r="31" spans="1:26">
      <c r="A31" s="18" t="s">
        <v>400</v>
      </c>
      <c r="B31" s="18" t="s">
        <v>401</v>
      </c>
      <c r="C31" s="18" t="s">
        <v>402</v>
      </c>
      <c r="D31" s="18" t="s">
        <v>403</v>
      </c>
      <c r="E31" s="18" t="s">
        <v>404</v>
      </c>
      <c r="F31" s="19">
        <v>16491</v>
      </c>
      <c r="G31" s="20">
        <f ca="1">DATEDIF(F31,TODAY(),"Y")</f>
        <v>81</v>
      </c>
      <c r="H31" s="18" t="s">
        <v>112</v>
      </c>
      <c r="I31" s="18" t="s">
        <v>113</v>
      </c>
      <c r="J31" s="18" t="s">
        <v>114</v>
      </c>
      <c r="K31" s="18" t="s">
        <v>115</v>
      </c>
      <c r="L31" s="18" t="s">
        <v>132</v>
      </c>
      <c r="M31" s="18" t="s">
        <v>175</v>
      </c>
      <c r="N31" s="18" t="s">
        <v>97</v>
      </c>
      <c r="O31" s="18" t="s">
        <v>176</v>
      </c>
      <c r="P31" s="18" t="s">
        <v>99</v>
      </c>
      <c r="Q31" s="18">
        <v>184</v>
      </c>
      <c r="R31" s="18">
        <v>84</v>
      </c>
      <c r="S31" s="20">
        <f>IFERROR(R31/((Q31/100)^2),"")</f>
        <v>24.810964083175801</v>
      </c>
      <c r="T31" s="18" t="s">
        <v>220</v>
      </c>
      <c r="U31" s="18" t="s">
        <v>221</v>
      </c>
      <c r="V31" s="18" t="s">
        <v>222</v>
      </c>
      <c r="W31" s="18" t="s">
        <v>103</v>
      </c>
      <c r="X31" s="18" t="s">
        <v>405</v>
      </c>
      <c r="Y31" s="18" t="s">
        <v>406</v>
      </c>
      <c r="Z31" s="18" t="s">
        <v>407</v>
      </c>
    </row>
    <row r="32" spans="1:26">
      <c r="A32" s="18" t="s">
        <v>408</v>
      </c>
      <c r="B32" s="18" t="s">
        <v>409</v>
      </c>
      <c r="C32" s="18" t="s">
        <v>239</v>
      </c>
      <c r="D32" s="18" t="s">
        <v>410</v>
      </c>
      <c r="E32" s="18" t="s">
        <v>411</v>
      </c>
      <c r="F32" s="19">
        <v>19182</v>
      </c>
      <c r="G32" s="20">
        <f ca="1">DATEDIF(F32,TODAY(),"Y")</f>
        <v>74</v>
      </c>
      <c r="H32" s="18" t="s">
        <v>92</v>
      </c>
      <c r="I32" s="18" t="s">
        <v>93</v>
      </c>
      <c r="J32" s="18" t="s">
        <v>130</v>
      </c>
      <c r="K32" s="18" t="s">
        <v>131</v>
      </c>
      <c r="L32" s="18" t="s">
        <v>96</v>
      </c>
      <c r="M32" s="18" t="s">
        <v>97</v>
      </c>
      <c r="N32" s="18" t="s">
        <v>97</v>
      </c>
      <c r="O32" s="18" t="s">
        <v>98</v>
      </c>
      <c r="P32" s="18" t="s">
        <v>99</v>
      </c>
      <c r="Q32" s="18">
        <v>164</v>
      </c>
      <c r="R32" s="18">
        <v>91</v>
      </c>
      <c r="S32" s="20">
        <f>IFERROR(R32/((Q32/100)^2),"")</f>
        <v>33.834027364663896</v>
      </c>
      <c r="T32" s="18" t="s">
        <v>231</v>
      </c>
      <c r="U32" s="18" t="s">
        <v>232</v>
      </c>
      <c r="V32" s="18" t="s">
        <v>233</v>
      </c>
      <c r="W32" s="18" t="s">
        <v>103</v>
      </c>
      <c r="X32" s="18" t="s">
        <v>412</v>
      </c>
      <c r="Y32" s="18" t="s">
        <v>413</v>
      </c>
      <c r="Z32" s="18" t="s">
        <v>414</v>
      </c>
    </row>
    <row r="33" spans="1:26">
      <c r="A33" s="18" t="s">
        <v>415</v>
      </c>
      <c r="B33" s="18" t="s">
        <v>416</v>
      </c>
      <c r="C33" s="18" t="s">
        <v>417</v>
      </c>
      <c r="D33" s="18" t="s">
        <v>418</v>
      </c>
      <c r="E33" s="18" t="s">
        <v>419</v>
      </c>
      <c r="F33" s="19">
        <v>21902</v>
      </c>
      <c r="G33" s="20">
        <f ca="1">DATEDIF(F33,TODAY(),"Y")</f>
        <v>66</v>
      </c>
      <c r="H33" s="18" t="s">
        <v>112</v>
      </c>
      <c r="I33" s="18" t="s">
        <v>113</v>
      </c>
      <c r="J33" s="18" t="s">
        <v>146</v>
      </c>
      <c r="K33" s="18" t="s">
        <v>147</v>
      </c>
      <c r="L33" s="18" t="s">
        <v>116</v>
      </c>
      <c r="M33" s="18" t="s">
        <v>117</v>
      </c>
      <c r="N33" s="18" t="s">
        <v>97</v>
      </c>
      <c r="O33" s="18" t="s">
        <v>118</v>
      </c>
      <c r="P33" s="18" t="s">
        <v>99</v>
      </c>
      <c r="Q33" s="18">
        <v>192</v>
      </c>
      <c r="R33" s="18">
        <v>98</v>
      </c>
      <c r="S33" s="20">
        <f>IFERROR(R33/((Q33/100)^2),"")</f>
        <v>26.584201388888889</v>
      </c>
      <c r="T33" s="18" t="s">
        <v>242</v>
      </c>
      <c r="U33" s="18" t="s">
        <v>243</v>
      </c>
      <c r="V33" s="18" t="s">
        <v>244</v>
      </c>
      <c r="W33" s="18" t="s">
        <v>103</v>
      </c>
      <c r="X33" s="18" t="s">
        <v>420</v>
      </c>
      <c r="Y33" s="18" t="s">
        <v>421</v>
      </c>
      <c r="Z33" s="18" t="s">
        <v>422</v>
      </c>
    </row>
    <row r="34" spans="1:26">
      <c r="A34" s="18" t="s">
        <v>423</v>
      </c>
      <c r="B34" s="18" t="s">
        <v>424</v>
      </c>
      <c r="C34" s="18" t="s">
        <v>261</v>
      </c>
      <c r="D34" s="18" t="s">
        <v>425</v>
      </c>
      <c r="E34" s="18" t="s">
        <v>426</v>
      </c>
      <c r="F34" s="19">
        <v>24229</v>
      </c>
      <c r="G34" s="20">
        <f ca="1">DATEDIF(F34,TODAY(),"Y")</f>
        <v>60</v>
      </c>
      <c r="H34" s="18" t="s">
        <v>92</v>
      </c>
      <c r="I34" s="18" t="s">
        <v>93</v>
      </c>
      <c r="J34" s="18" t="s">
        <v>94</v>
      </c>
      <c r="K34" s="18" t="s">
        <v>160</v>
      </c>
      <c r="L34" s="18" t="s">
        <v>132</v>
      </c>
      <c r="M34" s="18" t="s">
        <v>133</v>
      </c>
      <c r="N34" s="18" t="s">
        <v>97</v>
      </c>
      <c r="O34" s="18" t="s">
        <v>134</v>
      </c>
      <c r="P34" s="18" t="s">
        <v>99</v>
      </c>
      <c r="Q34" s="18">
        <v>170</v>
      </c>
      <c r="R34" s="18">
        <v>105</v>
      </c>
      <c r="S34" s="20">
        <f>IFERROR(R34/((Q34/100)^2),"")</f>
        <v>36.332179930795853</v>
      </c>
      <c r="T34" s="18" t="s">
        <v>253</v>
      </c>
      <c r="U34" s="18" t="s">
        <v>254</v>
      </c>
      <c r="V34" s="18" t="s">
        <v>255</v>
      </c>
      <c r="W34" s="18" t="s">
        <v>103</v>
      </c>
      <c r="X34" s="18" t="s">
        <v>427</v>
      </c>
      <c r="Y34" s="18" t="s">
        <v>428</v>
      </c>
      <c r="Z34" s="18" t="s">
        <v>429</v>
      </c>
    </row>
    <row r="35" spans="1:26">
      <c r="A35" s="18" t="s">
        <v>430</v>
      </c>
      <c r="B35" s="18" t="s">
        <v>431</v>
      </c>
      <c r="C35" s="18" t="s">
        <v>432</v>
      </c>
      <c r="D35" s="18" t="s">
        <v>433</v>
      </c>
      <c r="E35" s="18" t="s">
        <v>434</v>
      </c>
      <c r="F35" s="19">
        <v>26950</v>
      </c>
      <c r="G35" s="20">
        <f ca="1">DATEDIF(F35,TODAY(),"Y")</f>
        <v>52</v>
      </c>
      <c r="H35" s="18" t="s">
        <v>112</v>
      </c>
      <c r="I35" s="18" t="s">
        <v>113</v>
      </c>
      <c r="J35" s="18" t="s">
        <v>114</v>
      </c>
      <c r="K35" s="18" t="s">
        <v>174</v>
      </c>
      <c r="L35" s="18" t="s">
        <v>96</v>
      </c>
      <c r="M35" s="18" t="s">
        <v>148</v>
      </c>
      <c r="N35" s="18" t="s">
        <v>97</v>
      </c>
      <c r="O35" s="18" t="s">
        <v>149</v>
      </c>
      <c r="P35" s="18" t="s">
        <v>99</v>
      </c>
      <c r="Q35" s="18">
        <v>175</v>
      </c>
      <c r="R35" s="18">
        <v>112</v>
      </c>
      <c r="S35" s="20">
        <f>IFERROR(R35/((Q35/100)^2),"")</f>
        <v>36.571428571428569</v>
      </c>
      <c r="T35" s="18" t="s">
        <v>264</v>
      </c>
      <c r="U35" s="18" t="s">
        <v>265</v>
      </c>
      <c r="V35" s="18" t="s">
        <v>266</v>
      </c>
      <c r="W35" s="18" t="s">
        <v>103</v>
      </c>
      <c r="X35" s="18" t="s">
        <v>435</v>
      </c>
      <c r="Y35" s="18" t="s">
        <v>436</v>
      </c>
      <c r="Z35" s="18" t="s">
        <v>437</v>
      </c>
    </row>
    <row r="36" spans="1:26">
      <c r="A36" s="18" t="s">
        <v>438</v>
      </c>
      <c r="B36" s="18" t="s">
        <v>439</v>
      </c>
      <c r="C36" s="18" t="s">
        <v>283</v>
      </c>
      <c r="D36" s="18" t="s">
        <v>440</v>
      </c>
      <c r="E36" s="18" t="s">
        <v>441</v>
      </c>
      <c r="F36" s="19">
        <v>29304</v>
      </c>
      <c r="G36" s="20">
        <f ca="1">DATEDIF(F36,TODAY(),"Y")</f>
        <v>46</v>
      </c>
      <c r="H36" s="18" t="s">
        <v>92</v>
      </c>
      <c r="I36" s="18" t="s">
        <v>93</v>
      </c>
      <c r="J36" s="18" t="s">
        <v>130</v>
      </c>
      <c r="K36" s="18" t="s">
        <v>132</v>
      </c>
      <c r="L36" s="18" t="s">
        <v>116</v>
      </c>
      <c r="M36" s="18" t="s">
        <v>161</v>
      </c>
      <c r="N36" s="18" t="s">
        <v>97</v>
      </c>
      <c r="O36" s="18" t="s">
        <v>162</v>
      </c>
      <c r="P36" s="18" t="s">
        <v>99</v>
      </c>
      <c r="Q36" s="18">
        <v>176</v>
      </c>
      <c r="R36" s="18">
        <v>61</v>
      </c>
      <c r="S36" s="20">
        <f>IFERROR(R36/((Q36/100)^2),"")</f>
        <v>19.692665289256198</v>
      </c>
      <c r="T36" s="18" t="s">
        <v>275</v>
      </c>
      <c r="U36" s="18" t="s">
        <v>276</v>
      </c>
      <c r="V36" s="18" t="s">
        <v>277</v>
      </c>
      <c r="W36" s="18" t="s">
        <v>103</v>
      </c>
      <c r="X36" s="18" t="s">
        <v>442</v>
      </c>
      <c r="Y36" s="18" t="s">
        <v>443</v>
      </c>
      <c r="Z36" s="18" t="s">
        <v>444</v>
      </c>
    </row>
    <row r="37" spans="1:26">
      <c r="A37" s="18" t="s">
        <v>445</v>
      </c>
      <c r="B37" s="18" t="s">
        <v>446</v>
      </c>
      <c r="C37" s="18" t="s">
        <v>447</v>
      </c>
      <c r="D37" s="18" t="s">
        <v>448</v>
      </c>
      <c r="E37" s="18" t="s">
        <v>449</v>
      </c>
      <c r="F37" s="19">
        <v>31997</v>
      </c>
      <c r="G37" s="20">
        <f ca="1">DATEDIF(F37,TODAY(),"Y")</f>
        <v>39</v>
      </c>
      <c r="H37" s="18" t="s">
        <v>112</v>
      </c>
      <c r="I37" s="18" t="s">
        <v>113</v>
      </c>
      <c r="J37" s="18" t="s">
        <v>146</v>
      </c>
      <c r="K37" s="18" t="s">
        <v>95</v>
      </c>
      <c r="L37" s="18" t="s">
        <v>132</v>
      </c>
      <c r="M37" s="18" t="s">
        <v>175</v>
      </c>
      <c r="N37" s="18" t="s">
        <v>97</v>
      </c>
      <c r="O37" s="18" t="s">
        <v>176</v>
      </c>
      <c r="P37" s="18" t="s">
        <v>99</v>
      </c>
      <c r="Q37" s="18">
        <v>183</v>
      </c>
      <c r="R37" s="18">
        <v>68</v>
      </c>
      <c r="S37" s="20">
        <f>IFERROR(R37/((Q37/100)^2),"")</f>
        <v>20.305174833527424</v>
      </c>
      <c r="T37" s="18" t="s">
        <v>286</v>
      </c>
      <c r="U37" s="18" t="s">
        <v>287</v>
      </c>
      <c r="V37" s="18" t="s">
        <v>288</v>
      </c>
      <c r="W37" s="18" t="s">
        <v>103</v>
      </c>
      <c r="X37" s="18" t="s">
        <v>450</v>
      </c>
      <c r="Y37" s="18" t="s">
        <v>451</v>
      </c>
      <c r="Z37" s="18" t="s">
        <v>452</v>
      </c>
    </row>
    <row r="38" spans="1:26">
      <c r="A38" s="18" t="s">
        <v>453</v>
      </c>
      <c r="B38" s="18" t="s">
        <v>454</v>
      </c>
      <c r="C38" s="18" t="s">
        <v>305</v>
      </c>
      <c r="D38" s="18" t="s">
        <v>455</v>
      </c>
      <c r="E38" s="18" t="s">
        <v>456</v>
      </c>
      <c r="F38" s="19">
        <v>34353</v>
      </c>
      <c r="G38" s="20">
        <f ca="1">DATEDIF(F38,TODAY(),"Y")</f>
        <v>32</v>
      </c>
      <c r="H38" s="18" t="s">
        <v>92</v>
      </c>
      <c r="I38" s="18" t="s">
        <v>93</v>
      </c>
      <c r="J38" s="18" t="s">
        <v>94</v>
      </c>
      <c r="K38" s="18" t="s">
        <v>115</v>
      </c>
      <c r="L38" s="18" t="s">
        <v>96</v>
      </c>
      <c r="M38" s="18" t="s">
        <v>97</v>
      </c>
      <c r="N38" s="18" t="s">
        <v>97</v>
      </c>
      <c r="O38" s="18" t="s">
        <v>98</v>
      </c>
      <c r="P38" s="18" t="s">
        <v>99</v>
      </c>
      <c r="Q38" s="18">
        <v>182</v>
      </c>
      <c r="R38" s="18">
        <v>75</v>
      </c>
      <c r="S38" s="20">
        <f>IFERROR(R38/((Q38/100)^2),"")</f>
        <v>22.642192971863299</v>
      </c>
      <c r="T38" s="18" t="s">
        <v>297</v>
      </c>
      <c r="U38" s="18" t="s">
        <v>298</v>
      </c>
      <c r="V38" s="18" t="s">
        <v>299</v>
      </c>
      <c r="W38" s="18" t="s">
        <v>103</v>
      </c>
      <c r="X38" s="18" t="s">
        <v>457</v>
      </c>
      <c r="Y38" s="18" t="s">
        <v>458</v>
      </c>
      <c r="Z38" s="18" t="s">
        <v>459</v>
      </c>
    </row>
    <row r="39" spans="1:26">
      <c r="A39" s="18" t="s">
        <v>460</v>
      </c>
      <c r="B39" s="18" t="s">
        <v>461</v>
      </c>
      <c r="C39" s="18" t="s">
        <v>462</v>
      </c>
      <c r="D39" s="18" t="s">
        <v>463</v>
      </c>
      <c r="E39" s="18" t="s">
        <v>464</v>
      </c>
      <c r="F39" s="19">
        <v>37045</v>
      </c>
      <c r="G39" s="20">
        <f ca="1">DATEDIF(F39,TODAY(),"Y")</f>
        <v>25</v>
      </c>
      <c r="H39" s="18" t="s">
        <v>112</v>
      </c>
      <c r="I39" s="18" t="s">
        <v>113</v>
      </c>
      <c r="J39" s="18" t="s">
        <v>114</v>
      </c>
      <c r="K39" s="18" t="s">
        <v>131</v>
      </c>
      <c r="L39" s="18" t="s">
        <v>116</v>
      </c>
      <c r="M39" s="18" t="s">
        <v>117</v>
      </c>
      <c r="N39" s="18" t="s">
        <v>97</v>
      </c>
      <c r="O39" s="18" t="s">
        <v>118</v>
      </c>
      <c r="P39" s="18" t="s">
        <v>99</v>
      </c>
      <c r="Q39" s="18">
        <v>191</v>
      </c>
      <c r="R39" s="18">
        <v>82</v>
      </c>
      <c r="S39" s="20">
        <f>IFERROR(R39/((Q39/100)^2),"")</f>
        <v>22.477454017159619</v>
      </c>
      <c r="T39" s="18" t="s">
        <v>250</v>
      </c>
      <c r="U39" s="18" t="s">
        <v>308</v>
      </c>
      <c r="V39" s="18" t="s">
        <v>309</v>
      </c>
      <c r="W39" s="18" t="s">
        <v>103</v>
      </c>
      <c r="X39" s="18" t="s">
        <v>465</v>
      </c>
      <c r="Y39" s="18" t="s">
        <v>466</v>
      </c>
      <c r="Z39" s="18" t="s">
        <v>467</v>
      </c>
    </row>
    <row r="40" spans="1:26">
      <c r="A40" s="18" t="s">
        <v>468</v>
      </c>
      <c r="B40" s="18" t="s">
        <v>469</v>
      </c>
      <c r="C40" s="18" t="s">
        <v>326</v>
      </c>
      <c r="D40" s="18" t="s">
        <v>470</v>
      </c>
      <c r="E40" s="18" t="s">
        <v>471</v>
      </c>
      <c r="F40" s="19">
        <v>15659</v>
      </c>
      <c r="G40" s="20">
        <f ca="1">DATEDIF(F40,TODAY(),"Y")</f>
        <v>83</v>
      </c>
      <c r="H40" s="18" t="s">
        <v>92</v>
      </c>
      <c r="I40" s="18" t="s">
        <v>93</v>
      </c>
      <c r="J40" s="18" t="s">
        <v>130</v>
      </c>
      <c r="K40" s="18" t="s">
        <v>147</v>
      </c>
      <c r="L40" s="18" t="s">
        <v>132</v>
      </c>
      <c r="M40" s="18" t="s">
        <v>133</v>
      </c>
      <c r="N40" s="18" t="s">
        <v>97</v>
      </c>
      <c r="O40" s="18" t="s">
        <v>134</v>
      </c>
      <c r="P40" s="18" t="s">
        <v>99</v>
      </c>
      <c r="Q40" s="18">
        <v>160</v>
      </c>
      <c r="R40" s="18">
        <v>89</v>
      </c>
      <c r="S40" s="20">
        <f>IFERROR(R40/((Q40/100)^2),"")</f>
        <v>34.765624999999993</v>
      </c>
      <c r="T40" s="18" t="s">
        <v>318</v>
      </c>
      <c r="U40" s="18" t="s">
        <v>319</v>
      </c>
      <c r="V40" s="18" t="s">
        <v>320</v>
      </c>
      <c r="W40" s="18" t="s">
        <v>103</v>
      </c>
      <c r="X40" s="18" t="s">
        <v>472</v>
      </c>
      <c r="Y40" s="18" t="s">
        <v>473</v>
      </c>
      <c r="Z40" s="18" t="s">
        <v>474</v>
      </c>
    </row>
    <row r="41" spans="1:26">
      <c r="A41" s="18" t="s">
        <v>475</v>
      </c>
      <c r="B41" s="18" t="s">
        <v>476</v>
      </c>
      <c r="C41" s="18" t="s">
        <v>477</v>
      </c>
      <c r="D41" s="18" t="s">
        <v>478</v>
      </c>
      <c r="E41" s="18" t="s">
        <v>479</v>
      </c>
      <c r="F41" s="19">
        <v>18013</v>
      </c>
      <c r="G41" s="20">
        <f ca="1">DATEDIF(F41,TODAY(),"Y")</f>
        <v>77</v>
      </c>
      <c r="H41" s="18" t="s">
        <v>112</v>
      </c>
      <c r="I41" s="18" t="s">
        <v>113</v>
      </c>
      <c r="J41" s="18" t="s">
        <v>146</v>
      </c>
      <c r="K41" s="18" t="s">
        <v>160</v>
      </c>
      <c r="L41" s="18" t="s">
        <v>96</v>
      </c>
      <c r="M41" s="18" t="s">
        <v>148</v>
      </c>
      <c r="N41" s="18" t="s">
        <v>97</v>
      </c>
      <c r="O41" s="18" t="s">
        <v>149</v>
      </c>
      <c r="P41" s="18" t="s">
        <v>99</v>
      </c>
      <c r="Q41" s="18">
        <v>174</v>
      </c>
      <c r="R41" s="18">
        <v>96</v>
      </c>
      <c r="S41" s="20">
        <f>IFERROR(R41/((Q41/100)^2),"")</f>
        <v>31.708283789139912</v>
      </c>
      <c r="T41" s="18" t="s">
        <v>329</v>
      </c>
      <c r="U41" s="18" t="s">
        <v>330</v>
      </c>
      <c r="V41" s="18" t="s">
        <v>331</v>
      </c>
      <c r="W41" s="18" t="s">
        <v>103</v>
      </c>
      <c r="X41" s="18" t="s">
        <v>480</v>
      </c>
      <c r="Y41" s="18" t="s">
        <v>481</v>
      </c>
      <c r="Z41" s="18" t="s">
        <v>482</v>
      </c>
    </row>
    <row r="42" spans="1:26">
      <c r="A42" s="18" t="s">
        <v>483</v>
      </c>
      <c r="B42" s="18" t="s">
        <v>484</v>
      </c>
      <c r="C42" s="18" t="s">
        <v>485</v>
      </c>
      <c r="D42" s="18" t="s">
        <v>486</v>
      </c>
      <c r="E42" s="18" t="s">
        <v>487</v>
      </c>
      <c r="F42" s="19">
        <v>20707</v>
      </c>
      <c r="G42" s="20">
        <f ca="1">DATEDIF(F42,TODAY(),"Y")</f>
        <v>70</v>
      </c>
      <c r="H42" s="18" t="s">
        <v>92</v>
      </c>
      <c r="I42" s="18" t="s">
        <v>93</v>
      </c>
      <c r="J42" s="18" t="s">
        <v>94</v>
      </c>
      <c r="K42" s="18" t="s">
        <v>174</v>
      </c>
      <c r="L42" s="18" t="s">
        <v>116</v>
      </c>
      <c r="M42" s="18" t="s">
        <v>161</v>
      </c>
      <c r="N42" s="18" t="s">
        <v>97</v>
      </c>
      <c r="O42" s="18" t="s">
        <v>162</v>
      </c>
      <c r="P42" s="18" t="s">
        <v>99</v>
      </c>
      <c r="Q42" s="18">
        <v>166</v>
      </c>
      <c r="R42" s="18">
        <v>103</v>
      </c>
      <c r="S42" s="20">
        <f>IFERROR(R42/((Q42/100)^2),"")</f>
        <v>37.378429380171291</v>
      </c>
      <c r="T42" s="18" t="s">
        <v>100</v>
      </c>
      <c r="U42" s="18" t="s">
        <v>101</v>
      </c>
      <c r="V42" s="18" t="s">
        <v>102</v>
      </c>
      <c r="W42" s="18" t="s">
        <v>103</v>
      </c>
      <c r="X42" s="18" t="s">
        <v>488</v>
      </c>
      <c r="Y42" s="18" t="s">
        <v>489</v>
      </c>
      <c r="Z42" s="18" t="s">
        <v>490</v>
      </c>
    </row>
    <row r="43" spans="1:26">
      <c r="A43" s="18" t="s">
        <v>491</v>
      </c>
      <c r="B43" s="18" t="s">
        <v>492</v>
      </c>
      <c r="C43" s="18" t="s">
        <v>493</v>
      </c>
      <c r="D43" s="18" t="s">
        <v>494</v>
      </c>
      <c r="E43" s="18" t="s">
        <v>495</v>
      </c>
      <c r="F43" s="19">
        <v>23062</v>
      </c>
      <c r="G43" s="20">
        <f ca="1">DATEDIF(F43,TODAY(),"Y")</f>
        <v>63</v>
      </c>
      <c r="H43" s="18" t="s">
        <v>112</v>
      </c>
      <c r="I43" s="18" t="s">
        <v>113</v>
      </c>
      <c r="J43" s="18" t="s">
        <v>114</v>
      </c>
      <c r="K43" s="18" t="s">
        <v>132</v>
      </c>
      <c r="L43" s="18" t="s">
        <v>132</v>
      </c>
      <c r="M43" s="18" t="s">
        <v>175</v>
      </c>
      <c r="N43" s="18" t="s">
        <v>97</v>
      </c>
      <c r="O43" s="18" t="s">
        <v>176</v>
      </c>
      <c r="P43" s="18" t="s">
        <v>99</v>
      </c>
      <c r="Q43" s="18">
        <v>182</v>
      </c>
      <c r="R43" s="18">
        <v>110</v>
      </c>
      <c r="S43" s="20">
        <f>IFERROR(R43/((Q43/100)^2),"")</f>
        <v>33.208549692066171</v>
      </c>
      <c r="T43" s="18" t="s">
        <v>119</v>
      </c>
      <c r="U43" s="18" t="s">
        <v>120</v>
      </c>
      <c r="V43" s="18" t="s">
        <v>121</v>
      </c>
      <c r="W43" s="18" t="s">
        <v>103</v>
      </c>
      <c r="X43" s="18" t="s">
        <v>496</v>
      </c>
      <c r="Y43" s="18" t="s">
        <v>497</v>
      </c>
      <c r="Z43" s="18" t="s">
        <v>498</v>
      </c>
    </row>
    <row r="44" spans="1:26">
      <c r="A44" s="18" t="s">
        <v>499</v>
      </c>
      <c r="B44" s="18" t="s">
        <v>500</v>
      </c>
      <c r="C44" s="18" t="s">
        <v>501</v>
      </c>
      <c r="D44" s="18" t="s">
        <v>502</v>
      </c>
      <c r="E44" s="18" t="s">
        <v>503</v>
      </c>
      <c r="F44" s="19">
        <v>25753</v>
      </c>
      <c r="G44" s="20">
        <f ca="1">DATEDIF(F44,TODAY(),"Y")</f>
        <v>56</v>
      </c>
      <c r="H44" s="18" t="s">
        <v>92</v>
      </c>
      <c r="I44" s="18" t="s">
        <v>93</v>
      </c>
      <c r="J44" s="18" t="s">
        <v>130</v>
      </c>
      <c r="K44" s="18" t="s">
        <v>95</v>
      </c>
      <c r="L44" s="18" t="s">
        <v>96</v>
      </c>
      <c r="M44" s="18" t="s">
        <v>97</v>
      </c>
      <c r="N44" s="18" t="s">
        <v>97</v>
      </c>
      <c r="O44" s="18" t="s">
        <v>98</v>
      </c>
      <c r="P44" s="18" t="s">
        <v>99</v>
      </c>
      <c r="Q44" s="18">
        <v>172</v>
      </c>
      <c r="R44" s="18">
        <v>59</v>
      </c>
      <c r="S44" s="20">
        <f>IFERROR(R44/((Q44/100)^2),"")</f>
        <v>19.943212547322879</v>
      </c>
      <c r="T44" s="18" t="s">
        <v>135</v>
      </c>
      <c r="U44" s="18" t="s">
        <v>136</v>
      </c>
      <c r="V44" s="18" t="s">
        <v>137</v>
      </c>
      <c r="W44" s="18" t="s">
        <v>103</v>
      </c>
      <c r="X44" s="18" t="s">
        <v>504</v>
      </c>
      <c r="Y44" s="18" t="s">
        <v>505</v>
      </c>
      <c r="Z44" s="18" t="s">
        <v>506</v>
      </c>
    </row>
    <row r="45" spans="1:26">
      <c r="A45" s="18" t="s">
        <v>507</v>
      </c>
      <c r="B45" s="18" t="s">
        <v>508</v>
      </c>
      <c r="C45" s="18" t="s">
        <v>509</v>
      </c>
      <c r="D45" s="18" t="s">
        <v>510</v>
      </c>
      <c r="E45" s="18" t="s">
        <v>511</v>
      </c>
      <c r="F45" s="19">
        <v>28474</v>
      </c>
      <c r="G45" s="20">
        <f ca="1">DATEDIF(F45,TODAY(),"Y")</f>
        <v>48</v>
      </c>
      <c r="H45" s="18" t="s">
        <v>112</v>
      </c>
      <c r="I45" s="18" t="s">
        <v>113</v>
      </c>
      <c r="J45" s="18" t="s">
        <v>146</v>
      </c>
      <c r="K45" s="18" t="s">
        <v>115</v>
      </c>
      <c r="L45" s="18" t="s">
        <v>116</v>
      </c>
      <c r="M45" s="18" t="s">
        <v>117</v>
      </c>
      <c r="N45" s="18" t="s">
        <v>97</v>
      </c>
      <c r="O45" s="18" t="s">
        <v>118</v>
      </c>
      <c r="P45" s="18" t="s">
        <v>99</v>
      </c>
      <c r="Q45" s="18">
        <v>190</v>
      </c>
      <c r="R45" s="18">
        <v>66</v>
      </c>
      <c r="S45" s="20">
        <f>IFERROR(R45/((Q45/100)^2),"")</f>
        <v>18.282548476454295</v>
      </c>
      <c r="T45" s="18" t="s">
        <v>150</v>
      </c>
      <c r="U45" s="18" t="s">
        <v>136</v>
      </c>
      <c r="V45" s="18" t="s">
        <v>151</v>
      </c>
      <c r="W45" s="18" t="s">
        <v>103</v>
      </c>
      <c r="X45" s="18" t="s">
        <v>512</v>
      </c>
      <c r="Y45" s="18" t="s">
        <v>513</v>
      </c>
      <c r="Z45" s="18" t="s">
        <v>514</v>
      </c>
    </row>
    <row r="46" spans="1:26">
      <c r="A46" s="18" t="s">
        <v>515</v>
      </c>
      <c r="B46" s="18" t="s">
        <v>516</v>
      </c>
      <c r="C46" s="18" t="s">
        <v>517</v>
      </c>
      <c r="D46" s="18" t="s">
        <v>518</v>
      </c>
      <c r="E46" s="18" t="s">
        <v>519</v>
      </c>
      <c r="F46" s="19">
        <v>30828</v>
      </c>
      <c r="G46" s="20">
        <f ca="1">DATEDIF(F46,TODAY(),"Y")</f>
        <v>42</v>
      </c>
      <c r="H46" s="18" t="s">
        <v>92</v>
      </c>
      <c r="I46" s="18" t="s">
        <v>93</v>
      </c>
      <c r="J46" s="18" t="s">
        <v>94</v>
      </c>
      <c r="K46" s="18" t="s">
        <v>131</v>
      </c>
      <c r="L46" s="18" t="s">
        <v>132</v>
      </c>
      <c r="M46" s="18" t="s">
        <v>133</v>
      </c>
      <c r="N46" s="18" t="s">
        <v>97</v>
      </c>
      <c r="O46" s="18" t="s">
        <v>134</v>
      </c>
      <c r="P46" s="18" t="s">
        <v>99</v>
      </c>
      <c r="Q46" s="18">
        <v>178</v>
      </c>
      <c r="R46" s="18">
        <v>73</v>
      </c>
      <c r="S46" s="20">
        <f>IFERROR(R46/((Q46/100)^2),"")</f>
        <v>23.040020199469762</v>
      </c>
      <c r="T46" s="18" t="s">
        <v>163</v>
      </c>
      <c r="U46" s="18" t="s">
        <v>164</v>
      </c>
      <c r="V46" s="18" t="s">
        <v>165</v>
      </c>
      <c r="W46" s="18" t="s">
        <v>103</v>
      </c>
      <c r="X46" s="18" t="s">
        <v>520</v>
      </c>
      <c r="Y46" s="18" t="s">
        <v>521</v>
      </c>
      <c r="Z46" s="18" t="s">
        <v>522</v>
      </c>
    </row>
    <row r="47" spans="1:26">
      <c r="A47" s="18" t="s">
        <v>523</v>
      </c>
      <c r="B47" s="18" t="s">
        <v>524</v>
      </c>
      <c r="C47" s="18" t="s">
        <v>525</v>
      </c>
      <c r="D47" s="18" t="s">
        <v>526</v>
      </c>
      <c r="E47" s="18" t="s">
        <v>527</v>
      </c>
      <c r="F47" s="19">
        <v>33521</v>
      </c>
      <c r="G47" s="20">
        <f ca="1">DATEDIF(F47,TODAY(),"Y")</f>
        <v>34</v>
      </c>
      <c r="H47" s="18" t="s">
        <v>112</v>
      </c>
      <c r="I47" s="18" t="s">
        <v>113</v>
      </c>
      <c r="J47" s="18" t="s">
        <v>114</v>
      </c>
      <c r="K47" s="18" t="s">
        <v>147</v>
      </c>
      <c r="L47" s="18" t="s">
        <v>96</v>
      </c>
      <c r="M47" s="18" t="s">
        <v>148</v>
      </c>
      <c r="N47" s="18" t="s">
        <v>97</v>
      </c>
      <c r="O47" s="18" t="s">
        <v>149</v>
      </c>
      <c r="P47" s="18" t="s">
        <v>99</v>
      </c>
      <c r="Q47" s="18">
        <v>173</v>
      </c>
      <c r="R47" s="18">
        <v>80</v>
      </c>
      <c r="S47" s="20">
        <f>IFERROR(R47/((Q47/100)^2),"")</f>
        <v>26.729927495071667</v>
      </c>
      <c r="T47" s="18" t="s">
        <v>177</v>
      </c>
      <c r="U47" s="18" t="s">
        <v>178</v>
      </c>
      <c r="V47" s="18" t="s">
        <v>179</v>
      </c>
      <c r="W47" s="18" t="s">
        <v>103</v>
      </c>
      <c r="X47" s="18" t="s">
        <v>528</v>
      </c>
      <c r="Y47" s="18" t="s">
        <v>529</v>
      </c>
      <c r="Z47" s="18" t="s">
        <v>530</v>
      </c>
    </row>
    <row r="48" spans="1:26">
      <c r="A48" s="18" t="s">
        <v>531</v>
      </c>
      <c r="B48" s="18" t="s">
        <v>532</v>
      </c>
      <c r="C48" s="18" t="s">
        <v>533</v>
      </c>
      <c r="D48" s="18" t="s">
        <v>534</v>
      </c>
      <c r="E48" s="18" t="s">
        <v>535</v>
      </c>
      <c r="F48" s="19">
        <v>35875</v>
      </c>
      <c r="G48" s="20">
        <f ca="1">DATEDIF(F48,TODAY(),"Y")</f>
        <v>28</v>
      </c>
      <c r="H48" s="18" t="s">
        <v>92</v>
      </c>
      <c r="I48" s="18" t="s">
        <v>93</v>
      </c>
      <c r="J48" s="18" t="s">
        <v>130</v>
      </c>
      <c r="K48" s="18" t="s">
        <v>160</v>
      </c>
      <c r="L48" s="18" t="s">
        <v>116</v>
      </c>
      <c r="M48" s="18" t="s">
        <v>161</v>
      </c>
      <c r="N48" s="18" t="s">
        <v>97</v>
      </c>
      <c r="O48" s="18" t="s">
        <v>162</v>
      </c>
      <c r="P48" s="18" t="s">
        <v>99</v>
      </c>
      <c r="Q48" s="18">
        <v>184</v>
      </c>
      <c r="R48" s="18">
        <v>87</v>
      </c>
      <c r="S48" s="20">
        <f>IFERROR(R48/((Q48/100)^2),"")</f>
        <v>25.697069943289225</v>
      </c>
      <c r="T48" s="18" t="s">
        <v>188</v>
      </c>
      <c r="U48" s="18" t="s">
        <v>189</v>
      </c>
      <c r="V48" s="18" t="s">
        <v>190</v>
      </c>
      <c r="W48" s="18" t="s">
        <v>103</v>
      </c>
      <c r="X48" s="18" t="s">
        <v>536</v>
      </c>
      <c r="Y48" s="18" t="s">
        <v>537</v>
      </c>
      <c r="Z48" s="18" t="s">
        <v>538</v>
      </c>
    </row>
    <row r="49" spans="1:26">
      <c r="A49" s="18" t="s">
        <v>539</v>
      </c>
      <c r="B49" s="18" t="s">
        <v>540</v>
      </c>
      <c r="C49" s="18" t="s">
        <v>541</v>
      </c>
      <c r="D49" s="18" t="s">
        <v>542</v>
      </c>
      <c r="E49" s="18" t="s">
        <v>543</v>
      </c>
      <c r="F49" s="19">
        <v>38569</v>
      </c>
      <c r="G49" s="20">
        <f ca="1">DATEDIF(F49,TODAY(),"Y")</f>
        <v>21</v>
      </c>
      <c r="H49" s="18" t="s">
        <v>112</v>
      </c>
      <c r="I49" s="18" t="s">
        <v>113</v>
      </c>
      <c r="J49" s="18" t="s">
        <v>146</v>
      </c>
      <c r="K49" s="18" t="s">
        <v>174</v>
      </c>
      <c r="L49" s="18" t="s">
        <v>132</v>
      </c>
      <c r="M49" s="18" t="s">
        <v>175</v>
      </c>
      <c r="N49" s="18" t="s">
        <v>97</v>
      </c>
      <c r="O49" s="18" t="s">
        <v>176</v>
      </c>
      <c r="P49" s="18" t="s">
        <v>99</v>
      </c>
      <c r="Q49" s="18">
        <v>181</v>
      </c>
      <c r="R49" s="18">
        <v>94</v>
      </c>
      <c r="S49" s="20">
        <f>IFERROR(R49/((Q49/100)^2),"")</f>
        <v>28.692652849424622</v>
      </c>
      <c r="T49" s="18" t="s">
        <v>199</v>
      </c>
      <c r="U49" s="18" t="s">
        <v>189</v>
      </c>
      <c r="V49" s="18" t="s">
        <v>200</v>
      </c>
      <c r="W49" s="18" t="s">
        <v>103</v>
      </c>
      <c r="X49" s="18" t="s">
        <v>544</v>
      </c>
      <c r="Y49" s="18" t="s">
        <v>545</v>
      </c>
      <c r="Z49" s="18" t="s">
        <v>546</v>
      </c>
    </row>
    <row r="50" spans="1:26">
      <c r="A50" s="18" t="s">
        <v>547</v>
      </c>
      <c r="B50" s="18" t="s">
        <v>548</v>
      </c>
      <c r="C50" s="18" t="s">
        <v>549</v>
      </c>
      <c r="D50" s="18" t="s">
        <v>550</v>
      </c>
      <c r="E50" s="18" t="s">
        <v>551</v>
      </c>
      <c r="F50" s="19">
        <v>16818</v>
      </c>
      <c r="G50" s="20">
        <f ca="1">DATEDIF(F50,TODAY(),"Y")</f>
        <v>80</v>
      </c>
      <c r="H50" s="18" t="s">
        <v>92</v>
      </c>
      <c r="I50" s="18" t="s">
        <v>93</v>
      </c>
      <c r="J50" s="18" t="s">
        <v>94</v>
      </c>
      <c r="K50" s="18" t="s">
        <v>132</v>
      </c>
      <c r="L50" s="18" t="s">
        <v>96</v>
      </c>
      <c r="M50" s="18" t="s">
        <v>97</v>
      </c>
      <c r="N50" s="18" t="s">
        <v>97</v>
      </c>
      <c r="O50" s="18" t="s">
        <v>98</v>
      </c>
      <c r="P50" s="18" t="s">
        <v>99</v>
      </c>
      <c r="Q50" s="18">
        <v>162</v>
      </c>
      <c r="R50" s="18">
        <v>101</v>
      </c>
      <c r="S50" s="20">
        <f>IFERROR(R50/((Q50/100)^2),"")</f>
        <v>38.484987044657821</v>
      </c>
      <c r="T50" s="18" t="s">
        <v>209</v>
      </c>
      <c r="U50" s="18" t="s">
        <v>210</v>
      </c>
      <c r="V50" s="18" t="s">
        <v>211</v>
      </c>
      <c r="W50" s="18" t="s">
        <v>103</v>
      </c>
      <c r="X50" s="18" t="s">
        <v>552</v>
      </c>
      <c r="Y50" s="18" t="s">
        <v>553</v>
      </c>
      <c r="Z50" s="18" t="s">
        <v>554</v>
      </c>
    </row>
    <row r="51" spans="1:26">
      <c r="A51" s="18" t="s">
        <v>555</v>
      </c>
      <c r="B51" s="18" t="s">
        <v>556</v>
      </c>
      <c r="C51" s="18" t="s">
        <v>557</v>
      </c>
      <c r="D51" s="18" t="s">
        <v>558</v>
      </c>
      <c r="E51" s="18" t="s">
        <v>559</v>
      </c>
      <c r="F51" s="19">
        <v>19537</v>
      </c>
      <c r="G51" s="20">
        <f ca="1">DATEDIF(F51,TODAY(),"Y")</f>
        <v>73</v>
      </c>
      <c r="H51" s="18" t="s">
        <v>112</v>
      </c>
      <c r="I51" s="18" t="s">
        <v>113</v>
      </c>
      <c r="J51" s="18" t="s">
        <v>114</v>
      </c>
      <c r="K51" s="18" t="s">
        <v>95</v>
      </c>
      <c r="L51" s="18" t="s">
        <v>116</v>
      </c>
      <c r="M51" s="18" t="s">
        <v>117</v>
      </c>
      <c r="N51" s="18" t="s">
        <v>97</v>
      </c>
      <c r="O51" s="18" t="s">
        <v>118</v>
      </c>
      <c r="P51" s="18" t="s">
        <v>99</v>
      </c>
      <c r="Q51" s="18">
        <v>189</v>
      </c>
      <c r="R51" s="18">
        <v>108</v>
      </c>
      <c r="S51" s="20">
        <f>IFERROR(R51/((Q51/100)^2),"")</f>
        <v>30.234315948601665</v>
      </c>
      <c r="T51" s="18" t="s">
        <v>220</v>
      </c>
      <c r="U51" s="18" t="s">
        <v>221</v>
      </c>
      <c r="V51" s="18" t="s">
        <v>222</v>
      </c>
      <c r="W51" s="18" t="s">
        <v>103</v>
      </c>
      <c r="X51" s="18" t="s">
        <v>560</v>
      </c>
      <c r="Y51" s="18" t="s">
        <v>561</v>
      </c>
      <c r="Z51" s="18" t="s">
        <v>562</v>
      </c>
    </row>
  </sheetData>
  <dataValidations count="1">
    <dataValidation type="list" sqref="H2:H1000" xr:uid="{00000000-0002-0000-0200-000000000000}">
      <formula1>"Female,Male,Intersex,Unknown"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9F"/>
  </sheetPr>
  <dimension ref="A1:L1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3" customWidth="1"/>
    <col min="4" max="4" width="18" customWidth="1"/>
    <col min="5" max="5" width="20" customWidth="1"/>
    <col min="6" max="6" width="24" customWidth="1"/>
    <col min="7" max="7" width="30" customWidth="1"/>
    <col min="8" max="8" width="14" customWidth="1"/>
    <col min="9" max="9" width="24" customWidth="1"/>
    <col min="10" max="10" width="42" customWidth="1"/>
    <col min="11" max="11" width="12" customWidth="1"/>
    <col min="12" max="12" width="28" customWidth="1"/>
  </cols>
  <sheetData>
    <row r="1" spans="1:12" ht="30" customHeight="1">
      <c r="A1" s="17" t="s">
        <v>563</v>
      </c>
      <c r="B1" s="17" t="s">
        <v>66</v>
      </c>
      <c r="C1" s="17" t="s">
        <v>564</v>
      </c>
      <c r="D1" s="17" t="s">
        <v>565</v>
      </c>
      <c r="E1" s="17" t="s">
        <v>566</v>
      </c>
      <c r="F1" s="17" t="s">
        <v>567</v>
      </c>
      <c r="G1" s="17" t="s">
        <v>568</v>
      </c>
      <c r="H1" s="17" t="s">
        <v>58</v>
      </c>
      <c r="I1" s="17" t="s">
        <v>569</v>
      </c>
      <c r="J1" s="17" t="s">
        <v>570</v>
      </c>
      <c r="K1" s="17" t="s">
        <v>571</v>
      </c>
      <c r="L1" s="17" t="s">
        <v>572</v>
      </c>
    </row>
    <row r="2" spans="1:12">
      <c r="A2" s="18" t="s">
        <v>573</v>
      </c>
      <c r="B2" s="18" t="s">
        <v>35</v>
      </c>
      <c r="C2" s="19">
        <v>46285</v>
      </c>
      <c r="D2" s="18" t="s">
        <v>574</v>
      </c>
      <c r="E2" s="18" t="s">
        <v>575</v>
      </c>
      <c r="F2" s="18" t="s">
        <v>98</v>
      </c>
      <c r="G2" s="18" t="s">
        <v>576</v>
      </c>
      <c r="H2" s="18" t="s">
        <v>577</v>
      </c>
      <c r="I2" s="18" t="s">
        <v>578</v>
      </c>
      <c r="J2" s="18" t="s">
        <v>579</v>
      </c>
      <c r="K2" s="18" t="s">
        <v>580</v>
      </c>
      <c r="L2" s="18" t="s">
        <v>581</v>
      </c>
    </row>
    <row r="3" spans="1:12">
      <c r="A3" s="18" t="s">
        <v>582</v>
      </c>
      <c r="B3" s="18" t="s">
        <v>35</v>
      </c>
      <c r="C3" s="19">
        <v>46190</v>
      </c>
      <c r="D3" s="18" t="s">
        <v>583</v>
      </c>
      <c r="E3" s="18" t="s">
        <v>575</v>
      </c>
      <c r="F3" s="18" t="s">
        <v>98</v>
      </c>
      <c r="G3" s="18" t="s">
        <v>576</v>
      </c>
      <c r="H3" s="18" t="s">
        <v>577</v>
      </c>
      <c r="I3" s="18" t="s">
        <v>584</v>
      </c>
      <c r="J3" s="18" t="s">
        <v>585</v>
      </c>
      <c r="K3" s="18" t="s">
        <v>580</v>
      </c>
      <c r="L3" s="18" t="s">
        <v>581</v>
      </c>
    </row>
    <row r="4" spans="1:12">
      <c r="A4" s="18" t="s">
        <v>586</v>
      </c>
      <c r="B4" s="18" t="s">
        <v>35</v>
      </c>
      <c r="C4" s="19">
        <v>46095</v>
      </c>
      <c r="D4" s="18" t="s">
        <v>587</v>
      </c>
      <c r="E4" s="18" t="s">
        <v>575</v>
      </c>
      <c r="F4" s="18" t="s">
        <v>98</v>
      </c>
      <c r="G4" s="18" t="s">
        <v>576</v>
      </c>
      <c r="H4" s="18" t="s">
        <v>577</v>
      </c>
      <c r="I4" s="18" t="s">
        <v>588</v>
      </c>
      <c r="J4" s="18" t="s">
        <v>589</v>
      </c>
      <c r="K4" s="18" t="s">
        <v>590</v>
      </c>
      <c r="L4" s="18" t="s">
        <v>581</v>
      </c>
    </row>
    <row r="5" spans="1:12">
      <c r="A5" s="18" t="s">
        <v>591</v>
      </c>
      <c r="B5" s="18" t="s">
        <v>107</v>
      </c>
      <c r="C5" s="19">
        <v>46283</v>
      </c>
      <c r="D5" s="18" t="s">
        <v>574</v>
      </c>
      <c r="E5" s="18" t="s">
        <v>592</v>
      </c>
      <c r="F5" s="18" t="s">
        <v>118</v>
      </c>
      <c r="G5" s="18" t="s">
        <v>593</v>
      </c>
      <c r="H5" s="18" t="s">
        <v>577</v>
      </c>
      <c r="I5" s="18" t="s">
        <v>584</v>
      </c>
      <c r="J5" s="18" t="s">
        <v>585</v>
      </c>
      <c r="K5" s="18" t="s">
        <v>580</v>
      </c>
      <c r="L5" s="18" t="s">
        <v>594</v>
      </c>
    </row>
    <row r="6" spans="1:12">
      <c r="A6" s="18" t="s">
        <v>595</v>
      </c>
      <c r="B6" s="18" t="s">
        <v>107</v>
      </c>
      <c r="C6" s="19">
        <v>46188</v>
      </c>
      <c r="D6" s="18" t="s">
        <v>583</v>
      </c>
      <c r="E6" s="18" t="s">
        <v>592</v>
      </c>
      <c r="F6" s="18" t="s">
        <v>118</v>
      </c>
      <c r="G6" s="18" t="s">
        <v>593</v>
      </c>
      <c r="H6" s="18" t="s">
        <v>577</v>
      </c>
      <c r="I6" s="18" t="s">
        <v>588</v>
      </c>
      <c r="J6" s="18" t="s">
        <v>589</v>
      </c>
      <c r="K6" s="18" t="s">
        <v>580</v>
      </c>
      <c r="L6" s="18" t="s">
        <v>594</v>
      </c>
    </row>
    <row r="7" spans="1:12">
      <c r="A7" s="18" t="s">
        <v>596</v>
      </c>
      <c r="B7" s="18" t="s">
        <v>107</v>
      </c>
      <c r="C7" s="19">
        <v>46093</v>
      </c>
      <c r="D7" s="18" t="s">
        <v>583</v>
      </c>
      <c r="E7" s="18" t="s">
        <v>592</v>
      </c>
      <c r="F7" s="18" t="s">
        <v>118</v>
      </c>
      <c r="G7" s="18" t="s">
        <v>593</v>
      </c>
      <c r="H7" s="18" t="s">
        <v>577</v>
      </c>
      <c r="I7" s="18" t="s">
        <v>597</v>
      </c>
      <c r="J7" s="18" t="s">
        <v>598</v>
      </c>
      <c r="K7" s="18" t="s">
        <v>580</v>
      </c>
      <c r="L7" s="18" t="s">
        <v>594</v>
      </c>
    </row>
    <row r="8" spans="1:12">
      <c r="A8" s="18" t="s">
        <v>599</v>
      </c>
      <c r="B8" s="18" t="s">
        <v>125</v>
      </c>
      <c r="C8" s="19">
        <v>46281</v>
      </c>
      <c r="D8" s="18" t="s">
        <v>574</v>
      </c>
      <c r="E8" s="18" t="s">
        <v>600</v>
      </c>
      <c r="F8" s="18" t="s">
        <v>134</v>
      </c>
      <c r="G8" s="18" t="s">
        <v>601</v>
      </c>
      <c r="H8" s="18" t="s">
        <v>577</v>
      </c>
      <c r="I8" s="18" t="s">
        <v>588</v>
      </c>
      <c r="J8" s="18" t="s">
        <v>589</v>
      </c>
      <c r="K8" s="18" t="s">
        <v>580</v>
      </c>
      <c r="L8" s="18" t="s">
        <v>602</v>
      </c>
    </row>
    <row r="9" spans="1:12">
      <c r="A9" s="18" t="s">
        <v>603</v>
      </c>
      <c r="B9" s="18" t="s">
        <v>125</v>
      </c>
      <c r="C9" s="19">
        <v>46186</v>
      </c>
      <c r="D9" s="18" t="s">
        <v>583</v>
      </c>
      <c r="E9" s="18" t="s">
        <v>600</v>
      </c>
      <c r="F9" s="18" t="s">
        <v>134</v>
      </c>
      <c r="G9" s="18" t="s">
        <v>601</v>
      </c>
      <c r="H9" s="18" t="s">
        <v>577</v>
      </c>
      <c r="I9" s="18" t="s">
        <v>597</v>
      </c>
      <c r="J9" s="18" t="s">
        <v>598</v>
      </c>
      <c r="K9" s="18" t="s">
        <v>580</v>
      </c>
      <c r="L9" s="18" t="s">
        <v>602</v>
      </c>
    </row>
    <row r="10" spans="1:12">
      <c r="A10" s="18" t="s">
        <v>604</v>
      </c>
      <c r="B10" s="18" t="s">
        <v>125</v>
      </c>
      <c r="C10" s="19">
        <v>46091</v>
      </c>
      <c r="D10" s="18" t="s">
        <v>583</v>
      </c>
      <c r="E10" s="18" t="s">
        <v>600</v>
      </c>
      <c r="F10" s="18" t="s">
        <v>134</v>
      </c>
      <c r="G10" s="18" t="s">
        <v>601</v>
      </c>
      <c r="H10" s="18" t="s">
        <v>577</v>
      </c>
      <c r="I10" s="18" t="s">
        <v>605</v>
      </c>
      <c r="J10" s="18" t="s">
        <v>606</v>
      </c>
      <c r="K10" s="18" t="s">
        <v>580</v>
      </c>
      <c r="L10" s="18" t="s">
        <v>602</v>
      </c>
    </row>
    <row r="11" spans="1:12">
      <c r="A11" s="18" t="s">
        <v>607</v>
      </c>
      <c r="B11" s="18" t="s">
        <v>141</v>
      </c>
      <c r="C11" s="19">
        <v>46279</v>
      </c>
      <c r="D11" s="18" t="s">
        <v>574</v>
      </c>
      <c r="E11" s="18" t="s">
        <v>608</v>
      </c>
      <c r="F11" s="18" t="s">
        <v>149</v>
      </c>
      <c r="G11" s="18" t="s">
        <v>609</v>
      </c>
      <c r="H11" s="18" t="s">
        <v>577</v>
      </c>
      <c r="I11" s="18" t="s">
        <v>597</v>
      </c>
      <c r="J11" s="18" t="s">
        <v>598</v>
      </c>
      <c r="K11" s="18" t="s">
        <v>580</v>
      </c>
      <c r="L11" s="18" t="s">
        <v>610</v>
      </c>
    </row>
    <row r="12" spans="1:12">
      <c r="A12" s="18" t="s">
        <v>611</v>
      </c>
      <c r="B12" s="18" t="s">
        <v>141</v>
      </c>
      <c r="C12" s="19">
        <v>46184</v>
      </c>
      <c r="D12" s="18" t="s">
        <v>583</v>
      </c>
      <c r="E12" s="18" t="s">
        <v>608</v>
      </c>
      <c r="F12" s="18" t="s">
        <v>149</v>
      </c>
      <c r="G12" s="18" t="s">
        <v>609</v>
      </c>
      <c r="H12" s="18" t="s">
        <v>577</v>
      </c>
      <c r="I12" s="18" t="s">
        <v>605</v>
      </c>
      <c r="J12" s="18" t="s">
        <v>606</v>
      </c>
      <c r="K12" s="18" t="s">
        <v>580</v>
      </c>
      <c r="L12" s="18" t="s">
        <v>610</v>
      </c>
    </row>
    <row r="13" spans="1:12">
      <c r="A13" s="18" t="s">
        <v>612</v>
      </c>
      <c r="B13" s="18" t="s">
        <v>141</v>
      </c>
      <c r="C13" s="19">
        <v>46089</v>
      </c>
      <c r="D13" s="18" t="s">
        <v>583</v>
      </c>
      <c r="E13" s="18" t="s">
        <v>608</v>
      </c>
      <c r="F13" s="18" t="s">
        <v>149</v>
      </c>
      <c r="G13" s="18" t="s">
        <v>609</v>
      </c>
      <c r="H13" s="18" t="s">
        <v>577</v>
      </c>
      <c r="I13" s="18" t="s">
        <v>613</v>
      </c>
      <c r="J13" s="18" t="s">
        <v>614</v>
      </c>
      <c r="K13" s="18" t="s">
        <v>580</v>
      </c>
      <c r="L13" s="18" t="s">
        <v>610</v>
      </c>
    </row>
    <row r="14" spans="1:12">
      <c r="A14" s="18" t="s">
        <v>615</v>
      </c>
      <c r="B14" s="18" t="s">
        <v>155</v>
      </c>
      <c r="C14" s="19">
        <v>46277</v>
      </c>
      <c r="D14" s="18" t="s">
        <v>574</v>
      </c>
      <c r="E14" s="18" t="s">
        <v>575</v>
      </c>
      <c r="F14" s="18" t="s">
        <v>162</v>
      </c>
      <c r="G14" s="18" t="s">
        <v>576</v>
      </c>
      <c r="H14" s="18" t="s">
        <v>577</v>
      </c>
      <c r="I14" s="18" t="s">
        <v>605</v>
      </c>
      <c r="J14" s="18" t="s">
        <v>606</v>
      </c>
      <c r="K14" s="18" t="s">
        <v>580</v>
      </c>
      <c r="L14" s="18" t="s">
        <v>581</v>
      </c>
    </row>
    <row r="15" spans="1:12">
      <c r="A15" s="18" t="s">
        <v>616</v>
      </c>
      <c r="B15" s="18" t="s">
        <v>155</v>
      </c>
      <c r="C15" s="19">
        <v>46182</v>
      </c>
      <c r="D15" s="18" t="s">
        <v>583</v>
      </c>
      <c r="E15" s="18" t="s">
        <v>575</v>
      </c>
      <c r="F15" s="18" t="s">
        <v>162</v>
      </c>
      <c r="G15" s="18" t="s">
        <v>576</v>
      </c>
      <c r="H15" s="18" t="s">
        <v>577</v>
      </c>
      <c r="I15" s="18" t="s">
        <v>613</v>
      </c>
      <c r="J15" s="18" t="s">
        <v>614</v>
      </c>
      <c r="K15" s="18" t="s">
        <v>580</v>
      </c>
      <c r="L15" s="18" t="s">
        <v>581</v>
      </c>
    </row>
    <row r="16" spans="1:12">
      <c r="A16" s="18" t="s">
        <v>617</v>
      </c>
      <c r="B16" s="18" t="s">
        <v>155</v>
      </c>
      <c r="C16" s="19">
        <v>46087</v>
      </c>
      <c r="D16" s="18" t="s">
        <v>587</v>
      </c>
      <c r="E16" s="18" t="s">
        <v>575</v>
      </c>
      <c r="F16" s="18" t="s">
        <v>162</v>
      </c>
      <c r="G16" s="18" t="s">
        <v>576</v>
      </c>
      <c r="H16" s="18" t="s">
        <v>577</v>
      </c>
      <c r="I16" s="18" t="s">
        <v>618</v>
      </c>
      <c r="J16" s="18" t="s">
        <v>619</v>
      </c>
      <c r="K16" s="18" t="s">
        <v>590</v>
      </c>
      <c r="L16" s="18" t="s">
        <v>581</v>
      </c>
    </row>
    <row r="17" spans="1:12">
      <c r="A17" s="18" t="s">
        <v>620</v>
      </c>
      <c r="B17" s="18" t="s">
        <v>169</v>
      </c>
      <c r="C17" s="19">
        <v>46275</v>
      </c>
      <c r="D17" s="18" t="s">
        <v>574</v>
      </c>
      <c r="E17" s="18" t="s">
        <v>592</v>
      </c>
      <c r="F17" s="18" t="s">
        <v>176</v>
      </c>
      <c r="G17" s="18" t="s">
        <v>593</v>
      </c>
      <c r="H17" s="18" t="s">
        <v>577</v>
      </c>
      <c r="I17" s="18" t="s">
        <v>613</v>
      </c>
      <c r="J17" s="18" t="s">
        <v>614</v>
      </c>
      <c r="K17" s="18" t="s">
        <v>580</v>
      </c>
      <c r="L17" s="18" t="s">
        <v>594</v>
      </c>
    </row>
    <row r="18" spans="1:12">
      <c r="A18" s="18" t="s">
        <v>621</v>
      </c>
      <c r="B18" s="18" t="s">
        <v>169</v>
      </c>
      <c r="C18" s="19">
        <v>46180</v>
      </c>
      <c r="D18" s="18" t="s">
        <v>583</v>
      </c>
      <c r="E18" s="18" t="s">
        <v>592</v>
      </c>
      <c r="F18" s="18" t="s">
        <v>176</v>
      </c>
      <c r="G18" s="18" t="s">
        <v>593</v>
      </c>
      <c r="H18" s="18" t="s">
        <v>577</v>
      </c>
      <c r="I18" s="18" t="s">
        <v>618</v>
      </c>
      <c r="J18" s="18" t="s">
        <v>619</v>
      </c>
      <c r="K18" s="18" t="s">
        <v>580</v>
      </c>
      <c r="L18" s="18" t="s">
        <v>594</v>
      </c>
    </row>
    <row r="19" spans="1:12">
      <c r="A19" s="18" t="s">
        <v>622</v>
      </c>
      <c r="B19" s="18" t="s">
        <v>169</v>
      </c>
      <c r="C19" s="19">
        <v>46085</v>
      </c>
      <c r="D19" s="18" t="s">
        <v>583</v>
      </c>
      <c r="E19" s="18" t="s">
        <v>592</v>
      </c>
      <c r="F19" s="18" t="s">
        <v>176</v>
      </c>
      <c r="G19" s="18" t="s">
        <v>593</v>
      </c>
      <c r="H19" s="18" t="s">
        <v>577</v>
      </c>
      <c r="I19" s="18" t="s">
        <v>623</v>
      </c>
      <c r="J19" s="18" t="s">
        <v>624</v>
      </c>
      <c r="K19" s="18" t="s">
        <v>580</v>
      </c>
      <c r="L19" s="18" t="s">
        <v>594</v>
      </c>
    </row>
    <row r="20" spans="1:12">
      <c r="A20" s="18" t="s">
        <v>625</v>
      </c>
      <c r="B20" s="18" t="s">
        <v>183</v>
      </c>
      <c r="C20" s="19">
        <v>46273</v>
      </c>
      <c r="D20" s="18" t="s">
        <v>574</v>
      </c>
      <c r="E20" s="18" t="s">
        <v>600</v>
      </c>
      <c r="F20" s="18" t="s">
        <v>98</v>
      </c>
      <c r="G20" s="18" t="s">
        <v>601</v>
      </c>
      <c r="H20" s="18" t="s">
        <v>577</v>
      </c>
      <c r="I20" s="18" t="s">
        <v>618</v>
      </c>
      <c r="J20" s="18" t="s">
        <v>619</v>
      </c>
      <c r="K20" s="18" t="s">
        <v>580</v>
      </c>
      <c r="L20" s="18" t="s">
        <v>602</v>
      </c>
    </row>
    <row r="21" spans="1:12">
      <c r="A21" s="18" t="s">
        <v>626</v>
      </c>
      <c r="B21" s="18" t="s">
        <v>183</v>
      </c>
      <c r="C21" s="19">
        <v>46178</v>
      </c>
      <c r="D21" s="18" t="s">
        <v>583</v>
      </c>
      <c r="E21" s="18" t="s">
        <v>600</v>
      </c>
      <c r="F21" s="18" t="s">
        <v>98</v>
      </c>
      <c r="G21" s="18" t="s">
        <v>601</v>
      </c>
      <c r="H21" s="18" t="s">
        <v>577</v>
      </c>
      <c r="I21" s="18" t="s">
        <v>623</v>
      </c>
      <c r="J21" s="18" t="s">
        <v>624</v>
      </c>
      <c r="K21" s="18" t="s">
        <v>580</v>
      </c>
      <c r="L21" s="18" t="s">
        <v>602</v>
      </c>
    </row>
    <row r="22" spans="1:12">
      <c r="A22" s="18" t="s">
        <v>627</v>
      </c>
      <c r="B22" s="18" t="s">
        <v>183</v>
      </c>
      <c r="C22" s="19">
        <v>46083</v>
      </c>
      <c r="D22" s="18" t="s">
        <v>583</v>
      </c>
      <c r="E22" s="18" t="s">
        <v>600</v>
      </c>
      <c r="F22" s="18" t="s">
        <v>98</v>
      </c>
      <c r="G22" s="18" t="s">
        <v>601</v>
      </c>
      <c r="H22" s="18" t="s">
        <v>577</v>
      </c>
      <c r="I22" s="18" t="s">
        <v>628</v>
      </c>
      <c r="J22" s="18" t="s">
        <v>629</v>
      </c>
      <c r="K22" s="18" t="s">
        <v>580</v>
      </c>
      <c r="L22" s="18" t="s">
        <v>602</v>
      </c>
    </row>
    <row r="23" spans="1:12">
      <c r="A23" s="18" t="s">
        <v>630</v>
      </c>
      <c r="B23" s="18" t="s">
        <v>194</v>
      </c>
      <c r="C23" s="19">
        <v>46271</v>
      </c>
      <c r="D23" s="18" t="s">
        <v>574</v>
      </c>
      <c r="E23" s="18" t="s">
        <v>608</v>
      </c>
      <c r="F23" s="18" t="s">
        <v>118</v>
      </c>
      <c r="G23" s="18" t="s">
        <v>609</v>
      </c>
      <c r="H23" s="18" t="s">
        <v>577</v>
      </c>
      <c r="I23" s="18" t="s">
        <v>623</v>
      </c>
      <c r="J23" s="18" t="s">
        <v>624</v>
      </c>
      <c r="K23" s="18" t="s">
        <v>580</v>
      </c>
      <c r="L23" s="18" t="s">
        <v>610</v>
      </c>
    </row>
    <row r="24" spans="1:12">
      <c r="A24" s="18" t="s">
        <v>631</v>
      </c>
      <c r="B24" s="18" t="s">
        <v>194</v>
      </c>
      <c r="C24" s="19">
        <v>46176</v>
      </c>
      <c r="D24" s="18" t="s">
        <v>583</v>
      </c>
      <c r="E24" s="18" t="s">
        <v>608</v>
      </c>
      <c r="F24" s="18" t="s">
        <v>118</v>
      </c>
      <c r="G24" s="18" t="s">
        <v>609</v>
      </c>
      <c r="H24" s="18" t="s">
        <v>577</v>
      </c>
      <c r="I24" s="18" t="s">
        <v>628</v>
      </c>
      <c r="J24" s="18" t="s">
        <v>629</v>
      </c>
      <c r="K24" s="18" t="s">
        <v>580</v>
      </c>
      <c r="L24" s="18" t="s">
        <v>610</v>
      </c>
    </row>
    <row r="25" spans="1:12">
      <c r="A25" s="18" t="s">
        <v>632</v>
      </c>
      <c r="B25" s="18" t="s">
        <v>194</v>
      </c>
      <c r="C25" s="19">
        <v>46081</v>
      </c>
      <c r="D25" s="18" t="s">
        <v>583</v>
      </c>
      <c r="E25" s="18" t="s">
        <v>608</v>
      </c>
      <c r="F25" s="18" t="s">
        <v>118</v>
      </c>
      <c r="G25" s="18" t="s">
        <v>609</v>
      </c>
      <c r="H25" s="18" t="s">
        <v>577</v>
      </c>
      <c r="I25" s="18" t="s">
        <v>633</v>
      </c>
      <c r="J25" s="18" t="s">
        <v>634</v>
      </c>
      <c r="K25" s="18" t="s">
        <v>580</v>
      </c>
      <c r="L25" s="18" t="s">
        <v>610</v>
      </c>
    </row>
    <row r="26" spans="1:12">
      <c r="A26" s="18" t="s">
        <v>635</v>
      </c>
      <c r="B26" s="18" t="s">
        <v>204</v>
      </c>
      <c r="C26" s="19">
        <v>46269</v>
      </c>
      <c r="D26" s="18" t="s">
        <v>574</v>
      </c>
      <c r="E26" s="18" t="s">
        <v>575</v>
      </c>
      <c r="F26" s="18" t="s">
        <v>134</v>
      </c>
      <c r="G26" s="18" t="s">
        <v>576</v>
      </c>
      <c r="H26" s="18" t="s">
        <v>577</v>
      </c>
      <c r="I26" s="18" t="s">
        <v>628</v>
      </c>
      <c r="J26" s="18" t="s">
        <v>629</v>
      </c>
      <c r="K26" s="18" t="s">
        <v>580</v>
      </c>
      <c r="L26" s="18" t="s">
        <v>581</v>
      </c>
    </row>
    <row r="27" spans="1:12">
      <c r="A27" s="18" t="s">
        <v>636</v>
      </c>
      <c r="B27" s="18" t="s">
        <v>204</v>
      </c>
      <c r="C27" s="19">
        <v>46174</v>
      </c>
      <c r="D27" s="18" t="s">
        <v>583</v>
      </c>
      <c r="E27" s="18" t="s">
        <v>575</v>
      </c>
      <c r="F27" s="18" t="s">
        <v>134</v>
      </c>
      <c r="G27" s="18" t="s">
        <v>576</v>
      </c>
      <c r="H27" s="18" t="s">
        <v>577</v>
      </c>
      <c r="I27" s="18" t="s">
        <v>633</v>
      </c>
      <c r="J27" s="18" t="s">
        <v>634</v>
      </c>
      <c r="K27" s="18" t="s">
        <v>580</v>
      </c>
      <c r="L27" s="18" t="s">
        <v>581</v>
      </c>
    </row>
    <row r="28" spans="1:12">
      <c r="A28" s="18" t="s">
        <v>637</v>
      </c>
      <c r="B28" s="18" t="s">
        <v>204</v>
      </c>
      <c r="C28" s="19">
        <v>46079</v>
      </c>
      <c r="D28" s="18" t="s">
        <v>587</v>
      </c>
      <c r="E28" s="18" t="s">
        <v>575</v>
      </c>
      <c r="F28" s="18" t="s">
        <v>134</v>
      </c>
      <c r="G28" s="18" t="s">
        <v>576</v>
      </c>
      <c r="H28" s="18" t="s">
        <v>577</v>
      </c>
      <c r="I28" s="18" t="s">
        <v>578</v>
      </c>
      <c r="J28" s="18" t="s">
        <v>579</v>
      </c>
      <c r="K28" s="18" t="s">
        <v>590</v>
      </c>
      <c r="L28" s="18" t="s">
        <v>581</v>
      </c>
    </row>
    <row r="29" spans="1:12">
      <c r="A29" s="18" t="s">
        <v>638</v>
      </c>
      <c r="B29" s="18" t="s">
        <v>215</v>
      </c>
      <c r="C29" s="19">
        <v>46267</v>
      </c>
      <c r="D29" s="18" t="s">
        <v>574</v>
      </c>
      <c r="E29" s="18" t="s">
        <v>592</v>
      </c>
      <c r="F29" s="18" t="s">
        <v>149</v>
      </c>
      <c r="G29" s="18" t="s">
        <v>593</v>
      </c>
      <c r="H29" s="18" t="s">
        <v>577</v>
      </c>
      <c r="I29" s="18" t="s">
        <v>633</v>
      </c>
      <c r="J29" s="18" t="s">
        <v>634</v>
      </c>
      <c r="K29" s="18" t="s">
        <v>580</v>
      </c>
      <c r="L29" s="18" t="s">
        <v>594</v>
      </c>
    </row>
    <row r="30" spans="1:12">
      <c r="A30" s="18" t="s">
        <v>639</v>
      </c>
      <c r="B30" s="18" t="s">
        <v>215</v>
      </c>
      <c r="C30" s="19">
        <v>46172</v>
      </c>
      <c r="D30" s="18" t="s">
        <v>583</v>
      </c>
      <c r="E30" s="18" t="s">
        <v>592</v>
      </c>
      <c r="F30" s="18" t="s">
        <v>149</v>
      </c>
      <c r="G30" s="18" t="s">
        <v>593</v>
      </c>
      <c r="H30" s="18" t="s">
        <v>577</v>
      </c>
      <c r="I30" s="18" t="s">
        <v>578</v>
      </c>
      <c r="J30" s="18" t="s">
        <v>579</v>
      </c>
      <c r="K30" s="18" t="s">
        <v>580</v>
      </c>
      <c r="L30" s="18" t="s">
        <v>594</v>
      </c>
    </row>
    <row r="31" spans="1:12">
      <c r="A31" s="18" t="s">
        <v>640</v>
      </c>
      <c r="B31" s="18" t="s">
        <v>215</v>
      </c>
      <c r="C31" s="19">
        <v>46077</v>
      </c>
      <c r="D31" s="18" t="s">
        <v>583</v>
      </c>
      <c r="E31" s="18" t="s">
        <v>592</v>
      </c>
      <c r="F31" s="18" t="s">
        <v>149</v>
      </c>
      <c r="G31" s="18" t="s">
        <v>593</v>
      </c>
      <c r="H31" s="18" t="s">
        <v>577</v>
      </c>
      <c r="I31" s="18" t="s">
        <v>584</v>
      </c>
      <c r="J31" s="18" t="s">
        <v>585</v>
      </c>
      <c r="K31" s="18" t="s">
        <v>580</v>
      </c>
      <c r="L31" s="18" t="s">
        <v>594</v>
      </c>
    </row>
    <row r="32" spans="1:12">
      <c r="A32" s="18" t="s">
        <v>641</v>
      </c>
      <c r="B32" s="18" t="s">
        <v>226</v>
      </c>
      <c r="C32" s="19">
        <v>46265</v>
      </c>
      <c r="D32" s="18" t="s">
        <v>574</v>
      </c>
      <c r="E32" s="18" t="s">
        <v>600</v>
      </c>
      <c r="F32" s="18" t="s">
        <v>162</v>
      </c>
      <c r="G32" s="18" t="s">
        <v>601</v>
      </c>
      <c r="H32" s="18" t="s">
        <v>577</v>
      </c>
      <c r="I32" s="18" t="s">
        <v>578</v>
      </c>
      <c r="J32" s="18" t="s">
        <v>579</v>
      </c>
      <c r="K32" s="18" t="s">
        <v>580</v>
      </c>
      <c r="L32" s="18" t="s">
        <v>602</v>
      </c>
    </row>
    <row r="33" spans="1:12">
      <c r="A33" s="18" t="s">
        <v>642</v>
      </c>
      <c r="B33" s="18" t="s">
        <v>226</v>
      </c>
      <c r="C33" s="19">
        <v>46170</v>
      </c>
      <c r="D33" s="18" t="s">
        <v>583</v>
      </c>
      <c r="E33" s="18" t="s">
        <v>600</v>
      </c>
      <c r="F33" s="18" t="s">
        <v>162</v>
      </c>
      <c r="G33" s="18" t="s">
        <v>601</v>
      </c>
      <c r="H33" s="18" t="s">
        <v>577</v>
      </c>
      <c r="I33" s="18" t="s">
        <v>584</v>
      </c>
      <c r="J33" s="18" t="s">
        <v>585</v>
      </c>
      <c r="K33" s="18" t="s">
        <v>580</v>
      </c>
      <c r="L33" s="18" t="s">
        <v>602</v>
      </c>
    </row>
    <row r="34" spans="1:12">
      <c r="A34" s="18" t="s">
        <v>643</v>
      </c>
      <c r="B34" s="18" t="s">
        <v>226</v>
      </c>
      <c r="C34" s="19">
        <v>46075</v>
      </c>
      <c r="D34" s="18" t="s">
        <v>583</v>
      </c>
      <c r="E34" s="18" t="s">
        <v>600</v>
      </c>
      <c r="F34" s="18" t="s">
        <v>162</v>
      </c>
      <c r="G34" s="18" t="s">
        <v>601</v>
      </c>
      <c r="H34" s="18" t="s">
        <v>577</v>
      </c>
      <c r="I34" s="18" t="s">
        <v>588</v>
      </c>
      <c r="J34" s="18" t="s">
        <v>589</v>
      </c>
      <c r="K34" s="18" t="s">
        <v>580</v>
      </c>
      <c r="L34" s="18" t="s">
        <v>602</v>
      </c>
    </row>
    <row r="35" spans="1:12">
      <c r="A35" s="18" t="s">
        <v>644</v>
      </c>
      <c r="B35" s="18" t="s">
        <v>237</v>
      </c>
      <c r="C35" s="19">
        <v>46263</v>
      </c>
      <c r="D35" s="18" t="s">
        <v>574</v>
      </c>
      <c r="E35" s="18" t="s">
        <v>608</v>
      </c>
      <c r="F35" s="18" t="s">
        <v>176</v>
      </c>
      <c r="G35" s="18" t="s">
        <v>609</v>
      </c>
      <c r="H35" s="18" t="s">
        <v>577</v>
      </c>
      <c r="I35" s="18" t="s">
        <v>584</v>
      </c>
      <c r="J35" s="18" t="s">
        <v>585</v>
      </c>
      <c r="K35" s="18" t="s">
        <v>580</v>
      </c>
      <c r="L35" s="18" t="s">
        <v>610</v>
      </c>
    </row>
    <row r="36" spans="1:12">
      <c r="A36" s="18" t="s">
        <v>645</v>
      </c>
      <c r="B36" s="18" t="s">
        <v>237</v>
      </c>
      <c r="C36" s="19">
        <v>46168</v>
      </c>
      <c r="D36" s="18" t="s">
        <v>583</v>
      </c>
      <c r="E36" s="18" t="s">
        <v>608</v>
      </c>
      <c r="F36" s="18" t="s">
        <v>176</v>
      </c>
      <c r="G36" s="18" t="s">
        <v>609</v>
      </c>
      <c r="H36" s="18" t="s">
        <v>577</v>
      </c>
      <c r="I36" s="18" t="s">
        <v>588</v>
      </c>
      <c r="J36" s="18" t="s">
        <v>589</v>
      </c>
      <c r="K36" s="18" t="s">
        <v>580</v>
      </c>
      <c r="L36" s="18" t="s">
        <v>610</v>
      </c>
    </row>
    <row r="37" spans="1:12">
      <c r="A37" s="18" t="s">
        <v>646</v>
      </c>
      <c r="B37" s="18" t="s">
        <v>237</v>
      </c>
      <c r="C37" s="19">
        <v>46073</v>
      </c>
      <c r="D37" s="18" t="s">
        <v>583</v>
      </c>
      <c r="E37" s="18" t="s">
        <v>608</v>
      </c>
      <c r="F37" s="18" t="s">
        <v>176</v>
      </c>
      <c r="G37" s="18" t="s">
        <v>609</v>
      </c>
      <c r="H37" s="18" t="s">
        <v>577</v>
      </c>
      <c r="I37" s="18" t="s">
        <v>597</v>
      </c>
      <c r="J37" s="18" t="s">
        <v>598</v>
      </c>
      <c r="K37" s="18" t="s">
        <v>580</v>
      </c>
      <c r="L37" s="18" t="s">
        <v>610</v>
      </c>
    </row>
    <row r="38" spans="1:12">
      <c r="A38" s="18" t="s">
        <v>647</v>
      </c>
      <c r="B38" s="18" t="s">
        <v>248</v>
      </c>
      <c r="C38" s="19">
        <v>46261</v>
      </c>
      <c r="D38" s="18" t="s">
        <v>574</v>
      </c>
      <c r="E38" s="18" t="s">
        <v>575</v>
      </c>
      <c r="F38" s="18" t="s">
        <v>98</v>
      </c>
      <c r="G38" s="18" t="s">
        <v>576</v>
      </c>
      <c r="H38" s="18" t="s">
        <v>577</v>
      </c>
      <c r="I38" s="18" t="s">
        <v>588</v>
      </c>
      <c r="J38" s="18" t="s">
        <v>589</v>
      </c>
      <c r="K38" s="18" t="s">
        <v>580</v>
      </c>
      <c r="L38" s="18" t="s">
        <v>581</v>
      </c>
    </row>
    <row r="39" spans="1:12">
      <c r="A39" s="18" t="s">
        <v>648</v>
      </c>
      <c r="B39" s="18" t="s">
        <v>248</v>
      </c>
      <c r="C39" s="19">
        <v>46166</v>
      </c>
      <c r="D39" s="18" t="s">
        <v>583</v>
      </c>
      <c r="E39" s="18" t="s">
        <v>575</v>
      </c>
      <c r="F39" s="18" t="s">
        <v>98</v>
      </c>
      <c r="G39" s="18" t="s">
        <v>576</v>
      </c>
      <c r="H39" s="18" t="s">
        <v>577</v>
      </c>
      <c r="I39" s="18" t="s">
        <v>597</v>
      </c>
      <c r="J39" s="18" t="s">
        <v>598</v>
      </c>
      <c r="K39" s="18" t="s">
        <v>580</v>
      </c>
      <c r="L39" s="18" t="s">
        <v>581</v>
      </c>
    </row>
    <row r="40" spans="1:12">
      <c r="A40" s="18" t="s">
        <v>649</v>
      </c>
      <c r="B40" s="18" t="s">
        <v>248</v>
      </c>
      <c r="C40" s="19">
        <v>46071</v>
      </c>
      <c r="D40" s="18" t="s">
        <v>587</v>
      </c>
      <c r="E40" s="18" t="s">
        <v>575</v>
      </c>
      <c r="F40" s="18" t="s">
        <v>98</v>
      </c>
      <c r="G40" s="18" t="s">
        <v>576</v>
      </c>
      <c r="H40" s="18" t="s">
        <v>577</v>
      </c>
      <c r="I40" s="18" t="s">
        <v>605</v>
      </c>
      <c r="J40" s="18" t="s">
        <v>606</v>
      </c>
      <c r="K40" s="18" t="s">
        <v>590</v>
      </c>
      <c r="L40" s="18" t="s">
        <v>581</v>
      </c>
    </row>
    <row r="41" spans="1:12">
      <c r="A41" s="18" t="s">
        <v>650</v>
      </c>
      <c r="B41" s="18" t="s">
        <v>259</v>
      </c>
      <c r="C41" s="19">
        <v>46259</v>
      </c>
      <c r="D41" s="18" t="s">
        <v>574</v>
      </c>
      <c r="E41" s="18" t="s">
        <v>592</v>
      </c>
      <c r="F41" s="18" t="s">
        <v>118</v>
      </c>
      <c r="G41" s="18" t="s">
        <v>593</v>
      </c>
      <c r="H41" s="18" t="s">
        <v>577</v>
      </c>
      <c r="I41" s="18" t="s">
        <v>597</v>
      </c>
      <c r="J41" s="18" t="s">
        <v>598</v>
      </c>
      <c r="K41" s="18" t="s">
        <v>580</v>
      </c>
      <c r="L41" s="18" t="s">
        <v>594</v>
      </c>
    </row>
    <row r="42" spans="1:12">
      <c r="A42" s="18" t="s">
        <v>651</v>
      </c>
      <c r="B42" s="18" t="s">
        <v>259</v>
      </c>
      <c r="C42" s="19">
        <v>46164</v>
      </c>
      <c r="D42" s="18" t="s">
        <v>583</v>
      </c>
      <c r="E42" s="18" t="s">
        <v>592</v>
      </c>
      <c r="F42" s="18" t="s">
        <v>118</v>
      </c>
      <c r="G42" s="18" t="s">
        <v>593</v>
      </c>
      <c r="H42" s="18" t="s">
        <v>577</v>
      </c>
      <c r="I42" s="18" t="s">
        <v>605</v>
      </c>
      <c r="J42" s="18" t="s">
        <v>606</v>
      </c>
      <c r="K42" s="18" t="s">
        <v>580</v>
      </c>
      <c r="L42" s="18" t="s">
        <v>594</v>
      </c>
    </row>
    <row r="43" spans="1:12">
      <c r="A43" s="18" t="s">
        <v>652</v>
      </c>
      <c r="B43" s="18" t="s">
        <v>259</v>
      </c>
      <c r="C43" s="19">
        <v>46069</v>
      </c>
      <c r="D43" s="18" t="s">
        <v>583</v>
      </c>
      <c r="E43" s="18" t="s">
        <v>592</v>
      </c>
      <c r="F43" s="18" t="s">
        <v>118</v>
      </c>
      <c r="G43" s="18" t="s">
        <v>593</v>
      </c>
      <c r="H43" s="18" t="s">
        <v>577</v>
      </c>
      <c r="I43" s="18" t="s">
        <v>613</v>
      </c>
      <c r="J43" s="18" t="s">
        <v>614</v>
      </c>
      <c r="K43" s="18" t="s">
        <v>580</v>
      </c>
      <c r="L43" s="18" t="s">
        <v>594</v>
      </c>
    </row>
    <row r="44" spans="1:12">
      <c r="A44" s="18" t="s">
        <v>653</v>
      </c>
      <c r="B44" s="18" t="s">
        <v>270</v>
      </c>
      <c r="C44" s="19">
        <v>46257</v>
      </c>
      <c r="D44" s="18" t="s">
        <v>574</v>
      </c>
      <c r="E44" s="18" t="s">
        <v>600</v>
      </c>
      <c r="F44" s="18" t="s">
        <v>134</v>
      </c>
      <c r="G44" s="18" t="s">
        <v>601</v>
      </c>
      <c r="H44" s="18" t="s">
        <v>577</v>
      </c>
      <c r="I44" s="18" t="s">
        <v>605</v>
      </c>
      <c r="J44" s="18" t="s">
        <v>606</v>
      </c>
      <c r="K44" s="18" t="s">
        <v>580</v>
      </c>
      <c r="L44" s="18" t="s">
        <v>602</v>
      </c>
    </row>
    <row r="45" spans="1:12">
      <c r="A45" s="18" t="s">
        <v>654</v>
      </c>
      <c r="B45" s="18" t="s">
        <v>270</v>
      </c>
      <c r="C45" s="19">
        <v>46162</v>
      </c>
      <c r="D45" s="18" t="s">
        <v>583</v>
      </c>
      <c r="E45" s="18" t="s">
        <v>600</v>
      </c>
      <c r="F45" s="18" t="s">
        <v>134</v>
      </c>
      <c r="G45" s="18" t="s">
        <v>601</v>
      </c>
      <c r="H45" s="18" t="s">
        <v>577</v>
      </c>
      <c r="I45" s="18" t="s">
        <v>613</v>
      </c>
      <c r="J45" s="18" t="s">
        <v>614</v>
      </c>
      <c r="K45" s="18" t="s">
        <v>580</v>
      </c>
      <c r="L45" s="18" t="s">
        <v>602</v>
      </c>
    </row>
    <row r="46" spans="1:12">
      <c r="A46" s="18" t="s">
        <v>655</v>
      </c>
      <c r="B46" s="18" t="s">
        <v>270</v>
      </c>
      <c r="C46" s="19">
        <v>46067</v>
      </c>
      <c r="D46" s="18" t="s">
        <v>583</v>
      </c>
      <c r="E46" s="18" t="s">
        <v>600</v>
      </c>
      <c r="F46" s="18" t="s">
        <v>134</v>
      </c>
      <c r="G46" s="18" t="s">
        <v>601</v>
      </c>
      <c r="H46" s="18" t="s">
        <v>577</v>
      </c>
      <c r="I46" s="18" t="s">
        <v>618</v>
      </c>
      <c r="J46" s="18" t="s">
        <v>619</v>
      </c>
      <c r="K46" s="18" t="s">
        <v>580</v>
      </c>
      <c r="L46" s="18" t="s">
        <v>602</v>
      </c>
    </row>
    <row r="47" spans="1:12">
      <c r="A47" s="18" t="s">
        <v>656</v>
      </c>
      <c r="B47" s="18" t="s">
        <v>281</v>
      </c>
      <c r="C47" s="19">
        <v>46255</v>
      </c>
      <c r="D47" s="18" t="s">
        <v>574</v>
      </c>
      <c r="E47" s="18" t="s">
        <v>608</v>
      </c>
      <c r="F47" s="18" t="s">
        <v>149</v>
      </c>
      <c r="G47" s="18" t="s">
        <v>609</v>
      </c>
      <c r="H47" s="18" t="s">
        <v>577</v>
      </c>
      <c r="I47" s="18" t="s">
        <v>613</v>
      </c>
      <c r="J47" s="18" t="s">
        <v>614</v>
      </c>
      <c r="K47" s="18" t="s">
        <v>580</v>
      </c>
      <c r="L47" s="18" t="s">
        <v>610</v>
      </c>
    </row>
    <row r="48" spans="1:12">
      <c r="A48" s="18" t="s">
        <v>657</v>
      </c>
      <c r="B48" s="18" t="s">
        <v>281</v>
      </c>
      <c r="C48" s="19">
        <v>46160</v>
      </c>
      <c r="D48" s="18" t="s">
        <v>583</v>
      </c>
      <c r="E48" s="18" t="s">
        <v>608</v>
      </c>
      <c r="F48" s="18" t="s">
        <v>149</v>
      </c>
      <c r="G48" s="18" t="s">
        <v>609</v>
      </c>
      <c r="H48" s="18" t="s">
        <v>577</v>
      </c>
      <c r="I48" s="18" t="s">
        <v>618</v>
      </c>
      <c r="J48" s="18" t="s">
        <v>619</v>
      </c>
      <c r="K48" s="18" t="s">
        <v>580</v>
      </c>
      <c r="L48" s="18" t="s">
        <v>610</v>
      </c>
    </row>
    <row r="49" spans="1:12">
      <c r="A49" s="18" t="s">
        <v>658</v>
      </c>
      <c r="B49" s="18" t="s">
        <v>281</v>
      </c>
      <c r="C49" s="19">
        <v>46065</v>
      </c>
      <c r="D49" s="18" t="s">
        <v>583</v>
      </c>
      <c r="E49" s="18" t="s">
        <v>608</v>
      </c>
      <c r="F49" s="18" t="s">
        <v>149</v>
      </c>
      <c r="G49" s="18" t="s">
        <v>609</v>
      </c>
      <c r="H49" s="18" t="s">
        <v>577</v>
      </c>
      <c r="I49" s="18" t="s">
        <v>623</v>
      </c>
      <c r="J49" s="18" t="s">
        <v>624</v>
      </c>
      <c r="K49" s="18" t="s">
        <v>580</v>
      </c>
      <c r="L49" s="18" t="s">
        <v>610</v>
      </c>
    </row>
    <row r="50" spans="1:12">
      <c r="A50" s="18" t="s">
        <v>659</v>
      </c>
      <c r="B50" s="18" t="s">
        <v>292</v>
      </c>
      <c r="C50" s="19">
        <v>46253</v>
      </c>
      <c r="D50" s="18" t="s">
        <v>574</v>
      </c>
      <c r="E50" s="18" t="s">
        <v>575</v>
      </c>
      <c r="F50" s="18" t="s">
        <v>162</v>
      </c>
      <c r="G50" s="18" t="s">
        <v>576</v>
      </c>
      <c r="H50" s="18" t="s">
        <v>577</v>
      </c>
      <c r="I50" s="18" t="s">
        <v>618</v>
      </c>
      <c r="J50" s="18" t="s">
        <v>619</v>
      </c>
      <c r="K50" s="18" t="s">
        <v>580</v>
      </c>
      <c r="L50" s="18" t="s">
        <v>581</v>
      </c>
    </row>
    <row r="51" spans="1:12">
      <c r="A51" s="18" t="s">
        <v>660</v>
      </c>
      <c r="B51" s="18" t="s">
        <v>292</v>
      </c>
      <c r="C51" s="19">
        <v>46158</v>
      </c>
      <c r="D51" s="18" t="s">
        <v>583</v>
      </c>
      <c r="E51" s="18" t="s">
        <v>575</v>
      </c>
      <c r="F51" s="18" t="s">
        <v>162</v>
      </c>
      <c r="G51" s="18" t="s">
        <v>576</v>
      </c>
      <c r="H51" s="18" t="s">
        <v>577</v>
      </c>
      <c r="I51" s="18" t="s">
        <v>623</v>
      </c>
      <c r="J51" s="18" t="s">
        <v>624</v>
      </c>
      <c r="K51" s="18" t="s">
        <v>580</v>
      </c>
      <c r="L51" s="18" t="s">
        <v>581</v>
      </c>
    </row>
    <row r="52" spans="1:12">
      <c r="A52" s="18" t="s">
        <v>661</v>
      </c>
      <c r="B52" s="18" t="s">
        <v>292</v>
      </c>
      <c r="C52" s="19">
        <v>46063</v>
      </c>
      <c r="D52" s="18" t="s">
        <v>587</v>
      </c>
      <c r="E52" s="18" t="s">
        <v>575</v>
      </c>
      <c r="F52" s="18" t="s">
        <v>162</v>
      </c>
      <c r="G52" s="18" t="s">
        <v>576</v>
      </c>
      <c r="H52" s="18" t="s">
        <v>577</v>
      </c>
      <c r="I52" s="18" t="s">
        <v>628</v>
      </c>
      <c r="J52" s="18" t="s">
        <v>629</v>
      </c>
      <c r="K52" s="18" t="s">
        <v>590</v>
      </c>
      <c r="L52" s="18" t="s">
        <v>581</v>
      </c>
    </row>
    <row r="53" spans="1:12">
      <c r="A53" s="18" t="s">
        <v>662</v>
      </c>
      <c r="B53" s="18" t="s">
        <v>303</v>
      </c>
      <c r="C53" s="19">
        <v>46251</v>
      </c>
      <c r="D53" s="18" t="s">
        <v>574</v>
      </c>
      <c r="E53" s="18" t="s">
        <v>592</v>
      </c>
      <c r="F53" s="18" t="s">
        <v>176</v>
      </c>
      <c r="G53" s="18" t="s">
        <v>593</v>
      </c>
      <c r="H53" s="18" t="s">
        <v>577</v>
      </c>
      <c r="I53" s="18" t="s">
        <v>623</v>
      </c>
      <c r="J53" s="18" t="s">
        <v>624</v>
      </c>
      <c r="K53" s="18" t="s">
        <v>580</v>
      </c>
      <c r="L53" s="18" t="s">
        <v>594</v>
      </c>
    </row>
    <row r="54" spans="1:12">
      <c r="A54" s="18" t="s">
        <v>663</v>
      </c>
      <c r="B54" s="18" t="s">
        <v>303</v>
      </c>
      <c r="C54" s="19">
        <v>46156</v>
      </c>
      <c r="D54" s="18" t="s">
        <v>583</v>
      </c>
      <c r="E54" s="18" t="s">
        <v>592</v>
      </c>
      <c r="F54" s="18" t="s">
        <v>176</v>
      </c>
      <c r="G54" s="18" t="s">
        <v>593</v>
      </c>
      <c r="H54" s="18" t="s">
        <v>577</v>
      </c>
      <c r="I54" s="18" t="s">
        <v>628</v>
      </c>
      <c r="J54" s="18" t="s">
        <v>629</v>
      </c>
      <c r="K54" s="18" t="s">
        <v>580</v>
      </c>
      <c r="L54" s="18" t="s">
        <v>594</v>
      </c>
    </row>
    <row r="55" spans="1:12">
      <c r="A55" s="18" t="s">
        <v>664</v>
      </c>
      <c r="B55" s="18" t="s">
        <v>303</v>
      </c>
      <c r="C55" s="19">
        <v>46061</v>
      </c>
      <c r="D55" s="18" t="s">
        <v>583</v>
      </c>
      <c r="E55" s="18" t="s">
        <v>592</v>
      </c>
      <c r="F55" s="18" t="s">
        <v>176</v>
      </c>
      <c r="G55" s="18" t="s">
        <v>593</v>
      </c>
      <c r="H55" s="18" t="s">
        <v>577</v>
      </c>
      <c r="I55" s="18" t="s">
        <v>633</v>
      </c>
      <c r="J55" s="18" t="s">
        <v>634</v>
      </c>
      <c r="K55" s="18" t="s">
        <v>580</v>
      </c>
      <c r="L55" s="18" t="s">
        <v>594</v>
      </c>
    </row>
    <row r="56" spans="1:12">
      <c r="A56" s="18" t="s">
        <v>665</v>
      </c>
      <c r="B56" s="18" t="s">
        <v>313</v>
      </c>
      <c r="C56" s="19">
        <v>46249</v>
      </c>
      <c r="D56" s="18" t="s">
        <v>574</v>
      </c>
      <c r="E56" s="18" t="s">
        <v>600</v>
      </c>
      <c r="F56" s="18" t="s">
        <v>98</v>
      </c>
      <c r="G56" s="18" t="s">
        <v>601</v>
      </c>
      <c r="H56" s="18" t="s">
        <v>577</v>
      </c>
      <c r="I56" s="18" t="s">
        <v>628</v>
      </c>
      <c r="J56" s="18" t="s">
        <v>629</v>
      </c>
      <c r="K56" s="18" t="s">
        <v>580</v>
      </c>
      <c r="L56" s="18" t="s">
        <v>602</v>
      </c>
    </row>
    <row r="57" spans="1:12">
      <c r="A57" s="18" t="s">
        <v>666</v>
      </c>
      <c r="B57" s="18" t="s">
        <v>313</v>
      </c>
      <c r="C57" s="19">
        <v>46154</v>
      </c>
      <c r="D57" s="18" t="s">
        <v>583</v>
      </c>
      <c r="E57" s="18" t="s">
        <v>600</v>
      </c>
      <c r="F57" s="18" t="s">
        <v>98</v>
      </c>
      <c r="G57" s="18" t="s">
        <v>601</v>
      </c>
      <c r="H57" s="18" t="s">
        <v>577</v>
      </c>
      <c r="I57" s="18" t="s">
        <v>633</v>
      </c>
      <c r="J57" s="18" t="s">
        <v>634</v>
      </c>
      <c r="K57" s="18" t="s">
        <v>580</v>
      </c>
      <c r="L57" s="18" t="s">
        <v>602</v>
      </c>
    </row>
    <row r="58" spans="1:12">
      <c r="A58" s="18" t="s">
        <v>667</v>
      </c>
      <c r="B58" s="18" t="s">
        <v>313</v>
      </c>
      <c r="C58" s="19">
        <v>46059</v>
      </c>
      <c r="D58" s="18" t="s">
        <v>583</v>
      </c>
      <c r="E58" s="18" t="s">
        <v>600</v>
      </c>
      <c r="F58" s="18" t="s">
        <v>98</v>
      </c>
      <c r="G58" s="18" t="s">
        <v>601</v>
      </c>
      <c r="H58" s="18" t="s">
        <v>577</v>
      </c>
      <c r="I58" s="18" t="s">
        <v>578</v>
      </c>
      <c r="J58" s="18" t="s">
        <v>579</v>
      </c>
      <c r="K58" s="18" t="s">
        <v>580</v>
      </c>
      <c r="L58" s="18" t="s">
        <v>602</v>
      </c>
    </row>
    <row r="59" spans="1:12">
      <c r="A59" s="18" t="s">
        <v>668</v>
      </c>
      <c r="B59" s="18" t="s">
        <v>324</v>
      </c>
      <c r="C59" s="19">
        <v>46247</v>
      </c>
      <c r="D59" s="18" t="s">
        <v>574</v>
      </c>
      <c r="E59" s="18" t="s">
        <v>608</v>
      </c>
      <c r="F59" s="18" t="s">
        <v>118</v>
      </c>
      <c r="G59" s="18" t="s">
        <v>609</v>
      </c>
      <c r="H59" s="18" t="s">
        <v>577</v>
      </c>
      <c r="I59" s="18" t="s">
        <v>633</v>
      </c>
      <c r="J59" s="18" t="s">
        <v>634</v>
      </c>
      <c r="K59" s="18" t="s">
        <v>580</v>
      </c>
      <c r="L59" s="18" t="s">
        <v>610</v>
      </c>
    </row>
    <row r="60" spans="1:12">
      <c r="A60" s="18" t="s">
        <v>669</v>
      </c>
      <c r="B60" s="18" t="s">
        <v>324</v>
      </c>
      <c r="C60" s="19">
        <v>46152</v>
      </c>
      <c r="D60" s="18" t="s">
        <v>583</v>
      </c>
      <c r="E60" s="18" t="s">
        <v>608</v>
      </c>
      <c r="F60" s="18" t="s">
        <v>118</v>
      </c>
      <c r="G60" s="18" t="s">
        <v>609</v>
      </c>
      <c r="H60" s="18" t="s">
        <v>577</v>
      </c>
      <c r="I60" s="18" t="s">
        <v>578</v>
      </c>
      <c r="J60" s="18" t="s">
        <v>579</v>
      </c>
      <c r="K60" s="18" t="s">
        <v>580</v>
      </c>
      <c r="L60" s="18" t="s">
        <v>610</v>
      </c>
    </row>
    <row r="61" spans="1:12">
      <c r="A61" s="18" t="s">
        <v>670</v>
      </c>
      <c r="B61" s="18" t="s">
        <v>324</v>
      </c>
      <c r="C61" s="19">
        <v>46057</v>
      </c>
      <c r="D61" s="18" t="s">
        <v>583</v>
      </c>
      <c r="E61" s="18" t="s">
        <v>608</v>
      </c>
      <c r="F61" s="18" t="s">
        <v>118</v>
      </c>
      <c r="G61" s="18" t="s">
        <v>609</v>
      </c>
      <c r="H61" s="18" t="s">
        <v>577</v>
      </c>
      <c r="I61" s="18" t="s">
        <v>584</v>
      </c>
      <c r="J61" s="18" t="s">
        <v>585</v>
      </c>
      <c r="K61" s="18" t="s">
        <v>580</v>
      </c>
      <c r="L61" s="18" t="s">
        <v>610</v>
      </c>
    </row>
    <row r="62" spans="1:12">
      <c r="A62" s="18" t="s">
        <v>671</v>
      </c>
      <c r="B62" s="18" t="s">
        <v>335</v>
      </c>
      <c r="C62" s="19">
        <v>46245</v>
      </c>
      <c r="D62" s="18" t="s">
        <v>574</v>
      </c>
      <c r="E62" s="18" t="s">
        <v>575</v>
      </c>
      <c r="F62" s="18" t="s">
        <v>134</v>
      </c>
      <c r="G62" s="18" t="s">
        <v>576</v>
      </c>
      <c r="H62" s="18" t="s">
        <v>577</v>
      </c>
      <c r="I62" s="18" t="s">
        <v>578</v>
      </c>
      <c r="J62" s="18" t="s">
        <v>579</v>
      </c>
      <c r="K62" s="18" t="s">
        <v>580</v>
      </c>
      <c r="L62" s="18" t="s">
        <v>581</v>
      </c>
    </row>
    <row r="63" spans="1:12">
      <c r="A63" s="18" t="s">
        <v>672</v>
      </c>
      <c r="B63" s="18" t="s">
        <v>335</v>
      </c>
      <c r="C63" s="19">
        <v>46150</v>
      </c>
      <c r="D63" s="18" t="s">
        <v>583</v>
      </c>
      <c r="E63" s="18" t="s">
        <v>575</v>
      </c>
      <c r="F63" s="18" t="s">
        <v>134</v>
      </c>
      <c r="G63" s="18" t="s">
        <v>576</v>
      </c>
      <c r="H63" s="18" t="s">
        <v>577</v>
      </c>
      <c r="I63" s="18" t="s">
        <v>584</v>
      </c>
      <c r="J63" s="18" t="s">
        <v>585</v>
      </c>
      <c r="K63" s="18" t="s">
        <v>580</v>
      </c>
      <c r="L63" s="18" t="s">
        <v>581</v>
      </c>
    </row>
    <row r="64" spans="1:12">
      <c r="A64" s="18" t="s">
        <v>673</v>
      </c>
      <c r="B64" s="18" t="s">
        <v>335</v>
      </c>
      <c r="C64" s="19">
        <v>46055</v>
      </c>
      <c r="D64" s="18" t="s">
        <v>587</v>
      </c>
      <c r="E64" s="18" t="s">
        <v>575</v>
      </c>
      <c r="F64" s="18" t="s">
        <v>134</v>
      </c>
      <c r="G64" s="18" t="s">
        <v>576</v>
      </c>
      <c r="H64" s="18" t="s">
        <v>577</v>
      </c>
      <c r="I64" s="18" t="s">
        <v>588</v>
      </c>
      <c r="J64" s="18" t="s">
        <v>589</v>
      </c>
      <c r="K64" s="18" t="s">
        <v>590</v>
      </c>
      <c r="L64" s="18" t="s">
        <v>581</v>
      </c>
    </row>
    <row r="65" spans="1:12">
      <c r="A65" s="18" t="s">
        <v>674</v>
      </c>
      <c r="B65" s="18" t="s">
        <v>342</v>
      </c>
      <c r="C65" s="19">
        <v>46243</v>
      </c>
      <c r="D65" s="18" t="s">
        <v>574</v>
      </c>
      <c r="E65" s="18" t="s">
        <v>592</v>
      </c>
      <c r="F65" s="18" t="s">
        <v>149</v>
      </c>
      <c r="G65" s="18" t="s">
        <v>593</v>
      </c>
      <c r="H65" s="18" t="s">
        <v>577</v>
      </c>
      <c r="I65" s="18" t="s">
        <v>584</v>
      </c>
      <c r="J65" s="18" t="s">
        <v>585</v>
      </c>
      <c r="K65" s="18" t="s">
        <v>580</v>
      </c>
      <c r="L65" s="18" t="s">
        <v>594</v>
      </c>
    </row>
    <row r="66" spans="1:12">
      <c r="A66" s="18" t="s">
        <v>675</v>
      </c>
      <c r="B66" s="18" t="s">
        <v>342</v>
      </c>
      <c r="C66" s="19">
        <v>46148</v>
      </c>
      <c r="D66" s="18" t="s">
        <v>583</v>
      </c>
      <c r="E66" s="18" t="s">
        <v>592</v>
      </c>
      <c r="F66" s="18" t="s">
        <v>149</v>
      </c>
      <c r="G66" s="18" t="s">
        <v>593</v>
      </c>
      <c r="H66" s="18" t="s">
        <v>577</v>
      </c>
      <c r="I66" s="18" t="s">
        <v>588</v>
      </c>
      <c r="J66" s="18" t="s">
        <v>589</v>
      </c>
      <c r="K66" s="18" t="s">
        <v>580</v>
      </c>
      <c r="L66" s="18" t="s">
        <v>594</v>
      </c>
    </row>
    <row r="67" spans="1:12">
      <c r="A67" s="18" t="s">
        <v>676</v>
      </c>
      <c r="B67" s="18" t="s">
        <v>342</v>
      </c>
      <c r="C67" s="19">
        <v>46053</v>
      </c>
      <c r="D67" s="18" t="s">
        <v>583</v>
      </c>
      <c r="E67" s="18" t="s">
        <v>592</v>
      </c>
      <c r="F67" s="18" t="s">
        <v>149</v>
      </c>
      <c r="G67" s="18" t="s">
        <v>593</v>
      </c>
      <c r="H67" s="18" t="s">
        <v>577</v>
      </c>
      <c r="I67" s="18" t="s">
        <v>597</v>
      </c>
      <c r="J67" s="18" t="s">
        <v>598</v>
      </c>
      <c r="K67" s="18" t="s">
        <v>580</v>
      </c>
      <c r="L67" s="18" t="s">
        <v>594</v>
      </c>
    </row>
    <row r="68" spans="1:12">
      <c r="A68" s="18" t="s">
        <v>677</v>
      </c>
      <c r="B68" s="18" t="s">
        <v>350</v>
      </c>
      <c r="C68" s="19">
        <v>46241</v>
      </c>
      <c r="D68" s="18" t="s">
        <v>574</v>
      </c>
      <c r="E68" s="18" t="s">
        <v>600</v>
      </c>
      <c r="F68" s="18" t="s">
        <v>162</v>
      </c>
      <c r="G68" s="18" t="s">
        <v>601</v>
      </c>
      <c r="H68" s="18" t="s">
        <v>577</v>
      </c>
      <c r="I68" s="18" t="s">
        <v>588</v>
      </c>
      <c r="J68" s="18" t="s">
        <v>589</v>
      </c>
      <c r="K68" s="18" t="s">
        <v>580</v>
      </c>
      <c r="L68" s="18" t="s">
        <v>602</v>
      </c>
    </row>
    <row r="69" spans="1:12">
      <c r="A69" s="18" t="s">
        <v>678</v>
      </c>
      <c r="B69" s="18" t="s">
        <v>350</v>
      </c>
      <c r="C69" s="19">
        <v>46146</v>
      </c>
      <c r="D69" s="18" t="s">
        <v>583</v>
      </c>
      <c r="E69" s="18" t="s">
        <v>600</v>
      </c>
      <c r="F69" s="18" t="s">
        <v>162</v>
      </c>
      <c r="G69" s="18" t="s">
        <v>601</v>
      </c>
      <c r="H69" s="18" t="s">
        <v>577</v>
      </c>
      <c r="I69" s="18" t="s">
        <v>597</v>
      </c>
      <c r="J69" s="18" t="s">
        <v>598</v>
      </c>
      <c r="K69" s="18" t="s">
        <v>580</v>
      </c>
      <c r="L69" s="18" t="s">
        <v>602</v>
      </c>
    </row>
    <row r="70" spans="1:12">
      <c r="A70" s="18" t="s">
        <v>679</v>
      </c>
      <c r="B70" s="18" t="s">
        <v>350</v>
      </c>
      <c r="C70" s="19">
        <v>46051</v>
      </c>
      <c r="D70" s="18" t="s">
        <v>583</v>
      </c>
      <c r="E70" s="18" t="s">
        <v>600</v>
      </c>
      <c r="F70" s="18" t="s">
        <v>162</v>
      </c>
      <c r="G70" s="18" t="s">
        <v>601</v>
      </c>
      <c r="H70" s="18" t="s">
        <v>577</v>
      </c>
      <c r="I70" s="18" t="s">
        <v>605</v>
      </c>
      <c r="J70" s="18" t="s">
        <v>606</v>
      </c>
      <c r="K70" s="18" t="s">
        <v>580</v>
      </c>
      <c r="L70" s="18" t="s">
        <v>602</v>
      </c>
    </row>
    <row r="71" spans="1:12">
      <c r="A71" s="18" t="s">
        <v>680</v>
      </c>
      <c r="B71" s="18" t="s">
        <v>356</v>
      </c>
      <c r="C71" s="19">
        <v>46239</v>
      </c>
      <c r="D71" s="18" t="s">
        <v>574</v>
      </c>
      <c r="E71" s="18" t="s">
        <v>608</v>
      </c>
      <c r="F71" s="18" t="s">
        <v>176</v>
      </c>
      <c r="G71" s="18" t="s">
        <v>609</v>
      </c>
      <c r="H71" s="18" t="s">
        <v>577</v>
      </c>
      <c r="I71" s="18" t="s">
        <v>597</v>
      </c>
      <c r="J71" s="18" t="s">
        <v>598</v>
      </c>
      <c r="K71" s="18" t="s">
        <v>580</v>
      </c>
      <c r="L71" s="18" t="s">
        <v>610</v>
      </c>
    </row>
    <row r="72" spans="1:12">
      <c r="A72" s="18" t="s">
        <v>681</v>
      </c>
      <c r="B72" s="18" t="s">
        <v>356</v>
      </c>
      <c r="C72" s="19">
        <v>46144</v>
      </c>
      <c r="D72" s="18" t="s">
        <v>583</v>
      </c>
      <c r="E72" s="18" t="s">
        <v>608</v>
      </c>
      <c r="F72" s="18" t="s">
        <v>176</v>
      </c>
      <c r="G72" s="18" t="s">
        <v>609</v>
      </c>
      <c r="H72" s="18" t="s">
        <v>577</v>
      </c>
      <c r="I72" s="18" t="s">
        <v>605</v>
      </c>
      <c r="J72" s="18" t="s">
        <v>606</v>
      </c>
      <c r="K72" s="18" t="s">
        <v>580</v>
      </c>
      <c r="L72" s="18" t="s">
        <v>610</v>
      </c>
    </row>
    <row r="73" spans="1:12">
      <c r="A73" s="18" t="s">
        <v>682</v>
      </c>
      <c r="B73" s="18" t="s">
        <v>356</v>
      </c>
      <c r="C73" s="19">
        <v>46049</v>
      </c>
      <c r="D73" s="18" t="s">
        <v>583</v>
      </c>
      <c r="E73" s="18" t="s">
        <v>608</v>
      </c>
      <c r="F73" s="18" t="s">
        <v>176</v>
      </c>
      <c r="G73" s="18" t="s">
        <v>609</v>
      </c>
      <c r="H73" s="18" t="s">
        <v>577</v>
      </c>
      <c r="I73" s="18" t="s">
        <v>613</v>
      </c>
      <c r="J73" s="18" t="s">
        <v>614</v>
      </c>
      <c r="K73" s="18" t="s">
        <v>580</v>
      </c>
      <c r="L73" s="18" t="s">
        <v>610</v>
      </c>
    </row>
    <row r="74" spans="1:12">
      <c r="A74" s="18" t="s">
        <v>683</v>
      </c>
      <c r="B74" s="18" t="s">
        <v>364</v>
      </c>
      <c r="C74" s="19">
        <v>46237</v>
      </c>
      <c r="D74" s="18" t="s">
        <v>574</v>
      </c>
      <c r="E74" s="18" t="s">
        <v>575</v>
      </c>
      <c r="F74" s="18" t="s">
        <v>98</v>
      </c>
      <c r="G74" s="18" t="s">
        <v>576</v>
      </c>
      <c r="H74" s="18" t="s">
        <v>577</v>
      </c>
      <c r="I74" s="18" t="s">
        <v>605</v>
      </c>
      <c r="J74" s="18" t="s">
        <v>606</v>
      </c>
      <c r="K74" s="18" t="s">
        <v>580</v>
      </c>
      <c r="L74" s="18" t="s">
        <v>581</v>
      </c>
    </row>
    <row r="75" spans="1:12">
      <c r="A75" s="18" t="s">
        <v>684</v>
      </c>
      <c r="B75" s="18" t="s">
        <v>364</v>
      </c>
      <c r="C75" s="19">
        <v>46142</v>
      </c>
      <c r="D75" s="18" t="s">
        <v>583</v>
      </c>
      <c r="E75" s="18" t="s">
        <v>575</v>
      </c>
      <c r="F75" s="18" t="s">
        <v>98</v>
      </c>
      <c r="G75" s="18" t="s">
        <v>576</v>
      </c>
      <c r="H75" s="18" t="s">
        <v>577</v>
      </c>
      <c r="I75" s="18" t="s">
        <v>613</v>
      </c>
      <c r="J75" s="18" t="s">
        <v>614</v>
      </c>
      <c r="K75" s="18" t="s">
        <v>580</v>
      </c>
      <c r="L75" s="18" t="s">
        <v>581</v>
      </c>
    </row>
    <row r="76" spans="1:12">
      <c r="A76" s="18" t="s">
        <v>685</v>
      </c>
      <c r="B76" s="18" t="s">
        <v>364</v>
      </c>
      <c r="C76" s="19">
        <v>46047</v>
      </c>
      <c r="D76" s="18" t="s">
        <v>587</v>
      </c>
      <c r="E76" s="18" t="s">
        <v>575</v>
      </c>
      <c r="F76" s="18" t="s">
        <v>98</v>
      </c>
      <c r="G76" s="18" t="s">
        <v>576</v>
      </c>
      <c r="H76" s="18" t="s">
        <v>577</v>
      </c>
      <c r="I76" s="18" t="s">
        <v>618</v>
      </c>
      <c r="J76" s="18" t="s">
        <v>619</v>
      </c>
      <c r="K76" s="18" t="s">
        <v>590</v>
      </c>
      <c r="L76" s="18" t="s">
        <v>581</v>
      </c>
    </row>
    <row r="77" spans="1:12">
      <c r="A77" s="18" t="s">
        <v>686</v>
      </c>
      <c r="B77" s="18" t="s">
        <v>371</v>
      </c>
      <c r="C77" s="19">
        <v>46235</v>
      </c>
      <c r="D77" s="18" t="s">
        <v>574</v>
      </c>
      <c r="E77" s="18" t="s">
        <v>592</v>
      </c>
      <c r="F77" s="18" t="s">
        <v>118</v>
      </c>
      <c r="G77" s="18" t="s">
        <v>593</v>
      </c>
      <c r="H77" s="18" t="s">
        <v>577</v>
      </c>
      <c r="I77" s="18" t="s">
        <v>613</v>
      </c>
      <c r="J77" s="18" t="s">
        <v>614</v>
      </c>
      <c r="K77" s="18" t="s">
        <v>580</v>
      </c>
      <c r="L77" s="18" t="s">
        <v>594</v>
      </c>
    </row>
    <row r="78" spans="1:12">
      <c r="A78" s="18" t="s">
        <v>687</v>
      </c>
      <c r="B78" s="18" t="s">
        <v>371</v>
      </c>
      <c r="C78" s="19">
        <v>46140</v>
      </c>
      <c r="D78" s="18" t="s">
        <v>583</v>
      </c>
      <c r="E78" s="18" t="s">
        <v>592</v>
      </c>
      <c r="F78" s="18" t="s">
        <v>118</v>
      </c>
      <c r="G78" s="18" t="s">
        <v>593</v>
      </c>
      <c r="H78" s="18" t="s">
        <v>577</v>
      </c>
      <c r="I78" s="18" t="s">
        <v>618</v>
      </c>
      <c r="J78" s="18" t="s">
        <v>619</v>
      </c>
      <c r="K78" s="18" t="s">
        <v>580</v>
      </c>
      <c r="L78" s="18" t="s">
        <v>594</v>
      </c>
    </row>
    <row r="79" spans="1:12">
      <c r="A79" s="18" t="s">
        <v>688</v>
      </c>
      <c r="B79" s="18" t="s">
        <v>371</v>
      </c>
      <c r="C79" s="19">
        <v>46045</v>
      </c>
      <c r="D79" s="18" t="s">
        <v>583</v>
      </c>
      <c r="E79" s="18" t="s">
        <v>592</v>
      </c>
      <c r="F79" s="18" t="s">
        <v>118</v>
      </c>
      <c r="G79" s="18" t="s">
        <v>593</v>
      </c>
      <c r="H79" s="18" t="s">
        <v>577</v>
      </c>
      <c r="I79" s="18" t="s">
        <v>623</v>
      </c>
      <c r="J79" s="18" t="s">
        <v>624</v>
      </c>
      <c r="K79" s="18" t="s">
        <v>580</v>
      </c>
      <c r="L79" s="18" t="s">
        <v>594</v>
      </c>
    </row>
    <row r="80" spans="1:12">
      <c r="A80" s="18" t="s">
        <v>689</v>
      </c>
      <c r="B80" s="18" t="s">
        <v>379</v>
      </c>
      <c r="C80" s="19">
        <v>46233</v>
      </c>
      <c r="D80" s="18" t="s">
        <v>574</v>
      </c>
      <c r="E80" s="18" t="s">
        <v>600</v>
      </c>
      <c r="F80" s="18" t="s">
        <v>134</v>
      </c>
      <c r="G80" s="18" t="s">
        <v>601</v>
      </c>
      <c r="H80" s="18" t="s">
        <v>577</v>
      </c>
      <c r="I80" s="18" t="s">
        <v>618</v>
      </c>
      <c r="J80" s="18" t="s">
        <v>619</v>
      </c>
      <c r="K80" s="18" t="s">
        <v>580</v>
      </c>
      <c r="L80" s="18" t="s">
        <v>602</v>
      </c>
    </row>
    <row r="81" spans="1:12">
      <c r="A81" s="18" t="s">
        <v>690</v>
      </c>
      <c r="B81" s="18" t="s">
        <v>379</v>
      </c>
      <c r="C81" s="19">
        <v>46138</v>
      </c>
      <c r="D81" s="18" t="s">
        <v>583</v>
      </c>
      <c r="E81" s="18" t="s">
        <v>600</v>
      </c>
      <c r="F81" s="18" t="s">
        <v>134</v>
      </c>
      <c r="G81" s="18" t="s">
        <v>601</v>
      </c>
      <c r="H81" s="18" t="s">
        <v>577</v>
      </c>
      <c r="I81" s="18" t="s">
        <v>623</v>
      </c>
      <c r="J81" s="18" t="s">
        <v>624</v>
      </c>
      <c r="K81" s="18" t="s">
        <v>580</v>
      </c>
      <c r="L81" s="18" t="s">
        <v>602</v>
      </c>
    </row>
    <row r="82" spans="1:12">
      <c r="A82" s="18" t="s">
        <v>691</v>
      </c>
      <c r="B82" s="18" t="s">
        <v>379</v>
      </c>
      <c r="C82" s="19">
        <v>46043</v>
      </c>
      <c r="D82" s="18" t="s">
        <v>583</v>
      </c>
      <c r="E82" s="18" t="s">
        <v>600</v>
      </c>
      <c r="F82" s="18" t="s">
        <v>134</v>
      </c>
      <c r="G82" s="18" t="s">
        <v>601</v>
      </c>
      <c r="H82" s="18" t="s">
        <v>577</v>
      </c>
      <c r="I82" s="18" t="s">
        <v>628</v>
      </c>
      <c r="J82" s="18" t="s">
        <v>629</v>
      </c>
      <c r="K82" s="18" t="s">
        <v>580</v>
      </c>
      <c r="L82" s="18" t="s">
        <v>602</v>
      </c>
    </row>
    <row r="83" spans="1:12">
      <c r="A83" s="18" t="s">
        <v>692</v>
      </c>
      <c r="B83" s="18" t="s">
        <v>386</v>
      </c>
      <c r="C83" s="19">
        <v>46231</v>
      </c>
      <c r="D83" s="18" t="s">
        <v>574</v>
      </c>
      <c r="E83" s="18" t="s">
        <v>608</v>
      </c>
      <c r="F83" s="18" t="s">
        <v>149</v>
      </c>
      <c r="G83" s="18" t="s">
        <v>609</v>
      </c>
      <c r="H83" s="18" t="s">
        <v>577</v>
      </c>
      <c r="I83" s="18" t="s">
        <v>623</v>
      </c>
      <c r="J83" s="18" t="s">
        <v>624</v>
      </c>
      <c r="K83" s="18" t="s">
        <v>580</v>
      </c>
      <c r="L83" s="18" t="s">
        <v>610</v>
      </c>
    </row>
    <row r="84" spans="1:12">
      <c r="A84" s="18" t="s">
        <v>693</v>
      </c>
      <c r="B84" s="18" t="s">
        <v>386</v>
      </c>
      <c r="C84" s="19">
        <v>46136</v>
      </c>
      <c r="D84" s="18" t="s">
        <v>583</v>
      </c>
      <c r="E84" s="18" t="s">
        <v>608</v>
      </c>
      <c r="F84" s="18" t="s">
        <v>149</v>
      </c>
      <c r="G84" s="18" t="s">
        <v>609</v>
      </c>
      <c r="H84" s="18" t="s">
        <v>577</v>
      </c>
      <c r="I84" s="18" t="s">
        <v>628</v>
      </c>
      <c r="J84" s="18" t="s">
        <v>629</v>
      </c>
      <c r="K84" s="18" t="s">
        <v>580</v>
      </c>
      <c r="L84" s="18" t="s">
        <v>610</v>
      </c>
    </row>
    <row r="85" spans="1:12">
      <c r="A85" s="18" t="s">
        <v>694</v>
      </c>
      <c r="B85" s="18" t="s">
        <v>386</v>
      </c>
      <c r="C85" s="19">
        <v>46041</v>
      </c>
      <c r="D85" s="18" t="s">
        <v>583</v>
      </c>
      <c r="E85" s="18" t="s">
        <v>608</v>
      </c>
      <c r="F85" s="18" t="s">
        <v>149</v>
      </c>
      <c r="G85" s="18" t="s">
        <v>609</v>
      </c>
      <c r="H85" s="18" t="s">
        <v>577</v>
      </c>
      <c r="I85" s="18" t="s">
        <v>633</v>
      </c>
      <c r="J85" s="18" t="s">
        <v>634</v>
      </c>
      <c r="K85" s="18" t="s">
        <v>580</v>
      </c>
      <c r="L85" s="18" t="s">
        <v>610</v>
      </c>
    </row>
    <row r="86" spans="1:12">
      <c r="A86" s="18" t="s">
        <v>695</v>
      </c>
      <c r="B86" s="18" t="s">
        <v>393</v>
      </c>
      <c r="C86" s="19">
        <v>46229</v>
      </c>
      <c r="D86" s="18" t="s">
        <v>574</v>
      </c>
      <c r="E86" s="18" t="s">
        <v>575</v>
      </c>
      <c r="F86" s="18" t="s">
        <v>162</v>
      </c>
      <c r="G86" s="18" t="s">
        <v>576</v>
      </c>
      <c r="H86" s="18" t="s">
        <v>577</v>
      </c>
      <c r="I86" s="18" t="s">
        <v>628</v>
      </c>
      <c r="J86" s="18" t="s">
        <v>629</v>
      </c>
      <c r="K86" s="18" t="s">
        <v>580</v>
      </c>
      <c r="L86" s="18" t="s">
        <v>581</v>
      </c>
    </row>
    <row r="87" spans="1:12">
      <c r="A87" s="18" t="s">
        <v>696</v>
      </c>
      <c r="B87" s="18" t="s">
        <v>393</v>
      </c>
      <c r="C87" s="19">
        <v>46134</v>
      </c>
      <c r="D87" s="18" t="s">
        <v>583</v>
      </c>
      <c r="E87" s="18" t="s">
        <v>575</v>
      </c>
      <c r="F87" s="18" t="s">
        <v>162</v>
      </c>
      <c r="G87" s="18" t="s">
        <v>576</v>
      </c>
      <c r="H87" s="18" t="s">
        <v>577</v>
      </c>
      <c r="I87" s="18" t="s">
        <v>633</v>
      </c>
      <c r="J87" s="18" t="s">
        <v>634</v>
      </c>
      <c r="K87" s="18" t="s">
        <v>580</v>
      </c>
      <c r="L87" s="18" t="s">
        <v>581</v>
      </c>
    </row>
    <row r="88" spans="1:12">
      <c r="A88" s="18" t="s">
        <v>697</v>
      </c>
      <c r="B88" s="18" t="s">
        <v>393</v>
      </c>
      <c r="C88" s="19">
        <v>46039</v>
      </c>
      <c r="D88" s="18" t="s">
        <v>587</v>
      </c>
      <c r="E88" s="18" t="s">
        <v>575</v>
      </c>
      <c r="F88" s="18" t="s">
        <v>162</v>
      </c>
      <c r="G88" s="18" t="s">
        <v>576</v>
      </c>
      <c r="H88" s="18" t="s">
        <v>577</v>
      </c>
      <c r="I88" s="18" t="s">
        <v>578</v>
      </c>
      <c r="J88" s="18" t="s">
        <v>579</v>
      </c>
      <c r="K88" s="18" t="s">
        <v>590</v>
      </c>
      <c r="L88" s="18" t="s">
        <v>581</v>
      </c>
    </row>
    <row r="89" spans="1:12">
      <c r="A89" s="18" t="s">
        <v>698</v>
      </c>
      <c r="B89" s="18" t="s">
        <v>400</v>
      </c>
      <c r="C89" s="19">
        <v>46227</v>
      </c>
      <c r="D89" s="18" t="s">
        <v>574</v>
      </c>
      <c r="E89" s="18" t="s">
        <v>592</v>
      </c>
      <c r="F89" s="18" t="s">
        <v>176</v>
      </c>
      <c r="G89" s="18" t="s">
        <v>593</v>
      </c>
      <c r="H89" s="18" t="s">
        <v>577</v>
      </c>
      <c r="I89" s="18" t="s">
        <v>633</v>
      </c>
      <c r="J89" s="18" t="s">
        <v>634</v>
      </c>
      <c r="K89" s="18" t="s">
        <v>580</v>
      </c>
      <c r="L89" s="18" t="s">
        <v>594</v>
      </c>
    </row>
    <row r="90" spans="1:12">
      <c r="A90" s="18" t="s">
        <v>699</v>
      </c>
      <c r="B90" s="18" t="s">
        <v>400</v>
      </c>
      <c r="C90" s="19">
        <v>46132</v>
      </c>
      <c r="D90" s="18" t="s">
        <v>583</v>
      </c>
      <c r="E90" s="18" t="s">
        <v>592</v>
      </c>
      <c r="F90" s="18" t="s">
        <v>176</v>
      </c>
      <c r="G90" s="18" t="s">
        <v>593</v>
      </c>
      <c r="H90" s="18" t="s">
        <v>577</v>
      </c>
      <c r="I90" s="18" t="s">
        <v>578</v>
      </c>
      <c r="J90" s="18" t="s">
        <v>579</v>
      </c>
      <c r="K90" s="18" t="s">
        <v>580</v>
      </c>
      <c r="L90" s="18" t="s">
        <v>594</v>
      </c>
    </row>
    <row r="91" spans="1:12">
      <c r="A91" s="18" t="s">
        <v>700</v>
      </c>
      <c r="B91" s="18" t="s">
        <v>400</v>
      </c>
      <c r="C91" s="19">
        <v>46037</v>
      </c>
      <c r="D91" s="18" t="s">
        <v>583</v>
      </c>
      <c r="E91" s="18" t="s">
        <v>592</v>
      </c>
      <c r="F91" s="18" t="s">
        <v>176</v>
      </c>
      <c r="G91" s="18" t="s">
        <v>593</v>
      </c>
      <c r="H91" s="18" t="s">
        <v>577</v>
      </c>
      <c r="I91" s="18" t="s">
        <v>584</v>
      </c>
      <c r="J91" s="18" t="s">
        <v>585</v>
      </c>
      <c r="K91" s="18" t="s">
        <v>580</v>
      </c>
      <c r="L91" s="18" t="s">
        <v>594</v>
      </c>
    </row>
    <row r="92" spans="1:12">
      <c r="A92" s="18" t="s">
        <v>701</v>
      </c>
      <c r="B92" s="18" t="s">
        <v>408</v>
      </c>
      <c r="C92" s="19">
        <v>46225</v>
      </c>
      <c r="D92" s="18" t="s">
        <v>574</v>
      </c>
      <c r="E92" s="18" t="s">
        <v>600</v>
      </c>
      <c r="F92" s="18" t="s">
        <v>98</v>
      </c>
      <c r="G92" s="18" t="s">
        <v>601</v>
      </c>
      <c r="H92" s="18" t="s">
        <v>577</v>
      </c>
      <c r="I92" s="18" t="s">
        <v>578</v>
      </c>
      <c r="J92" s="18" t="s">
        <v>579</v>
      </c>
      <c r="K92" s="18" t="s">
        <v>580</v>
      </c>
      <c r="L92" s="18" t="s">
        <v>602</v>
      </c>
    </row>
    <row r="93" spans="1:12">
      <c r="A93" s="18" t="s">
        <v>702</v>
      </c>
      <c r="B93" s="18" t="s">
        <v>408</v>
      </c>
      <c r="C93" s="19">
        <v>46130</v>
      </c>
      <c r="D93" s="18" t="s">
        <v>583</v>
      </c>
      <c r="E93" s="18" t="s">
        <v>600</v>
      </c>
      <c r="F93" s="18" t="s">
        <v>98</v>
      </c>
      <c r="G93" s="18" t="s">
        <v>601</v>
      </c>
      <c r="H93" s="18" t="s">
        <v>577</v>
      </c>
      <c r="I93" s="18" t="s">
        <v>584</v>
      </c>
      <c r="J93" s="18" t="s">
        <v>585</v>
      </c>
      <c r="K93" s="18" t="s">
        <v>580</v>
      </c>
      <c r="L93" s="18" t="s">
        <v>602</v>
      </c>
    </row>
    <row r="94" spans="1:12">
      <c r="A94" s="18" t="s">
        <v>703</v>
      </c>
      <c r="B94" s="18" t="s">
        <v>408</v>
      </c>
      <c r="C94" s="19">
        <v>46035</v>
      </c>
      <c r="D94" s="18" t="s">
        <v>583</v>
      </c>
      <c r="E94" s="18" t="s">
        <v>600</v>
      </c>
      <c r="F94" s="18" t="s">
        <v>98</v>
      </c>
      <c r="G94" s="18" t="s">
        <v>601</v>
      </c>
      <c r="H94" s="18" t="s">
        <v>577</v>
      </c>
      <c r="I94" s="18" t="s">
        <v>588</v>
      </c>
      <c r="J94" s="18" t="s">
        <v>589</v>
      </c>
      <c r="K94" s="18" t="s">
        <v>580</v>
      </c>
      <c r="L94" s="18" t="s">
        <v>602</v>
      </c>
    </row>
    <row r="95" spans="1:12">
      <c r="A95" s="18" t="s">
        <v>704</v>
      </c>
      <c r="B95" s="18" t="s">
        <v>415</v>
      </c>
      <c r="C95" s="19">
        <v>46223</v>
      </c>
      <c r="D95" s="18" t="s">
        <v>574</v>
      </c>
      <c r="E95" s="18" t="s">
        <v>608</v>
      </c>
      <c r="F95" s="18" t="s">
        <v>118</v>
      </c>
      <c r="G95" s="18" t="s">
        <v>609</v>
      </c>
      <c r="H95" s="18" t="s">
        <v>577</v>
      </c>
      <c r="I95" s="18" t="s">
        <v>584</v>
      </c>
      <c r="J95" s="18" t="s">
        <v>585</v>
      </c>
      <c r="K95" s="18" t="s">
        <v>580</v>
      </c>
      <c r="L95" s="18" t="s">
        <v>610</v>
      </c>
    </row>
    <row r="96" spans="1:12">
      <c r="A96" s="18" t="s">
        <v>705</v>
      </c>
      <c r="B96" s="18" t="s">
        <v>415</v>
      </c>
      <c r="C96" s="19">
        <v>46128</v>
      </c>
      <c r="D96" s="18" t="s">
        <v>583</v>
      </c>
      <c r="E96" s="18" t="s">
        <v>608</v>
      </c>
      <c r="F96" s="18" t="s">
        <v>118</v>
      </c>
      <c r="G96" s="18" t="s">
        <v>609</v>
      </c>
      <c r="H96" s="18" t="s">
        <v>577</v>
      </c>
      <c r="I96" s="18" t="s">
        <v>588</v>
      </c>
      <c r="J96" s="18" t="s">
        <v>589</v>
      </c>
      <c r="K96" s="18" t="s">
        <v>580</v>
      </c>
      <c r="L96" s="18" t="s">
        <v>610</v>
      </c>
    </row>
    <row r="97" spans="1:12">
      <c r="A97" s="18" t="s">
        <v>706</v>
      </c>
      <c r="B97" s="18" t="s">
        <v>415</v>
      </c>
      <c r="C97" s="19">
        <v>46033</v>
      </c>
      <c r="D97" s="18" t="s">
        <v>583</v>
      </c>
      <c r="E97" s="18" t="s">
        <v>608</v>
      </c>
      <c r="F97" s="18" t="s">
        <v>118</v>
      </c>
      <c r="G97" s="18" t="s">
        <v>609</v>
      </c>
      <c r="H97" s="18" t="s">
        <v>577</v>
      </c>
      <c r="I97" s="18" t="s">
        <v>597</v>
      </c>
      <c r="J97" s="18" t="s">
        <v>598</v>
      </c>
      <c r="K97" s="18" t="s">
        <v>580</v>
      </c>
      <c r="L97" s="18" t="s">
        <v>610</v>
      </c>
    </row>
    <row r="98" spans="1:12">
      <c r="A98" s="18" t="s">
        <v>707</v>
      </c>
      <c r="B98" s="18" t="s">
        <v>423</v>
      </c>
      <c r="C98" s="19">
        <v>46221</v>
      </c>
      <c r="D98" s="18" t="s">
        <v>574</v>
      </c>
      <c r="E98" s="18" t="s">
        <v>575</v>
      </c>
      <c r="F98" s="18" t="s">
        <v>134</v>
      </c>
      <c r="G98" s="18" t="s">
        <v>576</v>
      </c>
      <c r="H98" s="18" t="s">
        <v>577</v>
      </c>
      <c r="I98" s="18" t="s">
        <v>588</v>
      </c>
      <c r="J98" s="18" t="s">
        <v>589</v>
      </c>
      <c r="K98" s="18" t="s">
        <v>580</v>
      </c>
      <c r="L98" s="18" t="s">
        <v>581</v>
      </c>
    </row>
    <row r="99" spans="1:12">
      <c r="A99" s="18" t="s">
        <v>708</v>
      </c>
      <c r="B99" s="18" t="s">
        <v>423</v>
      </c>
      <c r="C99" s="19">
        <v>46126</v>
      </c>
      <c r="D99" s="18" t="s">
        <v>583</v>
      </c>
      <c r="E99" s="18" t="s">
        <v>575</v>
      </c>
      <c r="F99" s="18" t="s">
        <v>134</v>
      </c>
      <c r="G99" s="18" t="s">
        <v>576</v>
      </c>
      <c r="H99" s="18" t="s">
        <v>577</v>
      </c>
      <c r="I99" s="18" t="s">
        <v>597</v>
      </c>
      <c r="J99" s="18" t="s">
        <v>598</v>
      </c>
      <c r="K99" s="18" t="s">
        <v>580</v>
      </c>
      <c r="L99" s="18" t="s">
        <v>581</v>
      </c>
    </row>
    <row r="100" spans="1:12">
      <c r="A100" s="18" t="s">
        <v>709</v>
      </c>
      <c r="B100" s="18" t="s">
        <v>423</v>
      </c>
      <c r="C100" s="19">
        <v>46031</v>
      </c>
      <c r="D100" s="18" t="s">
        <v>587</v>
      </c>
      <c r="E100" s="18" t="s">
        <v>575</v>
      </c>
      <c r="F100" s="18" t="s">
        <v>134</v>
      </c>
      <c r="G100" s="18" t="s">
        <v>576</v>
      </c>
      <c r="H100" s="18" t="s">
        <v>577</v>
      </c>
      <c r="I100" s="18" t="s">
        <v>605</v>
      </c>
      <c r="J100" s="18" t="s">
        <v>606</v>
      </c>
      <c r="K100" s="18" t="s">
        <v>590</v>
      </c>
      <c r="L100" s="18" t="s">
        <v>581</v>
      </c>
    </row>
    <row r="101" spans="1:12">
      <c r="A101" s="18" t="s">
        <v>710</v>
      </c>
      <c r="B101" s="18" t="s">
        <v>430</v>
      </c>
      <c r="C101" s="19">
        <v>46219</v>
      </c>
      <c r="D101" s="18" t="s">
        <v>574</v>
      </c>
      <c r="E101" s="18" t="s">
        <v>592</v>
      </c>
      <c r="F101" s="18" t="s">
        <v>149</v>
      </c>
      <c r="G101" s="18" t="s">
        <v>593</v>
      </c>
      <c r="H101" s="18" t="s">
        <v>577</v>
      </c>
      <c r="I101" s="18" t="s">
        <v>597</v>
      </c>
      <c r="J101" s="18" t="s">
        <v>598</v>
      </c>
      <c r="K101" s="18" t="s">
        <v>580</v>
      </c>
      <c r="L101" s="18" t="s">
        <v>594</v>
      </c>
    </row>
    <row r="102" spans="1:12">
      <c r="A102" s="18" t="s">
        <v>711</v>
      </c>
      <c r="B102" s="18" t="s">
        <v>430</v>
      </c>
      <c r="C102" s="19">
        <v>46124</v>
      </c>
      <c r="D102" s="18" t="s">
        <v>583</v>
      </c>
      <c r="E102" s="18" t="s">
        <v>592</v>
      </c>
      <c r="F102" s="18" t="s">
        <v>149</v>
      </c>
      <c r="G102" s="18" t="s">
        <v>593</v>
      </c>
      <c r="H102" s="18" t="s">
        <v>577</v>
      </c>
      <c r="I102" s="18" t="s">
        <v>605</v>
      </c>
      <c r="J102" s="18" t="s">
        <v>606</v>
      </c>
      <c r="K102" s="18" t="s">
        <v>580</v>
      </c>
      <c r="L102" s="18" t="s">
        <v>594</v>
      </c>
    </row>
    <row r="103" spans="1:12">
      <c r="A103" s="18" t="s">
        <v>712</v>
      </c>
      <c r="B103" s="18" t="s">
        <v>430</v>
      </c>
      <c r="C103" s="19">
        <v>46029</v>
      </c>
      <c r="D103" s="18" t="s">
        <v>583</v>
      </c>
      <c r="E103" s="18" t="s">
        <v>592</v>
      </c>
      <c r="F103" s="18" t="s">
        <v>149</v>
      </c>
      <c r="G103" s="18" t="s">
        <v>593</v>
      </c>
      <c r="H103" s="18" t="s">
        <v>577</v>
      </c>
      <c r="I103" s="18" t="s">
        <v>613</v>
      </c>
      <c r="J103" s="18" t="s">
        <v>614</v>
      </c>
      <c r="K103" s="18" t="s">
        <v>580</v>
      </c>
      <c r="L103" s="18" t="s">
        <v>594</v>
      </c>
    </row>
    <row r="104" spans="1:12">
      <c r="A104" s="18" t="s">
        <v>713</v>
      </c>
      <c r="B104" s="18" t="s">
        <v>438</v>
      </c>
      <c r="C104" s="19">
        <v>46217</v>
      </c>
      <c r="D104" s="18" t="s">
        <v>574</v>
      </c>
      <c r="E104" s="18" t="s">
        <v>600</v>
      </c>
      <c r="F104" s="18" t="s">
        <v>162</v>
      </c>
      <c r="G104" s="18" t="s">
        <v>601</v>
      </c>
      <c r="H104" s="18" t="s">
        <v>577</v>
      </c>
      <c r="I104" s="18" t="s">
        <v>605</v>
      </c>
      <c r="J104" s="18" t="s">
        <v>606</v>
      </c>
      <c r="K104" s="18" t="s">
        <v>580</v>
      </c>
      <c r="L104" s="18" t="s">
        <v>602</v>
      </c>
    </row>
    <row r="105" spans="1:12">
      <c r="A105" s="18" t="s">
        <v>714</v>
      </c>
      <c r="B105" s="18" t="s">
        <v>438</v>
      </c>
      <c r="C105" s="19">
        <v>46122</v>
      </c>
      <c r="D105" s="18" t="s">
        <v>583</v>
      </c>
      <c r="E105" s="18" t="s">
        <v>600</v>
      </c>
      <c r="F105" s="18" t="s">
        <v>162</v>
      </c>
      <c r="G105" s="18" t="s">
        <v>601</v>
      </c>
      <c r="H105" s="18" t="s">
        <v>577</v>
      </c>
      <c r="I105" s="18" t="s">
        <v>613</v>
      </c>
      <c r="J105" s="18" t="s">
        <v>614</v>
      </c>
      <c r="K105" s="18" t="s">
        <v>580</v>
      </c>
      <c r="L105" s="18" t="s">
        <v>602</v>
      </c>
    </row>
    <row r="106" spans="1:12">
      <c r="A106" s="18" t="s">
        <v>715</v>
      </c>
      <c r="B106" s="18" t="s">
        <v>438</v>
      </c>
      <c r="C106" s="19">
        <v>46027</v>
      </c>
      <c r="D106" s="18" t="s">
        <v>583</v>
      </c>
      <c r="E106" s="18" t="s">
        <v>600</v>
      </c>
      <c r="F106" s="18" t="s">
        <v>162</v>
      </c>
      <c r="G106" s="18" t="s">
        <v>601</v>
      </c>
      <c r="H106" s="18" t="s">
        <v>577</v>
      </c>
      <c r="I106" s="18" t="s">
        <v>618</v>
      </c>
      <c r="J106" s="18" t="s">
        <v>619</v>
      </c>
      <c r="K106" s="18" t="s">
        <v>580</v>
      </c>
      <c r="L106" s="18" t="s">
        <v>602</v>
      </c>
    </row>
    <row r="107" spans="1:12">
      <c r="A107" s="18" t="s">
        <v>716</v>
      </c>
      <c r="B107" s="18" t="s">
        <v>445</v>
      </c>
      <c r="C107" s="19">
        <v>46215</v>
      </c>
      <c r="D107" s="18" t="s">
        <v>574</v>
      </c>
      <c r="E107" s="18" t="s">
        <v>608</v>
      </c>
      <c r="F107" s="18" t="s">
        <v>176</v>
      </c>
      <c r="G107" s="18" t="s">
        <v>609</v>
      </c>
      <c r="H107" s="18" t="s">
        <v>577</v>
      </c>
      <c r="I107" s="18" t="s">
        <v>613</v>
      </c>
      <c r="J107" s="18" t="s">
        <v>614</v>
      </c>
      <c r="K107" s="18" t="s">
        <v>580</v>
      </c>
      <c r="L107" s="18" t="s">
        <v>610</v>
      </c>
    </row>
    <row r="108" spans="1:12">
      <c r="A108" s="18" t="s">
        <v>717</v>
      </c>
      <c r="B108" s="18" t="s">
        <v>445</v>
      </c>
      <c r="C108" s="19">
        <v>46120</v>
      </c>
      <c r="D108" s="18" t="s">
        <v>583</v>
      </c>
      <c r="E108" s="18" t="s">
        <v>608</v>
      </c>
      <c r="F108" s="18" t="s">
        <v>176</v>
      </c>
      <c r="G108" s="18" t="s">
        <v>609</v>
      </c>
      <c r="H108" s="18" t="s">
        <v>577</v>
      </c>
      <c r="I108" s="18" t="s">
        <v>618</v>
      </c>
      <c r="J108" s="18" t="s">
        <v>619</v>
      </c>
      <c r="K108" s="18" t="s">
        <v>580</v>
      </c>
      <c r="L108" s="18" t="s">
        <v>610</v>
      </c>
    </row>
    <row r="109" spans="1:12">
      <c r="A109" s="18" t="s">
        <v>718</v>
      </c>
      <c r="B109" s="18" t="s">
        <v>445</v>
      </c>
      <c r="C109" s="19">
        <v>46025</v>
      </c>
      <c r="D109" s="18" t="s">
        <v>583</v>
      </c>
      <c r="E109" s="18" t="s">
        <v>608</v>
      </c>
      <c r="F109" s="18" t="s">
        <v>176</v>
      </c>
      <c r="G109" s="18" t="s">
        <v>609</v>
      </c>
      <c r="H109" s="18" t="s">
        <v>577</v>
      </c>
      <c r="I109" s="18" t="s">
        <v>623</v>
      </c>
      <c r="J109" s="18" t="s">
        <v>624</v>
      </c>
      <c r="K109" s="18" t="s">
        <v>580</v>
      </c>
      <c r="L109" s="18" t="s">
        <v>610</v>
      </c>
    </row>
    <row r="110" spans="1:12">
      <c r="A110" s="18" t="s">
        <v>719</v>
      </c>
      <c r="B110" s="18" t="s">
        <v>453</v>
      </c>
      <c r="C110" s="19">
        <v>46213</v>
      </c>
      <c r="D110" s="18" t="s">
        <v>574</v>
      </c>
      <c r="E110" s="18" t="s">
        <v>575</v>
      </c>
      <c r="F110" s="18" t="s">
        <v>98</v>
      </c>
      <c r="G110" s="18" t="s">
        <v>576</v>
      </c>
      <c r="H110" s="18" t="s">
        <v>577</v>
      </c>
      <c r="I110" s="18" t="s">
        <v>618</v>
      </c>
      <c r="J110" s="18" t="s">
        <v>619</v>
      </c>
      <c r="K110" s="18" t="s">
        <v>580</v>
      </c>
      <c r="L110" s="18" t="s">
        <v>581</v>
      </c>
    </row>
    <row r="111" spans="1:12">
      <c r="A111" s="18" t="s">
        <v>720</v>
      </c>
      <c r="B111" s="18" t="s">
        <v>453</v>
      </c>
      <c r="C111" s="19">
        <v>46118</v>
      </c>
      <c r="D111" s="18" t="s">
        <v>583</v>
      </c>
      <c r="E111" s="18" t="s">
        <v>575</v>
      </c>
      <c r="F111" s="18" t="s">
        <v>98</v>
      </c>
      <c r="G111" s="18" t="s">
        <v>576</v>
      </c>
      <c r="H111" s="18" t="s">
        <v>577</v>
      </c>
      <c r="I111" s="18" t="s">
        <v>623</v>
      </c>
      <c r="J111" s="18" t="s">
        <v>624</v>
      </c>
      <c r="K111" s="18" t="s">
        <v>580</v>
      </c>
      <c r="L111" s="18" t="s">
        <v>581</v>
      </c>
    </row>
    <row r="112" spans="1:12">
      <c r="A112" s="18" t="s">
        <v>721</v>
      </c>
      <c r="B112" s="18" t="s">
        <v>453</v>
      </c>
      <c r="C112" s="19">
        <v>46023</v>
      </c>
      <c r="D112" s="18" t="s">
        <v>587</v>
      </c>
      <c r="E112" s="18" t="s">
        <v>575</v>
      </c>
      <c r="F112" s="18" t="s">
        <v>98</v>
      </c>
      <c r="G112" s="18" t="s">
        <v>576</v>
      </c>
      <c r="H112" s="18" t="s">
        <v>577</v>
      </c>
      <c r="I112" s="18" t="s">
        <v>628</v>
      </c>
      <c r="J112" s="18" t="s">
        <v>629</v>
      </c>
      <c r="K112" s="18" t="s">
        <v>590</v>
      </c>
      <c r="L112" s="18" t="s">
        <v>581</v>
      </c>
    </row>
    <row r="113" spans="1:12">
      <c r="A113" s="18" t="s">
        <v>722</v>
      </c>
      <c r="B113" s="18" t="s">
        <v>460</v>
      </c>
      <c r="C113" s="19">
        <v>46211</v>
      </c>
      <c r="D113" s="18" t="s">
        <v>574</v>
      </c>
      <c r="E113" s="18" t="s">
        <v>592</v>
      </c>
      <c r="F113" s="18" t="s">
        <v>118</v>
      </c>
      <c r="G113" s="18" t="s">
        <v>593</v>
      </c>
      <c r="H113" s="18" t="s">
        <v>577</v>
      </c>
      <c r="I113" s="18" t="s">
        <v>623</v>
      </c>
      <c r="J113" s="18" t="s">
        <v>624</v>
      </c>
      <c r="K113" s="18" t="s">
        <v>580</v>
      </c>
      <c r="L113" s="18" t="s">
        <v>594</v>
      </c>
    </row>
    <row r="114" spans="1:12">
      <c r="A114" s="18" t="s">
        <v>723</v>
      </c>
      <c r="B114" s="18" t="s">
        <v>460</v>
      </c>
      <c r="C114" s="19">
        <v>46116</v>
      </c>
      <c r="D114" s="18" t="s">
        <v>583</v>
      </c>
      <c r="E114" s="18" t="s">
        <v>592</v>
      </c>
      <c r="F114" s="18" t="s">
        <v>118</v>
      </c>
      <c r="G114" s="18" t="s">
        <v>593</v>
      </c>
      <c r="H114" s="18" t="s">
        <v>577</v>
      </c>
      <c r="I114" s="18" t="s">
        <v>628</v>
      </c>
      <c r="J114" s="18" t="s">
        <v>629</v>
      </c>
      <c r="K114" s="18" t="s">
        <v>580</v>
      </c>
      <c r="L114" s="18" t="s">
        <v>594</v>
      </c>
    </row>
    <row r="115" spans="1:12">
      <c r="A115" s="18" t="s">
        <v>724</v>
      </c>
      <c r="B115" s="18" t="s">
        <v>460</v>
      </c>
      <c r="C115" s="19">
        <v>46021</v>
      </c>
      <c r="D115" s="18" t="s">
        <v>583</v>
      </c>
      <c r="E115" s="18" t="s">
        <v>592</v>
      </c>
      <c r="F115" s="18" t="s">
        <v>118</v>
      </c>
      <c r="G115" s="18" t="s">
        <v>593</v>
      </c>
      <c r="H115" s="18" t="s">
        <v>577</v>
      </c>
      <c r="I115" s="18" t="s">
        <v>633</v>
      </c>
      <c r="J115" s="18" t="s">
        <v>634</v>
      </c>
      <c r="K115" s="18" t="s">
        <v>580</v>
      </c>
      <c r="L115" s="18" t="s">
        <v>594</v>
      </c>
    </row>
    <row r="116" spans="1:12">
      <c r="A116" s="18" t="s">
        <v>725</v>
      </c>
      <c r="B116" s="18" t="s">
        <v>468</v>
      </c>
      <c r="C116" s="19">
        <v>46209</v>
      </c>
      <c r="D116" s="18" t="s">
        <v>574</v>
      </c>
      <c r="E116" s="18" t="s">
        <v>600</v>
      </c>
      <c r="F116" s="18" t="s">
        <v>134</v>
      </c>
      <c r="G116" s="18" t="s">
        <v>601</v>
      </c>
      <c r="H116" s="18" t="s">
        <v>577</v>
      </c>
      <c r="I116" s="18" t="s">
        <v>628</v>
      </c>
      <c r="J116" s="18" t="s">
        <v>629</v>
      </c>
      <c r="K116" s="18" t="s">
        <v>580</v>
      </c>
      <c r="L116" s="18" t="s">
        <v>602</v>
      </c>
    </row>
    <row r="117" spans="1:12">
      <c r="A117" s="18" t="s">
        <v>726</v>
      </c>
      <c r="B117" s="18" t="s">
        <v>468</v>
      </c>
      <c r="C117" s="19">
        <v>46114</v>
      </c>
      <c r="D117" s="18" t="s">
        <v>583</v>
      </c>
      <c r="E117" s="18" t="s">
        <v>600</v>
      </c>
      <c r="F117" s="18" t="s">
        <v>134</v>
      </c>
      <c r="G117" s="18" t="s">
        <v>601</v>
      </c>
      <c r="H117" s="18" t="s">
        <v>577</v>
      </c>
      <c r="I117" s="18" t="s">
        <v>633</v>
      </c>
      <c r="J117" s="18" t="s">
        <v>634</v>
      </c>
      <c r="K117" s="18" t="s">
        <v>580</v>
      </c>
      <c r="L117" s="18" t="s">
        <v>602</v>
      </c>
    </row>
    <row r="118" spans="1:12">
      <c r="A118" s="18" t="s">
        <v>727</v>
      </c>
      <c r="B118" s="18" t="s">
        <v>468</v>
      </c>
      <c r="C118" s="19">
        <v>46019</v>
      </c>
      <c r="D118" s="18" t="s">
        <v>583</v>
      </c>
      <c r="E118" s="18" t="s">
        <v>600</v>
      </c>
      <c r="F118" s="18" t="s">
        <v>134</v>
      </c>
      <c r="G118" s="18" t="s">
        <v>601</v>
      </c>
      <c r="H118" s="18" t="s">
        <v>577</v>
      </c>
      <c r="I118" s="18" t="s">
        <v>578</v>
      </c>
      <c r="J118" s="18" t="s">
        <v>579</v>
      </c>
      <c r="K118" s="18" t="s">
        <v>580</v>
      </c>
      <c r="L118" s="18" t="s">
        <v>602</v>
      </c>
    </row>
    <row r="119" spans="1:12">
      <c r="A119" s="18" t="s">
        <v>728</v>
      </c>
      <c r="B119" s="18" t="s">
        <v>475</v>
      </c>
      <c r="C119" s="19">
        <v>46207</v>
      </c>
      <c r="D119" s="18" t="s">
        <v>574</v>
      </c>
      <c r="E119" s="18" t="s">
        <v>608</v>
      </c>
      <c r="F119" s="18" t="s">
        <v>149</v>
      </c>
      <c r="G119" s="18" t="s">
        <v>609</v>
      </c>
      <c r="H119" s="18" t="s">
        <v>577</v>
      </c>
      <c r="I119" s="18" t="s">
        <v>633</v>
      </c>
      <c r="J119" s="18" t="s">
        <v>634</v>
      </c>
      <c r="K119" s="18" t="s">
        <v>580</v>
      </c>
      <c r="L119" s="18" t="s">
        <v>610</v>
      </c>
    </row>
    <row r="120" spans="1:12">
      <c r="A120" s="18" t="s">
        <v>729</v>
      </c>
      <c r="B120" s="18" t="s">
        <v>475</v>
      </c>
      <c r="C120" s="19">
        <v>46112</v>
      </c>
      <c r="D120" s="18" t="s">
        <v>583</v>
      </c>
      <c r="E120" s="18" t="s">
        <v>608</v>
      </c>
      <c r="F120" s="18" t="s">
        <v>149</v>
      </c>
      <c r="G120" s="18" t="s">
        <v>609</v>
      </c>
      <c r="H120" s="18" t="s">
        <v>577</v>
      </c>
      <c r="I120" s="18" t="s">
        <v>578</v>
      </c>
      <c r="J120" s="18" t="s">
        <v>579</v>
      </c>
      <c r="K120" s="18" t="s">
        <v>580</v>
      </c>
      <c r="L120" s="18" t="s">
        <v>610</v>
      </c>
    </row>
    <row r="121" spans="1:12">
      <c r="A121" s="18" t="s">
        <v>730</v>
      </c>
      <c r="B121" s="18" t="s">
        <v>475</v>
      </c>
      <c r="C121" s="19">
        <v>46017</v>
      </c>
      <c r="D121" s="18" t="s">
        <v>583</v>
      </c>
      <c r="E121" s="18" t="s">
        <v>608</v>
      </c>
      <c r="F121" s="18" t="s">
        <v>149</v>
      </c>
      <c r="G121" s="18" t="s">
        <v>609</v>
      </c>
      <c r="H121" s="18" t="s">
        <v>577</v>
      </c>
      <c r="I121" s="18" t="s">
        <v>584</v>
      </c>
      <c r="J121" s="18" t="s">
        <v>585</v>
      </c>
      <c r="K121" s="18" t="s">
        <v>580</v>
      </c>
      <c r="L121" s="18" t="s">
        <v>610</v>
      </c>
    </row>
    <row r="122" spans="1:12">
      <c r="A122" s="18" t="s">
        <v>731</v>
      </c>
      <c r="B122" s="18" t="s">
        <v>483</v>
      </c>
      <c r="C122" s="19">
        <v>46205</v>
      </c>
      <c r="D122" s="18" t="s">
        <v>574</v>
      </c>
      <c r="E122" s="18" t="s">
        <v>575</v>
      </c>
      <c r="F122" s="18" t="s">
        <v>162</v>
      </c>
      <c r="G122" s="18" t="s">
        <v>576</v>
      </c>
      <c r="H122" s="18" t="s">
        <v>577</v>
      </c>
      <c r="I122" s="18" t="s">
        <v>578</v>
      </c>
      <c r="J122" s="18" t="s">
        <v>579</v>
      </c>
      <c r="K122" s="18" t="s">
        <v>580</v>
      </c>
      <c r="L122" s="18" t="s">
        <v>581</v>
      </c>
    </row>
    <row r="123" spans="1:12">
      <c r="A123" s="18" t="s">
        <v>732</v>
      </c>
      <c r="B123" s="18" t="s">
        <v>483</v>
      </c>
      <c r="C123" s="19">
        <v>46110</v>
      </c>
      <c r="D123" s="18" t="s">
        <v>583</v>
      </c>
      <c r="E123" s="18" t="s">
        <v>575</v>
      </c>
      <c r="F123" s="18" t="s">
        <v>162</v>
      </c>
      <c r="G123" s="18" t="s">
        <v>576</v>
      </c>
      <c r="H123" s="18" t="s">
        <v>577</v>
      </c>
      <c r="I123" s="18" t="s">
        <v>584</v>
      </c>
      <c r="J123" s="18" t="s">
        <v>585</v>
      </c>
      <c r="K123" s="18" t="s">
        <v>580</v>
      </c>
      <c r="L123" s="18" t="s">
        <v>581</v>
      </c>
    </row>
    <row r="124" spans="1:12">
      <c r="A124" s="18" t="s">
        <v>733</v>
      </c>
      <c r="B124" s="18" t="s">
        <v>483</v>
      </c>
      <c r="C124" s="19">
        <v>46015</v>
      </c>
      <c r="D124" s="18" t="s">
        <v>587</v>
      </c>
      <c r="E124" s="18" t="s">
        <v>575</v>
      </c>
      <c r="F124" s="18" t="s">
        <v>162</v>
      </c>
      <c r="G124" s="18" t="s">
        <v>576</v>
      </c>
      <c r="H124" s="18" t="s">
        <v>577</v>
      </c>
      <c r="I124" s="18" t="s">
        <v>588</v>
      </c>
      <c r="J124" s="18" t="s">
        <v>589</v>
      </c>
      <c r="K124" s="18" t="s">
        <v>590</v>
      </c>
      <c r="L124" s="18" t="s">
        <v>581</v>
      </c>
    </row>
    <row r="125" spans="1:12">
      <c r="A125" s="18" t="s">
        <v>734</v>
      </c>
      <c r="B125" s="18" t="s">
        <v>491</v>
      </c>
      <c r="C125" s="19">
        <v>46203</v>
      </c>
      <c r="D125" s="18" t="s">
        <v>574</v>
      </c>
      <c r="E125" s="18" t="s">
        <v>592</v>
      </c>
      <c r="F125" s="18" t="s">
        <v>176</v>
      </c>
      <c r="G125" s="18" t="s">
        <v>593</v>
      </c>
      <c r="H125" s="18" t="s">
        <v>577</v>
      </c>
      <c r="I125" s="18" t="s">
        <v>584</v>
      </c>
      <c r="J125" s="18" t="s">
        <v>585</v>
      </c>
      <c r="K125" s="18" t="s">
        <v>580</v>
      </c>
      <c r="L125" s="18" t="s">
        <v>594</v>
      </c>
    </row>
    <row r="126" spans="1:12">
      <c r="A126" s="18" t="s">
        <v>735</v>
      </c>
      <c r="B126" s="18" t="s">
        <v>491</v>
      </c>
      <c r="C126" s="19">
        <v>46108</v>
      </c>
      <c r="D126" s="18" t="s">
        <v>583</v>
      </c>
      <c r="E126" s="18" t="s">
        <v>592</v>
      </c>
      <c r="F126" s="18" t="s">
        <v>176</v>
      </c>
      <c r="G126" s="18" t="s">
        <v>593</v>
      </c>
      <c r="H126" s="18" t="s">
        <v>577</v>
      </c>
      <c r="I126" s="18" t="s">
        <v>588</v>
      </c>
      <c r="J126" s="18" t="s">
        <v>589</v>
      </c>
      <c r="K126" s="18" t="s">
        <v>580</v>
      </c>
      <c r="L126" s="18" t="s">
        <v>594</v>
      </c>
    </row>
    <row r="127" spans="1:12">
      <c r="A127" s="18" t="s">
        <v>736</v>
      </c>
      <c r="B127" s="18" t="s">
        <v>491</v>
      </c>
      <c r="C127" s="19">
        <v>46013</v>
      </c>
      <c r="D127" s="18" t="s">
        <v>583</v>
      </c>
      <c r="E127" s="18" t="s">
        <v>592</v>
      </c>
      <c r="F127" s="18" t="s">
        <v>176</v>
      </c>
      <c r="G127" s="18" t="s">
        <v>593</v>
      </c>
      <c r="H127" s="18" t="s">
        <v>577</v>
      </c>
      <c r="I127" s="18" t="s">
        <v>597</v>
      </c>
      <c r="J127" s="18" t="s">
        <v>598</v>
      </c>
      <c r="K127" s="18" t="s">
        <v>580</v>
      </c>
      <c r="L127" s="18" t="s">
        <v>594</v>
      </c>
    </row>
    <row r="128" spans="1:12">
      <c r="A128" s="18" t="s">
        <v>737</v>
      </c>
      <c r="B128" s="18" t="s">
        <v>499</v>
      </c>
      <c r="C128" s="19">
        <v>46201</v>
      </c>
      <c r="D128" s="18" t="s">
        <v>574</v>
      </c>
      <c r="E128" s="18" t="s">
        <v>600</v>
      </c>
      <c r="F128" s="18" t="s">
        <v>98</v>
      </c>
      <c r="G128" s="18" t="s">
        <v>601</v>
      </c>
      <c r="H128" s="18" t="s">
        <v>577</v>
      </c>
      <c r="I128" s="18" t="s">
        <v>588</v>
      </c>
      <c r="J128" s="18" t="s">
        <v>589</v>
      </c>
      <c r="K128" s="18" t="s">
        <v>580</v>
      </c>
      <c r="L128" s="18" t="s">
        <v>602</v>
      </c>
    </row>
    <row r="129" spans="1:12">
      <c r="A129" s="18" t="s">
        <v>738</v>
      </c>
      <c r="B129" s="18" t="s">
        <v>499</v>
      </c>
      <c r="C129" s="19">
        <v>46106</v>
      </c>
      <c r="D129" s="18" t="s">
        <v>583</v>
      </c>
      <c r="E129" s="18" t="s">
        <v>600</v>
      </c>
      <c r="F129" s="18" t="s">
        <v>98</v>
      </c>
      <c r="G129" s="18" t="s">
        <v>601</v>
      </c>
      <c r="H129" s="18" t="s">
        <v>577</v>
      </c>
      <c r="I129" s="18" t="s">
        <v>597</v>
      </c>
      <c r="J129" s="18" t="s">
        <v>598</v>
      </c>
      <c r="K129" s="18" t="s">
        <v>580</v>
      </c>
      <c r="L129" s="18" t="s">
        <v>602</v>
      </c>
    </row>
    <row r="130" spans="1:12">
      <c r="A130" s="18" t="s">
        <v>739</v>
      </c>
      <c r="B130" s="18" t="s">
        <v>499</v>
      </c>
      <c r="C130" s="19">
        <v>46011</v>
      </c>
      <c r="D130" s="18" t="s">
        <v>583</v>
      </c>
      <c r="E130" s="18" t="s">
        <v>600</v>
      </c>
      <c r="F130" s="18" t="s">
        <v>98</v>
      </c>
      <c r="G130" s="18" t="s">
        <v>601</v>
      </c>
      <c r="H130" s="18" t="s">
        <v>577</v>
      </c>
      <c r="I130" s="18" t="s">
        <v>605</v>
      </c>
      <c r="J130" s="18" t="s">
        <v>606</v>
      </c>
      <c r="K130" s="18" t="s">
        <v>580</v>
      </c>
      <c r="L130" s="18" t="s">
        <v>602</v>
      </c>
    </row>
    <row r="131" spans="1:12">
      <c r="A131" s="18" t="s">
        <v>740</v>
      </c>
      <c r="B131" s="18" t="s">
        <v>507</v>
      </c>
      <c r="C131" s="19">
        <v>46199</v>
      </c>
      <c r="D131" s="18" t="s">
        <v>574</v>
      </c>
      <c r="E131" s="18" t="s">
        <v>608</v>
      </c>
      <c r="F131" s="18" t="s">
        <v>118</v>
      </c>
      <c r="G131" s="18" t="s">
        <v>609</v>
      </c>
      <c r="H131" s="18" t="s">
        <v>577</v>
      </c>
      <c r="I131" s="18" t="s">
        <v>597</v>
      </c>
      <c r="J131" s="18" t="s">
        <v>598</v>
      </c>
      <c r="K131" s="18" t="s">
        <v>580</v>
      </c>
      <c r="L131" s="18" t="s">
        <v>610</v>
      </c>
    </row>
    <row r="132" spans="1:12">
      <c r="A132" s="18" t="s">
        <v>741</v>
      </c>
      <c r="B132" s="18" t="s">
        <v>507</v>
      </c>
      <c r="C132" s="19">
        <v>46104</v>
      </c>
      <c r="D132" s="18" t="s">
        <v>583</v>
      </c>
      <c r="E132" s="18" t="s">
        <v>608</v>
      </c>
      <c r="F132" s="18" t="s">
        <v>118</v>
      </c>
      <c r="G132" s="18" t="s">
        <v>609</v>
      </c>
      <c r="H132" s="18" t="s">
        <v>577</v>
      </c>
      <c r="I132" s="18" t="s">
        <v>605</v>
      </c>
      <c r="J132" s="18" t="s">
        <v>606</v>
      </c>
      <c r="K132" s="18" t="s">
        <v>580</v>
      </c>
      <c r="L132" s="18" t="s">
        <v>610</v>
      </c>
    </row>
    <row r="133" spans="1:12">
      <c r="A133" s="18" t="s">
        <v>742</v>
      </c>
      <c r="B133" s="18" t="s">
        <v>507</v>
      </c>
      <c r="C133" s="19">
        <v>46009</v>
      </c>
      <c r="D133" s="18" t="s">
        <v>583</v>
      </c>
      <c r="E133" s="18" t="s">
        <v>608</v>
      </c>
      <c r="F133" s="18" t="s">
        <v>118</v>
      </c>
      <c r="G133" s="18" t="s">
        <v>609</v>
      </c>
      <c r="H133" s="18" t="s">
        <v>577</v>
      </c>
      <c r="I133" s="18" t="s">
        <v>613</v>
      </c>
      <c r="J133" s="18" t="s">
        <v>614</v>
      </c>
      <c r="K133" s="18" t="s">
        <v>580</v>
      </c>
      <c r="L133" s="18" t="s">
        <v>610</v>
      </c>
    </row>
    <row r="134" spans="1:12">
      <c r="A134" s="18" t="s">
        <v>743</v>
      </c>
      <c r="B134" s="18" t="s">
        <v>515</v>
      </c>
      <c r="C134" s="19">
        <v>46197</v>
      </c>
      <c r="D134" s="18" t="s">
        <v>574</v>
      </c>
      <c r="E134" s="18" t="s">
        <v>575</v>
      </c>
      <c r="F134" s="18" t="s">
        <v>134</v>
      </c>
      <c r="G134" s="18" t="s">
        <v>576</v>
      </c>
      <c r="H134" s="18" t="s">
        <v>577</v>
      </c>
      <c r="I134" s="18" t="s">
        <v>605</v>
      </c>
      <c r="J134" s="18" t="s">
        <v>606</v>
      </c>
      <c r="K134" s="18" t="s">
        <v>580</v>
      </c>
      <c r="L134" s="18" t="s">
        <v>581</v>
      </c>
    </row>
    <row r="135" spans="1:12">
      <c r="A135" s="18" t="s">
        <v>744</v>
      </c>
      <c r="B135" s="18" t="s">
        <v>515</v>
      </c>
      <c r="C135" s="19">
        <v>46102</v>
      </c>
      <c r="D135" s="18" t="s">
        <v>583</v>
      </c>
      <c r="E135" s="18" t="s">
        <v>575</v>
      </c>
      <c r="F135" s="18" t="s">
        <v>134</v>
      </c>
      <c r="G135" s="18" t="s">
        <v>576</v>
      </c>
      <c r="H135" s="18" t="s">
        <v>577</v>
      </c>
      <c r="I135" s="18" t="s">
        <v>613</v>
      </c>
      <c r="J135" s="18" t="s">
        <v>614</v>
      </c>
      <c r="K135" s="18" t="s">
        <v>580</v>
      </c>
      <c r="L135" s="18" t="s">
        <v>581</v>
      </c>
    </row>
    <row r="136" spans="1:12">
      <c r="A136" s="18" t="s">
        <v>745</v>
      </c>
      <c r="B136" s="18" t="s">
        <v>515</v>
      </c>
      <c r="C136" s="19">
        <v>46007</v>
      </c>
      <c r="D136" s="18" t="s">
        <v>587</v>
      </c>
      <c r="E136" s="18" t="s">
        <v>575</v>
      </c>
      <c r="F136" s="18" t="s">
        <v>134</v>
      </c>
      <c r="G136" s="18" t="s">
        <v>576</v>
      </c>
      <c r="H136" s="18" t="s">
        <v>577</v>
      </c>
      <c r="I136" s="18" t="s">
        <v>618</v>
      </c>
      <c r="J136" s="18" t="s">
        <v>619</v>
      </c>
      <c r="K136" s="18" t="s">
        <v>590</v>
      </c>
      <c r="L136" s="18" t="s">
        <v>581</v>
      </c>
    </row>
    <row r="137" spans="1:12">
      <c r="A137" s="18" t="s">
        <v>746</v>
      </c>
      <c r="B137" s="18" t="s">
        <v>523</v>
      </c>
      <c r="C137" s="19">
        <v>46195</v>
      </c>
      <c r="D137" s="18" t="s">
        <v>574</v>
      </c>
      <c r="E137" s="18" t="s">
        <v>592</v>
      </c>
      <c r="F137" s="18" t="s">
        <v>149</v>
      </c>
      <c r="G137" s="18" t="s">
        <v>593</v>
      </c>
      <c r="H137" s="18" t="s">
        <v>577</v>
      </c>
      <c r="I137" s="18" t="s">
        <v>613</v>
      </c>
      <c r="J137" s="18" t="s">
        <v>614</v>
      </c>
      <c r="K137" s="18" t="s">
        <v>580</v>
      </c>
      <c r="L137" s="18" t="s">
        <v>594</v>
      </c>
    </row>
    <row r="138" spans="1:12">
      <c r="A138" s="18" t="s">
        <v>747</v>
      </c>
      <c r="B138" s="18" t="s">
        <v>523</v>
      </c>
      <c r="C138" s="19">
        <v>46100</v>
      </c>
      <c r="D138" s="18" t="s">
        <v>583</v>
      </c>
      <c r="E138" s="18" t="s">
        <v>592</v>
      </c>
      <c r="F138" s="18" t="s">
        <v>149</v>
      </c>
      <c r="G138" s="18" t="s">
        <v>593</v>
      </c>
      <c r="H138" s="18" t="s">
        <v>577</v>
      </c>
      <c r="I138" s="18" t="s">
        <v>618</v>
      </c>
      <c r="J138" s="18" t="s">
        <v>619</v>
      </c>
      <c r="K138" s="18" t="s">
        <v>580</v>
      </c>
      <c r="L138" s="18" t="s">
        <v>594</v>
      </c>
    </row>
    <row r="139" spans="1:12">
      <c r="A139" s="18" t="s">
        <v>748</v>
      </c>
      <c r="B139" s="18" t="s">
        <v>523</v>
      </c>
      <c r="C139" s="19">
        <v>46005</v>
      </c>
      <c r="D139" s="18" t="s">
        <v>583</v>
      </c>
      <c r="E139" s="18" t="s">
        <v>592</v>
      </c>
      <c r="F139" s="18" t="s">
        <v>149</v>
      </c>
      <c r="G139" s="18" t="s">
        <v>593</v>
      </c>
      <c r="H139" s="18" t="s">
        <v>577</v>
      </c>
      <c r="I139" s="18" t="s">
        <v>623</v>
      </c>
      <c r="J139" s="18" t="s">
        <v>624</v>
      </c>
      <c r="K139" s="18" t="s">
        <v>580</v>
      </c>
      <c r="L139" s="18" t="s">
        <v>594</v>
      </c>
    </row>
    <row r="140" spans="1:12">
      <c r="A140" s="18" t="s">
        <v>749</v>
      </c>
      <c r="B140" s="18" t="s">
        <v>531</v>
      </c>
      <c r="C140" s="19">
        <v>46193</v>
      </c>
      <c r="D140" s="18" t="s">
        <v>574</v>
      </c>
      <c r="E140" s="18" t="s">
        <v>600</v>
      </c>
      <c r="F140" s="18" t="s">
        <v>162</v>
      </c>
      <c r="G140" s="18" t="s">
        <v>601</v>
      </c>
      <c r="H140" s="18" t="s">
        <v>577</v>
      </c>
      <c r="I140" s="18" t="s">
        <v>618</v>
      </c>
      <c r="J140" s="18" t="s">
        <v>619</v>
      </c>
      <c r="K140" s="18" t="s">
        <v>580</v>
      </c>
      <c r="L140" s="18" t="s">
        <v>602</v>
      </c>
    </row>
    <row r="141" spans="1:12">
      <c r="A141" s="18" t="s">
        <v>750</v>
      </c>
      <c r="B141" s="18" t="s">
        <v>531</v>
      </c>
      <c r="C141" s="19">
        <v>46098</v>
      </c>
      <c r="D141" s="18" t="s">
        <v>583</v>
      </c>
      <c r="E141" s="18" t="s">
        <v>600</v>
      </c>
      <c r="F141" s="18" t="s">
        <v>162</v>
      </c>
      <c r="G141" s="18" t="s">
        <v>601</v>
      </c>
      <c r="H141" s="18" t="s">
        <v>577</v>
      </c>
      <c r="I141" s="18" t="s">
        <v>623</v>
      </c>
      <c r="J141" s="18" t="s">
        <v>624</v>
      </c>
      <c r="K141" s="18" t="s">
        <v>580</v>
      </c>
      <c r="L141" s="18" t="s">
        <v>602</v>
      </c>
    </row>
    <row r="142" spans="1:12">
      <c r="A142" s="18" t="s">
        <v>751</v>
      </c>
      <c r="B142" s="18" t="s">
        <v>531</v>
      </c>
      <c r="C142" s="19">
        <v>46003</v>
      </c>
      <c r="D142" s="18" t="s">
        <v>583</v>
      </c>
      <c r="E142" s="18" t="s">
        <v>600</v>
      </c>
      <c r="F142" s="18" t="s">
        <v>162</v>
      </c>
      <c r="G142" s="18" t="s">
        <v>601</v>
      </c>
      <c r="H142" s="18" t="s">
        <v>577</v>
      </c>
      <c r="I142" s="18" t="s">
        <v>628</v>
      </c>
      <c r="J142" s="18" t="s">
        <v>629</v>
      </c>
      <c r="K142" s="18" t="s">
        <v>580</v>
      </c>
      <c r="L142" s="18" t="s">
        <v>602</v>
      </c>
    </row>
    <row r="143" spans="1:12">
      <c r="A143" s="18" t="s">
        <v>752</v>
      </c>
      <c r="B143" s="18" t="s">
        <v>539</v>
      </c>
      <c r="C143" s="19">
        <v>46191</v>
      </c>
      <c r="D143" s="18" t="s">
        <v>574</v>
      </c>
      <c r="E143" s="18" t="s">
        <v>608</v>
      </c>
      <c r="F143" s="18" t="s">
        <v>176</v>
      </c>
      <c r="G143" s="18" t="s">
        <v>609</v>
      </c>
      <c r="H143" s="18" t="s">
        <v>577</v>
      </c>
      <c r="I143" s="18" t="s">
        <v>623</v>
      </c>
      <c r="J143" s="18" t="s">
        <v>624</v>
      </c>
      <c r="K143" s="18" t="s">
        <v>580</v>
      </c>
      <c r="L143" s="18" t="s">
        <v>610</v>
      </c>
    </row>
    <row r="144" spans="1:12">
      <c r="A144" s="18" t="s">
        <v>753</v>
      </c>
      <c r="B144" s="18" t="s">
        <v>539</v>
      </c>
      <c r="C144" s="19">
        <v>46096</v>
      </c>
      <c r="D144" s="18" t="s">
        <v>583</v>
      </c>
      <c r="E144" s="18" t="s">
        <v>608</v>
      </c>
      <c r="F144" s="18" t="s">
        <v>176</v>
      </c>
      <c r="G144" s="18" t="s">
        <v>609</v>
      </c>
      <c r="H144" s="18" t="s">
        <v>577</v>
      </c>
      <c r="I144" s="18" t="s">
        <v>628</v>
      </c>
      <c r="J144" s="18" t="s">
        <v>629</v>
      </c>
      <c r="K144" s="18" t="s">
        <v>580</v>
      </c>
      <c r="L144" s="18" t="s">
        <v>610</v>
      </c>
    </row>
    <row r="145" spans="1:12">
      <c r="A145" s="18" t="s">
        <v>754</v>
      </c>
      <c r="B145" s="18" t="s">
        <v>539</v>
      </c>
      <c r="C145" s="19">
        <v>46001</v>
      </c>
      <c r="D145" s="18" t="s">
        <v>583</v>
      </c>
      <c r="E145" s="18" t="s">
        <v>608</v>
      </c>
      <c r="F145" s="18" t="s">
        <v>176</v>
      </c>
      <c r="G145" s="18" t="s">
        <v>609</v>
      </c>
      <c r="H145" s="18" t="s">
        <v>577</v>
      </c>
      <c r="I145" s="18" t="s">
        <v>633</v>
      </c>
      <c r="J145" s="18" t="s">
        <v>634</v>
      </c>
      <c r="K145" s="18" t="s">
        <v>580</v>
      </c>
      <c r="L145" s="18" t="s">
        <v>610</v>
      </c>
    </row>
    <row r="146" spans="1:12">
      <c r="A146" s="18" t="s">
        <v>755</v>
      </c>
      <c r="B146" s="18" t="s">
        <v>547</v>
      </c>
      <c r="C146" s="19">
        <v>46189</v>
      </c>
      <c r="D146" s="18" t="s">
        <v>574</v>
      </c>
      <c r="E146" s="18" t="s">
        <v>575</v>
      </c>
      <c r="F146" s="18" t="s">
        <v>98</v>
      </c>
      <c r="G146" s="18" t="s">
        <v>576</v>
      </c>
      <c r="H146" s="18" t="s">
        <v>577</v>
      </c>
      <c r="I146" s="18" t="s">
        <v>628</v>
      </c>
      <c r="J146" s="18" t="s">
        <v>629</v>
      </c>
      <c r="K146" s="18" t="s">
        <v>580</v>
      </c>
      <c r="L146" s="18" t="s">
        <v>581</v>
      </c>
    </row>
    <row r="147" spans="1:12">
      <c r="A147" s="18" t="s">
        <v>756</v>
      </c>
      <c r="B147" s="18" t="s">
        <v>547</v>
      </c>
      <c r="C147" s="19">
        <v>46094</v>
      </c>
      <c r="D147" s="18" t="s">
        <v>583</v>
      </c>
      <c r="E147" s="18" t="s">
        <v>575</v>
      </c>
      <c r="F147" s="18" t="s">
        <v>98</v>
      </c>
      <c r="G147" s="18" t="s">
        <v>576</v>
      </c>
      <c r="H147" s="18" t="s">
        <v>577</v>
      </c>
      <c r="I147" s="18" t="s">
        <v>633</v>
      </c>
      <c r="J147" s="18" t="s">
        <v>634</v>
      </c>
      <c r="K147" s="18" t="s">
        <v>580</v>
      </c>
      <c r="L147" s="18" t="s">
        <v>581</v>
      </c>
    </row>
    <row r="148" spans="1:12">
      <c r="A148" s="18" t="s">
        <v>757</v>
      </c>
      <c r="B148" s="18" t="s">
        <v>547</v>
      </c>
      <c r="C148" s="19">
        <v>45999</v>
      </c>
      <c r="D148" s="18" t="s">
        <v>587</v>
      </c>
      <c r="E148" s="18" t="s">
        <v>575</v>
      </c>
      <c r="F148" s="18" t="s">
        <v>98</v>
      </c>
      <c r="G148" s="18" t="s">
        <v>576</v>
      </c>
      <c r="H148" s="18" t="s">
        <v>577</v>
      </c>
      <c r="I148" s="18" t="s">
        <v>578</v>
      </c>
      <c r="J148" s="18" t="s">
        <v>579</v>
      </c>
      <c r="K148" s="18" t="s">
        <v>590</v>
      </c>
      <c r="L148" s="18" t="s">
        <v>581</v>
      </c>
    </row>
    <row r="149" spans="1:12">
      <c r="A149" s="18" t="s">
        <v>758</v>
      </c>
      <c r="B149" s="18" t="s">
        <v>555</v>
      </c>
      <c r="C149" s="19">
        <v>46187</v>
      </c>
      <c r="D149" s="18" t="s">
        <v>574</v>
      </c>
      <c r="E149" s="18" t="s">
        <v>592</v>
      </c>
      <c r="F149" s="18" t="s">
        <v>118</v>
      </c>
      <c r="G149" s="18" t="s">
        <v>593</v>
      </c>
      <c r="H149" s="18" t="s">
        <v>577</v>
      </c>
      <c r="I149" s="18" t="s">
        <v>633</v>
      </c>
      <c r="J149" s="18" t="s">
        <v>634</v>
      </c>
      <c r="K149" s="18" t="s">
        <v>580</v>
      </c>
      <c r="L149" s="18" t="s">
        <v>594</v>
      </c>
    </row>
    <row r="150" spans="1:12">
      <c r="A150" s="18" t="s">
        <v>759</v>
      </c>
      <c r="B150" s="18" t="s">
        <v>555</v>
      </c>
      <c r="C150" s="19">
        <v>46092</v>
      </c>
      <c r="D150" s="18" t="s">
        <v>583</v>
      </c>
      <c r="E150" s="18" t="s">
        <v>592</v>
      </c>
      <c r="F150" s="18" t="s">
        <v>118</v>
      </c>
      <c r="G150" s="18" t="s">
        <v>593</v>
      </c>
      <c r="H150" s="18" t="s">
        <v>577</v>
      </c>
      <c r="I150" s="18" t="s">
        <v>578</v>
      </c>
      <c r="J150" s="18" t="s">
        <v>579</v>
      </c>
      <c r="K150" s="18" t="s">
        <v>580</v>
      </c>
      <c r="L150" s="18" t="s">
        <v>594</v>
      </c>
    </row>
    <row r="151" spans="1:12">
      <c r="A151" s="18" t="s">
        <v>760</v>
      </c>
      <c r="B151" s="18" t="s">
        <v>555</v>
      </c>
      <c r="C151" s="19">
        <v>45997</v>
      </c>
      <c r="D151" s="18" t="s">
        <v>583</v>
      </c>
      <c r="E151" s="18" t="s">
        <v>592</v>
      </c>
      <c r="F151" s="18" t="s">
        <v>118</v>
      </c>
      <c r="G151" s="18" t="s">
        <v>593</v>
      </c>
      <c r="H151" s="18" t="s">
        <v>577</v>
      </c>
      <c r="I151" s="18" t="s">
        <v>584</v>
      </c>
      <c r="J151" s="18" t="s">
        <v>585</v>
      </c>
      <c r="K151" s="18" t="s">
        <v>580</v>
      </c>
      <c r="L151" s="18" t="s">
        <v>594</v>
      </c>
    </row>
  </sheetData>
  <dataValidations count="1">
    <dataValidation type="list" sqref="H2:H1000" xr:uid="{00000000-0002-0000-0300-000000000000}">
      <formula1>"Planned,In Progress,Completed,Cancelled"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F9F"/>
  </sheetPr>
  <dimension ref="A1:J10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14" customWidth="1"/>
    <col min="4" max="4" width="42" customWidth="1"/>
    <col min="5" max="5" width="16" customWidth="1"/>
    <col min="6" max="6" width="18" customWidth="1"/>
    <col min="7" max="8" width="14" customWidth="1"/>
    <col min="9" max="9" width="24" customWidth="1"/>
    <col min="10" max="10" width="16" customWidth="1"/>
  </cols>
  <sheetData>
    <row r="1" spans="1:10" ht="30" customHeight="1">
      <c r="A1" s="17" t="s">
        <v>761</v>
      </c>
      <c r="B1" s="17" t="s">
        <v>66</v>
      </c>
      <c r="C1" s="17" t="s">
        <v>762</v>
      </c>
      <c r="D1" s="17" t="s">
        <v>763</v>
      </c>
      <c r="E1" s="17" t="s">
        <v>764</v>
      </c>
      <c r="F1" s="17" t="s">
        <v>765</v>
      </c>
      <c r="G1" s="17" t="s">
        <v>766</v>
      </c>
      <c r="H1" s="17" t="s">
        <v>767</v>
      </c>
      <c r="I1" s="17" t="s">
        <v>567</v>
      </c>
      <c r="J1" s="17" t="s">
        <v>768</v>
      </c>
    </row>
    <row r="2" spans="1:10">
      <c r="A2" s="18" t="s">
        <v>769</v>
      </c>
      <c r="B2" s="18" t="s">
        <v>35</v>
      </c>
      <c r="C2" s="18" t="s">
        <v>578</v>
      </c>
      <c r="D2" s="18" t="s">
        <v>579</v>
      </c>
      <c r="E2" s="18" t="s">
        <v>99</v>
      </c>
      <c r="F2" s="18" t="s">
        <v>770</v>
      </c>
      <c r="G2" s="19">
        <v>43831</v>
      </c>
      <c r="H2" s="18"/>
      <c r="I2" s="18" t="s">
        <v>98</v>
      </c>
      <c r="J2" s="18" t="s">
        <v>53</v>
      </c>
    </row>
    <row r="3" spans="1:10">
      <c r="A3" s="18" t="s">
        <v>771</v>
      </c>
      <c r="B3" s="18" t="s">
        <v>35</v>
      </c>
      <c r="C3" s="18" t="s">
        <v>584</v>
      </c>
      <c r="D3" s="18" t="s">
        <v>585</v>
      </c>
      <c r="E3" s="18" t="s">
        <v>99</v>
      </c>
      <c r="F3" s="18" t="s">
        <v>770</v>
      </c>
      <c r="G3" s="19">
        <v>44197</v>
      </c>
      <c r="H3" s="19">
        <v>45823</v>
      </c>
      <c r="I3" s="18" t="s">
        <v>98</v>
      </c>
      <c r="J3" s="18" t="s">
        <v>53</v>
      </c>
    </row>
    <row r="4" spans="1:10">
      <c r="A4" s="18" t="s">
        <v>772</v>
      </c>
      <c r="B4" s="18" t="s">
        <v>107</v>
      </c>
      <c r="C4" s="18" t="s">
        <v>584</v>
      </c>
      <c r="D4" s="18" t="s">
        <v>585</v>
      </c>
      <c r="E4" s="18" t="s">
        <v>99</v>
      </c>
      <c r="F4" s="18" t="s">
        <v>770</v>
      </c>
      <c r="G4" s="19">
        <v>44229</v>
      </c>
      <c r="H4" s="18"/>
      <c r="I4" s="18" t="s">
        <v>118</v>
      </c>
      <c r="J4" s="18" t="s">
        <v>53</v>
      </c>
    </row>
    <row r="5" spans="1:10">
      <c r="A5" s="18" t="s">
        <v>773</v>
      </c>
      <c r="B5" s="18" t="s">
        <v>107</v>
      </c>
      <c r="C5" s="18" t="s">
        <v>588</v>
      </c>
      <c r="D5" s="18" t="s">
        <v>589</v>
      </c>
      <c r="E5" s="18" t="s">
        <v>774</v>
      </c>
      <c r="F5" s="18" t="s">
        <v>770</v>
      </c>
      <c r="G5" s="19">
        <v>44594</v>
      </c>
      <c r="H5" s="19">
        <v>45823</v>
      </c>
      <c r="I5" s="18" t="s">
        <v>118</v>
      </c>
      <c r="J5" s="18" t="s">
        <v>53</v>
      </c>
    </row>
    <row r="6" spans="1:10">
      <c r="A6" s="18" t="s">
        <v>775</v>
      </c>
      <c r="B6" s="18" t="s">
        <v>125</v>
      </c>
      <c r="C6" s="18" t="s">
        <v>588</v>
      </c>
      <c r="D6" s="18" t="s">
        <v>589</v>
      </c>
      <c r="E6" s="18" t="s">
        <v>99</v>
      </c>
      <c r="F6" s="18" t="s">
        <v>770</v>
      </c>
      <c r="G6" s="19">
        <v>44623</v>
      </c>
      <c r="H6" s="18"/>
      <c r="I6" s="18" t="s">
        <v>134</v>
      </c>
      <c r="J6" s="18" t="s">
        <v>53</v>
      </c>
    </row>
    <row r="7" spans="1:10">
      <c r="A7" s="18" t="s">
        <v>776</v>
      </c>
      <c r="B7" s="18" t="s">
        <v>125</v>
      </c>
      <c r="C7" s="18" t="s">
        <v>597</v>
      </c>
      <c r="D7" s="18" t="s">
        <v>598</v>
      </c>
      <c r="E7" s="18" t="s">
        <v>774</v>
      </c>
      <c r="F7" s="18" t="s">
        <v>770</v>
      </c>
      <c r="G7" s="19">
        <v>44988</v>
      </c>
      <c r="H7" s="19">
        <v>45823</v>
      </c>
      <c r="I7" s="18" t="s">
        <v>134</v>
      </c>
      <c r="J7" s="18" t="s">
        <v>53</v>
      </c>
    </row>
    <row r="8" spans="1:10">
      <c r="A8" s="18" t="s">
        <v>777</v>
      </c>
      <c r="B8" s="18" t="s">
        <v>141</v>
      </c>
      <c r="C8" s="18" t="s">
        <v>597</v>
      </c>
      <c r="D8" s="18" t="s">
        <v>598</v>
      </c>
      <c r="E8" s="18" t="s">
        <v>99</v>
      </c>
      <c r="F8" s="18" t="s">
        <v>770</v>
      </c>
      <c r="G8" s="19">
        <v>45020</v>
      </c>
      <c r="H8" s="18"/>
      <c r="I8" s="18" t="s">
        <v>149</v>
      </c>
      <c r="J8" s="18" t="s">
        <v>53</v>
      </c>
    </row>
    <row r="9" spans="1:10">
      <c r="A9" s="18" t="s">
        <v>778</v>
      </c>
      <c r="B9" s="18" t="s">
        <v>141</v>
      </c>
      <c r="C9" s="18" t="s">
        <v>605</v>
      </c>
      <c r="D9" s="18" t="s">
        <v>606</v>
      </c>
      <c r="E9" s="18" t="s">
        <v>99</v>
      </c>
      <c r="F9" s="18" t="s">
        <v>770</v>
      </c>
      <c r="G9" s="19">
        <v>45386</v>
      </c>
      <c r="H9" s="19">
        <v>45823</v>
      </c>
      <c r="I9" s="18" t="s">
        <v>149</v>
      </c>
      <c r="J9" s="18" t="s">
        <v>53</v>
      </c>
    </row>
    <row r="10" spans="1:10">
      <c r="A10" s="18" t="s">
        <v>779</v>
      </c>
      <c r="B10" s="18" t="s">
        <v>155</v>
      </c>
      <c r="C10" s="18" t="s">
        <v>605</v>
      </c>
      <c r="D10" s="18" t="s">
        <v>606</v>
      </c>
      <c r="E10" s="18" t="s">
        <v>99</v>
      </c>
      <c r="F10" s="18" t="s">
        <v>770</v>
      </c>
      <c r="G10" s="19">
        <v>45417</v>
      </c>
      <c r="H10" s="18"/>
      <c r="I10" s="18" t="s">
        <v>162</v>
      </c>
      <c r="J10" s="18" t="s">
        <v>53</v>
      </c>
    </row>
    <row r="11" spans="1:10">
      <c r="A11" s="18" t="s">
        <v>780</v>
      </c>
      <c r="B11" s="18" t="s">
        <v>155</v>
      </c>
      <c r="C11" s="18" t="s">
        <v>613</v>
      </c>
      <c r="D11" s="18" t="s">
        <v>614</v>
      </c>
      <c r="E11" s="18" t="s">
        <v>774</v>
      </c>
      <c r="F11" s="18" t="s">
        <v>770</v>
      </c>
      <c r="G11" s="19">
        <v>43956</v>
      </c>
      <c r="H11" s="19">
        <v>45823</v>
      </c>
      <c r="I11" s="18" t="s">
        <v>162</v>
      </c>
      <c r="J11" s="18" t="s">
        <v>53</v>
      </c>
    </row>
    <row r="12" spans="1:10">
      <c r="A12" s="18" t="s">
        <v>781</v>
      </c>
      <c r="B12" s="18" t="s">
        <v>169</v>
      </c>
      <c r="C12" s="18" t="s">
        <v>613</v>
      </c>
      <c r="D12" s="18" t="s">
        <v>614</v>
      </c>
      <c r="E12" s="18" t="s">
        <v>99</v>
      </c>
      <c r="F12" s="18" t="s">
        <v>770</v>
      </c>
      <c r="G12" s="19">
        <v>43988</v>
      </c>
      <c r="H12" s="18"/>
      <c r="I12" s="18" t="s">
        <v>176</v>
      </c>
      <c r="J12" s="18" t="s">
        <v>53</v>
      </c>
    </row>
    <row r="13" spans="1:10">
      <c r="A13" s="18" t="s">
        <v>782</v>
      </c>
      <c r="B13" s="18" t="s">
        <v>169</v>
      </c>
      <c r="C13" s="18" t="s">
        <v>618</v>
      </c>
      <c r="D13" s="18" t="s">
        <v>619</v>
      </c>
      <c r="E13" s="18" t="s">
        <v>774</v>
      </c>
      <c r="F13" s="18" t="s">
        <v>770</v>
      </c>
      <c r="G13" s="19">
        <v>44353</v>
      </c>
      <c r="H13" s="19">
        <v>45823</v>
      </c>
      <c r="I13" s="18" t="s">
        <v>176</v>
      </c>
      <c r="J13" s="18" t="s">
        <v>53</v>
      </c>
    </row>
    <row r="14" spans="1:10">
      <c r="A14" s="18" t="s">
        <v>783</v>
      </c>
      <c r="B14" s="18" t="s">
        <v>183</v>
      </c>
      <c r="C14" s="18" t="s">
        <v>618</v>
      </c>
      <c r="D14" s="18" t="s">
        <v>619</v>
      </c>
      <c r="E14" s="18" t="s">
        <v>99</v>
      </c>
      <c r="F14" s="18" t="s">
        <v>770</v>
      </c>
      <c r="G14" s="19">
        <v>44384</v>
      </c>
      <c r="H14" s="18"/>
      <c r="I14" s="18" t="s">
        <v>98</v>
      </c>
      <c r="J14" s="18" t="s">
        <v>53</v>
      </c>
    </row>
    <row r="15" spans="1:10">
      <c r="A15" s="18" t="s">
        <v>784</v>
      </c>
      <c r="B15" s="18" t="s">
        <v>183</v>
      </c>
      <c r="C15" s="18" t="s">
        <v>623</v>
      </c>
      <c r="D15" s="18" t="s">
        <v>624</v>
      </c>
      <c r="E15" s="18" t="s">
        <v>99</v>
      </c>
      <c r="F15" s="18" t="s">
        <v>770</v>
      </c>
      <c r="G15" s="19">
        <v>44749</v>
      </c>
      <c r="H15" s="19">
        <v>45823</v>
      </c>
      <c r="I15" s="18" t="s">
        <v>98</v>
      </c>
      <c r="J15" s="18" t="s">
        <v>53</v>
      </c>
    </row>
    <row r="16" spans="1:10">
      <c r="A16" s="18" t="s">
        <v>785</v>
      </c>
      <c r="B16" s="18" t="s">
        <v>194</v>
      </c>
      <c r="C16" s="18" t="s">
        <v>623</v>
      </c>
      <c r="D16" s="18" t="s">
        <v>624</v>
      </c>
      <c r="E16" s="18" t="s">
        <v>99</v>
      </c>
      <c r="F16" s="18" t="s">
        <v>770</v>
      </c>
      <c r="G16" s="19">
        <v>44781</v>
      </c>
      <c r="H16" s="18"/>
      <c r="I16" s="18" t="s">
        <v>118</v>
      </c>
      <c r="J16" s="18" t="s">
        <v>53</v>
      </c>
    </row>
    <row r="17" spans="1:10">
      <c r="A17" s="18" t="s">
        <v>786</v>
      </c>
      <c r="B17" s="18" t="s">
        <v>194</v>
      </c>
      <c r="C17" s="18" t="s">
        <v>628</v>
      </c>
      <c r="D17" s="18" t="s">
        <v>629</v>
      </c>
      <c r="E17" s="18" t="s">
        <v>774</v>
      </c>
      <c r="F17" s="18" t="s">
        <v>770</v>
      </c>
      <c r="G17" s="19">
        <v>45146</v>
      </c>
      <c r="H17" s="19">
        <v>45823</v>
      </c>
      <c r="I17" s="18" t="s">
        <v>118</v>
      </c>
      <c r="J17" s="18" t="s">
        <v>53</v>
      </c>
    </row>
    <row r="18" spans="1:10">
      <c r="A18" s="18" t="s">
        <v>787</v>
      </c>
      <c r="B18" s="18" t="s">
        <v>204</v>
      </c>
      <c r="C18" s="18" t="s">
        <v>628</v>
      </c>
      <c r="D18" s="18" t="s">
        <v>629</v>
      </c>
      <c r="E18" s="18" t="s">
        <v>99</v>
      </c>
      <c r="F18" s="18" t="s">
        <v>770</v>
      </c>
      <c r="G18" s="19">
        <v>45178</v>
      </c>
      <c r="H18" s="18"/>
      <c r="I18" s="18" t="s">
        <v>134</v>
      </c>
      <c r="J18" s="18" t="s">
        <v>53</v>
      </c>
    </row>
    <row r="19" spans="1:10">
      <c r="A19" s="18" t="s">
        <v>788</v>
      </c>
      <c r="B19" s="18" t="s">
        <v>204</v>
      </c>
      <c r="C19" s="18" t="s">
        <v>633</v>
      </c>
      <c r="D19" s="18" t="s">
        <v>634</v>
      </c>
      <c r="E19" s="18" t="s">
        <v>774</v>
      </c>
      <c r="F19" s="18" t="s">
        <v>770</v>
      </c>
      <c r="G19" s="19">
        <v>45544</v>
      </c>
      <c r="H19" s="19">
        <v>45823</v>
      </c>
      <c r="I19" s="18" t="s">
        <v>134</v>
      </c>
      <c r="J19" s="18" t="s">
        <v>53</v>
      </c>
    </row>
    <row r="20" spans="1:10">
      <c r="A20" s="18" t="s">
        <v>789</v>
      </c>
      <c r="B20" s="18" t="s">
        <v>215</v>
      </c>
      <c r="C20" s="18" t="s">
        <v>633</v>
      </c>
      <c r="D20" s="18" t="s">
        <v>634</v>
      </c>
      <c r="E20" s="18" t="s">
        <v>99</v>
      </c>
      <c r="F20" s="18" t="s">
        <v>770</v>
      </c>
      <c r="G20" s="19">
        <v>45575</v>
      </c>
      <c r="H20" s="18"/>
      <c r="I20" s="18" t="s">
        <v>149</v>
      </c>
      <c r="J20" s="18" t="s">
        <v>53</v>
      </c>
    </row>
    <row r="21" spans="1:10">
      <c r="A21" s="18" t="s">
        <v>790</v>
      </c>
      <c r="B21" s="18" t="s">
        <v>215</v>
      </c>
      <c r="C21" s="18" t="s">
        <v>578</v>
      </c>
      <c r="D21" s="18" t="s">
        <v>579</v>
      </c>
      <c r="E21" s="18" t="s">
        <v>99</v>
      </c>
      <c r="F21" s="18" t="s">
        <v>770</v>
      </c>
      <c r="G21" s="19">
        <v>44114</v>
      </c>
      <c r="H21" s="19">
        <v>45823</v>
      </c>
      <c r="I21" s="18" t="s">
        <v>149</v>
      </c>
      <c r="J21" s="18" t="s">
        <v>53</v>
      </c>
    </row>
    <row r="22" spans="1:10">
      <c r="A22" s="18" t="s">
        <v>791</v>
      </c>
      <c r="B22" s="18" t="s">
        <v>226</v>
      </c>
      <c r="C22" s="18" t="s">
        <v>578</v>
      </c>
      <c r="D22" s="18" t="s">
        <v>579</v>
      </c>
      <c r="E22" s="18" t="s">
        <v>99</v>
      </c>
      <c r="F22" s="18" t="s">
        <v>770</v>
      </c>
      <c r="G22" s="19">
        <v>43841</v>
      </c>
      <c r="H22" s="18"/>
      <c r="I22" s="18" t="s">
        <v>162</v>
      </c>
      <c r="J22" s="18" t="s">
        <v>53</v>
      </c>
    </row>
    <row r="23" spans="1:10">
      <c r="A23" s="18" t="s">
        <v>792</v>
      </c>
      <c r="B23" s="18" t="s">
        <v>226</v>
      </c>
      <c r="C23" s="18" t="s">
        <v>584</v>
      </c>
      <c r="D23" s="18" t="s">
        <v>585</v>
      </c>
      <c r="E23" s="18" t="s">
        <v>774</v>
      </c>
      <c r="F23" s="18" t="s">
        <v>770</v>
      </c>
      <c r="G23" s="19">
        <v>44207</v>
      </c>
      <c r="H23" s="19">
        <v>45823</v>
      </c>
      <c r="I23" s="18" t="s">
        <v>162</v>
      </c>
      <c r="J23" s="18" t="s">
        <v>53</v>
      </c>
    </row>
    <row r="24" spans="1:10">
      <c r="A24" s="18" t="s">
        <v>793</v>
      </c>
      <c r="B24" s="18" t="s">
        <v>237</v>
      </c>
      <c r="C24" s="18" t="s">
        <v>584</v>
      </c>
      <c r="D24" s="18" t="s">
        <v>585</v>
      </c>
      <c r="E24" s="18" t="s">
        <v>99</v>
      </c>
      <c r="F24" s="18" t="s">
        <v>770</v>
      </c>
      <c r="G24" s="19">
        <v>44239</v>
      </c>
      <c r="H24" s="18"/>
      <c r="I24" s="18" t="s">
        <v>176</v>
      </c>
      <c r="J24" s="18" t="s">
        <v>53</v>
      </c>
    </row>
    <row r="25" spans="1:10">
      <c r="A25" s="18" t="s">
        <v>794</v>
      </c>
      <c r="B25" s="18" t="s">
        <v>237</v>
      </c>
      <c r="C25" s="18" t="s">
        <v>588</v>
      </c>
      <c r="D25" s="18" t="s">
        <v>589</v>
      </c>
      <c r="E25" s="18" t="s">
        <v>774</v>
      </c>
      <c r="F25" s="18" t="s">
        <v>770</v>
      </c>
      <c r="G25" s="19">
        <v>44604</v>
      </c>
      <c r="H25" s="19">
        <v>45823</v>
      </c>
      <c r="I25" s="18" t="s">
        <v>176</v>
      </c>
      <c r="J25" s="18" t="s">
        <v>53</v>
      </c>
    </row>
    <row r="26" spans="1:10">
      <c r="A26" s="18" t="s">
        <v>795</v>
      </c>
      <c r="B26" s="18" t="s">
        <v>248</v>
      </c>
      <c r="C26" s="18" t="s">
        <v>588</v>
      </c>
      <c r="D26" s="18" t="s">
        <v>589</v>
      </c>
      <c r="E26" s="18" t="s">
        <v>99</v>
      </c>
      <c r="F26" s="18" t="s">
        <v>770</v>
      </c>
      <c r="G26" s="19">
        <v>44633</v>
      </c>
      <c r="H26" s="18"/>
      <c r="I26" s="18" t="s">
        <v>98</v>
      </c>
      <c r="J26" s="18" t="s">
        <v>53</v>
      </c>
    </row>
    <row r="27" spans="1:10">
      <c r="A27" s="18" t="s">
        <v>796</v>
      </c>
      <c r="B27" s="18" t="s">
        <v>248</v>
      </c>
      <c r="C27" s="18" t="s">
        <v>597</v>
      </c>
      <c r="D27" s="18" t="s">
        <v>598</v>
      </c>
      <c r="E27" s="18" t="s">
        <v>99</v>
      </c>
      <c r="F27" s="18" t="s">
        <v>770</v>
      </c>
      <c r="G27" s="19">
        <v>44998</v>
      </c>
      <c r="H27" s="19">
        <v>45823</v>
      </c>
      <c r="I27" s="18" t="s">
        <v>98</v>
      </c>
      <c r="J27" s="18" t="s">
        <v>53</v>
      </c>
    </row>
    <row r="28" spans="1:10">
      <c r="A28" s="18" t="s">
        <v>797</v>
      </c>
      <c r="B28" s="18" t="s">
        <v>259</v>
      </c>
      <c r="C28" s="18" t="s">
        <v>597</v>
      </c>
      <c r="D28" s="18" t="s">
        <v>598</v>
      </c>
      <c r="E28" s="18" t="s">
        <v>99</v>
      </c>
      <c r="F28" s="18" t="s">
        <v>770</v>
      </c>
      <c r="G28" s="19">
        <v>45030</v>
      </c>
      <c r="H28" s="18"/>
      <c r="I28" s="18" t="s">
        <v>118</v>
      </c>
      <c r="J28" s="18" t="s">
        <v>53</v>
      </c>
    </row>
    <row r="29" spans="1:10">
      <c r="A29" s="18" t="s">
        <v>798</v>
      </c>
      <c r="B29" s="18" t="s">
        <v>259</v>
      </c>
      <c r="C29" s="18" t="s">
        <v>605</v>
      </c>
      <c r="D29" s="18" t="s">
        <v>606</v>
      </c>
      <c r="E29" s="18" t="s">
        <v>774</v>
      </c>
      <c r="F29" s="18" t="s">
        <v>770</v>
      </c>
      <c r="G29" s="19">
        <v>45396</v>
      </c>
      <c r="H29" s="19">
        <v>45823</v>
      </c>
      <c r="I29" s="18" t="s">
        <v>118</v>
      </c>
      <c r="J29" s="18" t="s">
        <v>53</v>
      </c>
    </row>
    <row r="30" spans="1:10">
      <c r="A30" s="18" t="s">
        <v>799</v>
      </c>
      <c r="B30" s="18" t="s">
        <v>270</v>
      </c>
      <c r="C30" s="18" t="s">
        <v>605</v>
      </c>
      <c r="D30" s="18" t="s">
        <v>606</v>
      </c>
      <c r="E30" s="18" t="s">
        <v>99</v>
      </c>
      <c r="F30" s="18" t="s">
        <v>770</v>
      </c>
      <c r="G30" s="19">
        <v>45427</v>
      </c>
      <c r="H30" s="18"/>
      <c r="I30" s="18" t="s">
        <v>134</v>
      </c>
      <c r="J30" s="18" t="s">
        <v>53</v>
      </c>
    </row>
    <row r="31" spans="1:10">
      <c r="A31" s="18" t="s">
        <v>800</v>
      </c>
      <c r="B31" s="18" t="s">
        <v>270</v>
      </c>
      <c r="C31" s="18" t="s">
        <v>613</v>
      </c>
      <c r="D31" s="18" t="s">
        <v>614</v>
      </c>
      <c r="E31" s="18" t="s">
        <v>774</v>
      </c>
      <c r="F31" s="18" t="s">
        <v>770</v>
      </c>
      <c r="G31" s="19">
        <v>43966</v>
      </c>
      <c r="H31" s="19">
        <v>45823</v>
      </c>
      <c r="I31" s="18" t="s">
        <v>134</v>
      </c>
      <c r="J31" s="18" t="s">
        <v>53</v>
      </c>
    </row>
    <row r="32" spans="1:10">
      <c r="A32" s="18" t="s">
        <v>801</v>
      </c>
      <c r="B32" s="18" t="s">
        <v>281</v>
      </c>
      <c r="C32" s="18" t="s">
        <v>613</v>
      </c>
      <c r="D32" s="18" t="s">
        <v>614</v>
      </c>
      <c r="E32" s="18" t="s">
        <v>99</v>
      </c>
      <c r="F32" s="18" t="s">
        <v>770</v>
      </c>
      <c r="G32" s="19">
        <v>43998</v>
      </c>
      <c r="H32" s="18"/>
      <c r="I32" s="18" t="s">
        <v>149</v>
      </c>
      <c r="J32" s="18" t="s">
        <v>53</v>
      </c>
    </row>
    <row r="33" spans="1:10">
      <c r="A33" s="18" t="s">
        <v>802</v>
      </c>
      <c r="B33" s="18" t="s">
        <v>281</v>
      </c>
      <c r="C33" s="18" t="s">
        <v>618</v>
      </c>
      <c r="D33" s="18" t="s">
        <v>619</v>
      </c>
      <c r="E33" s="18" t="s">
        <v>99</v>
      </c>
      <c r="F33" s="18" t="s">
        <v>770</v>
      </c>
      <c r="G33" s="19">
        <v>44363</v>
      </c>
      <c r="H33" s="19">
        <v>45823</v>
      </c>
      <c r="I33" s="18" t="s">
        <v>149</v>
      </c>
      <c r="J33" s="18" t="s">
        <v>53</v>
      </c>
    </row>
    <row r="34" spans="1:10">
      <c r="A34" s="18" t="s">
        <v>803</v>
      </c>
      <c r="B34" s="18" t="s">
        <v>292</v>
      </c>
      <c r="C34" s="18" t="s">
        <v>618</v>
      </c>
      <c r="D34" s="18" t="s">
        <v>619</v>
      </c>
      <c r="E34" s="18" t="s">
        <v>99</v>
      </c>
      <c r="F34" s="18" t="s">
        <v>770</v>
      </c>
      <c r="G34" s="19">
        <v>44394</v>
      </c>
      <c r="H34" s="18"/>
      <c r="I34" s="18" t="s">
        <v>162</v>
      </c>
      <c r="J34" s="18" t="s">
        <v>53</v>
      </c>
    </row>
    <row r="35" spans="1:10">
      <c r="A35" s="18" t="s">
        <v>804</v>
      </c>
      <c r="B35" s="18" t="s">
        <v>292</v>
      </c>
      <c r="C35" s="18" t="s">
        <v>623</v>
      </c>
      <c r="D35" s="18" t="s">
        <v>624</v>
      </c>
      <c r="E35" s="18" t="s">
        <v>774</v>
      </c>
      <c r="F35" s="18" t="s">
        <v>770</v>
      </c>
      <c r="G35" s="19">
        <v>44759</v>
      </c>
      <c r="H35" s="19">
        <v>45823</v>
      </c>
      <c r="I35" s="18" t="s">
        <v>162</v>
      </c>
      <c r="J35" s="18" t="s">
        <v>53</v>
      </c>
    </row>
    <row r="36" spans="1:10">
      <c r="A36" s="18" t="s">
        <v>805</v>
      </c>
      <c r="B36" s="18" t="s">
        <v>303</v>
      </c>
      <c r="C36" s="18" t="s">
        <v>623</v>
      </c>
      <c r="D36" s="18" t="s">
        <v>624</v>
      </c>
      <c r="E36" s="18" t="s">
        <v>99</v>
      </c>
      <c r="F36" s="18" t="s">
        <v>770</v>
      </c>
      <c r="G36" s="19">
        <v>44791</v>
      </c>
      <c r="H36" s="18"/>
      <c r="I36" s="18" t="s">
        <v>176</v>
      </c>
      <c r="J36" s="18" t="s">
        <v>53</v>
      </c>
    </row>
    <row r="37" spans="1:10">
      <c r="A37" s="18" t="s">
        <v>806</v>
      </c>
      <c r="B37" s="18" t="s">
        <v>303</v>
      </c>
      <c r="C37" s="18" t="s">
        <v>628</v>
      </c>
      <c r="D37" s="18" t="s">
        <v>629</v>
      </c>
      <c r="E37" s="18" t="s">
        <v>774</v>
      </c>
      <c r="F37" s="18" t="s">
        <v>770</v>
      </c>
      <c r="G37" s="19">
        <v>45156</v>
      </c>
      <c r="H37" s="19">
        <v>45823</v>
      </c>
      <c r="I37" s="18" t="s">
        <v>176</v>
      </c>
      <c r="J37" s="18" t="s">
        <v>53</v>
      </c>
    </row>
    <row r="38" spans="1:10">
      <c r="A38" s="18" t="s">
        <v>807</v>
      </c>
      <c r="B38" s="18" t="s">
        <v>313</v>
      </c>
      <c r="C38" s="18" t="s">
        <v>628</v>
      </c>
      <c r="D38" s="18" t="s">
        <v>629</v>
      </c>
      <c r="E38" s="18" t="s">
        <v>99</v>
      </c>
      <c r="F38" s="18" t="s">
        <v>770</v>
      </c>
      <c r="G38" s="19">
        <v>45188</v>
      </c>
      <c r="H38" s="18"/>
      <c r="I38" s="18" t="s">
        <v>98</v>
      </c>
      <c r="J38" s="18" t="s">
        <v>53</v>
      </c>
    </row>
    <row r="39" spans="1:10">
      <c r="A39" s="18" t="s">
        <v>808</v>
      </c>
      <c r="B39" s="18" t="s">
        <v>313</v>
      </c>
      <c r="C39" s="18" t="s">
        <v>633</v>
      </c>
      <c r="D39" s="18" t="s">
        <v>634</v>
      </c>
      <c r="E39" s="18" t="s">
        <v>99</v>
      </c>
      <c r="F39" s="18" t="s">
        <v>770</v>
      </c>
      <c r="G39" s="19">
        <v>45554</v>
      </c>
      <c r="H39" s="19">
        <v>45823</v>
      </c>
      <c r="I39" s="18" t="s">
        <v>98</v>
      </c>
      <c r="J39" s="18" t="s">
        <v>53</v>
      </c>
    </row>
    <row r="40" spans="1:10">
      <c r="A40" s="18" t="s">
        <v>809</v>
      </c>
      <c r="B40" s="18" t="s">
        <v>324</v>
      </c>
      <c r="C40" s="18" t="s">
        <v>633</v>
      </c>
      <c r="D40" s="18" t="s">
        <v>634</v>
      </c>
      <c r="E40" s="18" t="s">
        <v>99</v>
      </c>
      <c r="F40" s="18" t="s">
        <v>770</v>
      </c>
      <c r="G40" s="19">
        <v>45585</v>
      </c>
      <c r="H40" s="18"/>
      <c r="I40" s="18" t="s">
        <v>118</v>
      </c>
      <c r="J40" s="18" t="s">
        <v>53</v>
      </c>
    </row>
    <row r="41" spans="1:10">
      <c r="A41" s="18" t="s">
        <v>810</v>
      </c>
      <c r="B41" s="18" t="s">
        <v>324</v>
      </c>
      <c r="C41" s="18" t="s">
        <v>578</v>
      </c>
      <c r="D41" s="18" t="s">
        <v>579</v>
      </c>
      <c r="E41" s="18" t="s">
        <v>774</v>
      </c>
      <c r="F41" s="18" t="s">
        <v>770</v>
      </c>
      <c r="G41" s="19">
        <v>44124</v>
      </c>
      <c r="H41" s="19">
        <v>45823</v>
      </c>
      <c r="I41" s="18" t="s">
        <v>118</v>
      </c>
      <c r="J41" s="18" t="s">
        <v>53</v>
      </c>
    </row>
    <row r="42" spans="1:10">
      <c r="A42" s="18" t="s">
        <v>811</v>
      </c>
      <c r="B42" s="18" t="s">
        <v>335</v>
      </c>
      <c r="C42" s="18" t="s">
        <v>578</v>
      </c>
      <c r="D42" s="18" t="s">
        <v>579</v>
      </c>
      <c r="E42" s="18" t="s">
        <v>99</v>
      </c>
      <c r="F42" s="18" t="s">
        <v>770</v>
      </c>
      <c r="G42" s="19">
        <v>43851</v>
      </c>
      <c r="H42" s="18"/>
      <c r="I42" s="18" t="s">
        <v>134</v>
      </c>
      <c r="J42" s="18" t="s">
        <v>53</v>
      </c>
    </row>
    <row r="43" spans="1:10">
      <c r="A43" s="18" t="s">
        <v>812</v>
      </c>
      <c r="B43" s="18" t="s">
        <v>335</v>
      </c>
      <c r="C43" s="18" t="s">
        <v>584</v>
      </c>
      <c r="D43" s="18" t="s">
        <v>585</v>
      </c>
      <c r="E43" s="18" t="s">
        <v>774</v>
      </c>
      <c r="F43" s="18" t="s">
        <v>770</v>
      </c>
      <c r="G43" s="19">
        <v>44217</v>
      </c>
      <c r="H43" s="19">
        <v>45823</v>
      </c>
      <c r="I43" s="18" t="s">
        <v>134</v>
      </c>
      <c r="J43" s="18" t="s">
        <v>53</v>
      </c>
    </row>
    <row r="44" spans="1:10">
      <c r="A44" s="18" t="s">
        <v>813</v>
      </c>
      <c r="B44" s="18" t="s">
        <v>342</v>
      </c>
      <c r="C44" s="18" t="s">
        <v>584</v>
      </c>
      <c r="D44" s="18" t="s">
        <v>585</v>
      </c>
      <c r="E44" s="18" t="s">
        <v>99</v>
      </c>
      <c r="F44" s="18" t="s">
        <v>770</v>
      </c>
      <c r="G44" s="19">
        <v>44249</v>
      </c>
      <c r="H44" s="18"/>
      <c r="I44" s="18" t="s">
        <v>149</v>
      </c>
      <c r="J44" s="18" t="s">
        <v>53</v>
      </c>
    </row>
    <row r="45" spans="1:10">
      <c r="A45" s="18" t="s">
        <v>814</v>
      </c>
      <c r="B45" s="18" t="s">
        <v>342</v>
      </c>
      <c r="C45" s="18" t="s">
        <v>588</v>
      </c>
      <c r="D45" s="18" t="s">
        <v>589</v>
      </c>
      <c r="E45" s="18" t="s">
        <v>99</v>
      </c>
      <c r="F45" s="18" t="s">
        <v>770</v>
      </c>
      <c r="G45" s="19">
        <v>44614</v>
      </c>
      <c r="H45" s="19">
        <v>45823</v>
      </c>
      <c r="I45" s="18" t="s">
        <v>149</v>
      </c>
      <c r="J45" s="18" t="s">
        <v>53</v>
      </c>
    </row>
    <row r="46" spans="1:10">
      <c r="A46" s="18" t="s">
        <v>815</v>
      </c>
      <c r="B46" s="18" t="s">
        <v>350</v>
      </c>
      <c r="C46" s="18" t="s">
        <v>588</v>
      </c>
      <c r="D46" s="18" t="s">
        <v>589</v>
      </c>
      <c r="E46" s="18" t="s">
        <v>99</v>
      </c>
      <c r="F46" s="18" t="s">
        <v>770</v>
      </c>
      <c r="G46" s="19">
        <v>44643</v>
      </c>
      <c r="H46" s="18"/>
      <c r="I46" s="18" t="s">
        <v>162</v>
      </c>
      <c r="J46" s="18" t="s">
        <v>53</v>
      </c>
    </row>
    <row r="47" spans="1:10">
      <c r="A47" s="18" t="s">
        <v>816</v>
      </c>
      <c r="B47" s="18" t="s">
        <v>350</v>
      </c>
      <c r="C47" s="18" t="s">
        <v>597</v>
      </c>
      <c r="D47" s="18" t="s">
        <v>598</v>
      </c>
      <c r="E47" s="18" t="s">
        <v>774</v>
      </c>
      <c r="F47" s="18" t="s">
        <v>770</v>
      </c>
      <c r="G47" s="19">
        <v>45008</v>
      </c>
      <c r="H47" s="19">
        <v>45823</v>
      </c>
      <c r="I47" s="18" t="s">
        <v>162</v>
      </c>
      <c r="J47" s="18" t="s">
        <v>53</v>
      </c>
    </row>
    <row r="48" spans="1:10">
      <c r="A48" s="18" t="s">
        <v>817</v>
      </c>
      <c r="B48" s="18" t="s">
        <v>356</v>
      </c>
      <c r="C48" s="18" t="s">
        <v>597</v>
      </c>
      <c r="D48" s="18" t="s">
        <v>598</v>
      </c>
      <c r="E48" s="18" t="s">
        <v>99</v>
      </c>
      <c r="F48" s="18" t="s">
        <v>770</v>
      </c>
      <c r="G48" s="19">
        <v>45040</v>
      </c>
      <c r="H48" s="18"/>
      <c r="I48" s="18" t="s">
        <v>176</v>
      </c>
      <c r="J48" s="18" t="s">
        <v>53</v>
      </c>
    </row>
    <row r="49" spans="1:10">
      <c r="A49" s="18" t="s">
        <v>818</v>
      </c>
      <c r="B49" s="18" t="s">
        <v>356</v>
      </c>
      <c r="C49" s="18" t="s">
        <v>605</v>
      </c>
      <c r="D49" s="18" t="s">
        <v>606</v>
      </c>
      <c r="E49" s="18" t="s">
        <v>774</v>
      </c>
      <c r="F49" s="18" t="s">
        <v>770</v>
      </c>
      <c r="G49" s="19">
        <v>45406</v>
      </c>
      <c r="H49" s="19">
        <v>45823</v>
      </c>
      <c r="I49" s="18" t="s">
        <v>176</v>
      </c>
      <c r="J49" s="18" t="s">
        <v>53</v>
      </c>
    </row>
    <row r="50" spans="1:10">
      <c r="A50" s="18" t="s">
        <v>819</v>
      </c>
      <c r="B50" s="18" t="s">
        <v>364</v>
      </c>
      <c r="C50" s="18" t="s">
        <v>605</v>
      </c>
      <c r="D50" s="18" t="s">
        <v>606</v>
      </c>
      <c r="E50" s="18" t="s">
        <v>99</v>
      </c>
      <c r="F50" s="18" t="s">
        <v>770</v>
      </c>
      <c r="G50" s="19">
        <v>45437</v>
      </c>
      <c r="H50" s="18"/>
      <c r="I50" s="18" t="s">
        <v>98</v>
      </c>
      <c r="J50" s="18" t="s">
        <v>53</v>
      </c>
    </row>
    <row r="51" spans="1:10">
      <c r="A51" s="18" t="s">
        <v>820</v>
      </c>
      <c r="B51" s="18" t="s">
        <v>364</v>
      </c>
      <c r="C51" s="18" t="s">
        <v>613</v>
      </c>
      <c r="D51" s="18" t="s">
        <v>614</v>
      </c>
      <c r="E51" s="18" t="s">
        <v>99</v>
      </c>
      <c r="F51" s="18" t="s">
        <v>770</v>
      </c>
      <c r="G51" s="19">
        <v>43976</v>
      </c>
      <c r="H51" s="19">
        <v>45823</v>
      </c>
      <c r="I51" s="18" t="s">
        <v>98</v>
      </c>
      <c r="J51" s="18" t="s">
        <v>53</v>
      </c>
    </row>
    <row r="52" spans="1:10">
      <c r="A52" s="18" t="s">
        <v>821</v>
      </c>
      <c r="B52" s="18" t="s">
        <v>371</v>
      </c>
      <c r="C52" s="18" t="s">
        <v>613</v>
      </c>
      <c r="D52" s="18" t="s">
        <v>614</v>
      </c>
      <c r="E52" s="18" t="s">
        <v>99</v>
      </c>
      <c r="F52" s="18" t="s">
        <v>770</v>
      </c>
      <c r="G52" s="19">
        <v>43983</v>
      </c>
      <c r="H52" s="18"/>
      <c r="I52" s="18" t="s">
        <v>118</v>
      </c>
      <c r="J52" s="18" t="s">
        <v>53</v>
      </c>
    </row>
    <row r="53" spans="1:10">
      <c r="A53" s="18" t="s">
        <v>822</v>
      </c>
      <c r="B53" s="18" t="s">
        <v>371</v>
      </c>
      <c r="C53" s="18" t="s">
        <v>618</v>
      </c>
      <c r="D53" s="18" t="s">
        <v>619</v>
      </c>
      <c r="E53" s="18" t="s">
        <v>774</v>
      </c>
      <c r="F53" s="18" t="s">
        <v>770</v>
      </c>
      <c r="G53" s="19">
        <v>44348</v>
      </c>
      <c r="H53" s="19">
        <v>45823</v>
      </c>
      <c r="I53" s="18" t="s">
        <v>118</v>
      </c>
      <c r="J53" s="18" t="s">
        <v>53</v>
      </c>
    </row>
    <row r="54" spans="1:10">
      <c r="A54" s="18" t="s">
        <v>823</v>
      </c>
      <c r="B54" s="18" t="s">
        <v>379</v>
      </c>
      <c r="C54" s="18" t="s">
        <v>618</v>
      </c>
      <c r="D54" s="18" t="s">
        <v>619</v>
      </c>
      <c r="E54" s="18" t="s">
        <v>99</v>
      </c>
      <c r="F54" s="18" t="s">
        <v>770</v>
      </c>
      <c r="G54" s="19">
        <v>44379</v>
      </c>
      <c r="H54" s="18"/>
      <c r="I54" s="18" t="s">
        <v>134</v>
      </c>
      <c r="J54" s="18" t="s">
        <v>53</v>
      </c>
    </row>
    <row r="55" spans="1:10">
      <c r="A55" s="18" t="s">
        <v>824</v>
      </c>
      <c r="B55" s="18" t="s">
        <v>379</v>
      </c>
      <c r="C55" s="18" t="s">
        <v>623</v>
      </c>
      <c r="D55" s="18" t="s">
        <v>624</v>
      </c>
      <c r="E55" s="18" t="s">
        <v>774</v>
      </c>
      <c r="F55" s="18" t="s">
        <v>770</v>
      </c>
      <c r="G55" s="19">
        <v>44744</v>
      </c>
      <c r="H55" s="19">
        <v>45823</v>
      </c>
      <c r="I55" s="18" t="s">
        <v>134</v>
      </c>
      <c r="J55" s="18" t="s">
        <v>53</v>
      </c>
    </row>
    <row r="56" spans="1:10">
      <c r="A56" s="18" t="s">
        <v>825</v>
      </c>
      <c r="B56" s="18" t="s">
        <v>386</v>
      </c>
      <c r="C56" s="18" t="s">
        <v>623</v>
      </c>
      <c r="D56" s="18" t="s">
        <v>624</v>
      </c>
      <c r="E56" s="18" t="s">
        <v>99</v>
      </c>
      <c r="F56" s="18" t="s">
        <v>770</v>
      </c>
      <c r="G56" s="19">
        <v>44776</v>
      </c>
      <c r="H56" s="18"/>
      <c r="I56" s="18" t="s">
        <v>149</v>
      </c>
      <c r="J56" s="18" t="s">
        <v>53</v>
      </c>
    </row>
    <row r="57" spans="1:10">
      <c r="A57" s="18" t="s">
        <v>826</v>
      </c>
      <c r="B57" s="18" t="s">
        <v>386</v>
      </c>
      <c r="C57" s="18" t="s">
        <v>628</v>
      </c>
      <c r="D57" s="18" t="s">
        <v>629</v>
      </c>
      <c r="E57" s="18" t="s">
        <v>99</v>
      </c>
      <c r="F57" s="18" t="s">
        <v>770</v>
      </c>
      <c r="G57" s="19">
        <v>45141</v>
      </c>
      <c r="H57" s="19">
        <v>45823</v>
      </c>
      <c r="I57" s="18" t="s">
        <v>149</v>
      </c>
      <c r="J57" s="18" t="s">
        <v>53</v>
      </c>
    </row>
    <row r="58" spans="1:10">
      <c r="A58" s="18" t="s">
        <v>827</v>
      </c>
      <c r="B58" s="18" t="s">
        <v>393</v>
      </c>
      <c r="C58" s="18" t="s">
        <v>628</v>
      </c>
      <c r="D58" s="18" t="s">
        <v>629</v>
      </c>
      <c r="E58" s="18" t="s">
        <v>99</v>
      </c>
      <c r="F58" s="18" t="s">
        <v>770</v>
      </c>
      <c r="G58" s="19">
        <v>45173</v>
      </c>
      <c r="H58" s="18"/>
      <c r="I58" s="18" t="s">
        <v>162</v>
      </c>
      <c r="J58" s="18" t="s">
        <v>53</v>
      </c>
    </row>
    <row r="59" spans="1:10">
      <c r="A59" s="18" t="s">
        <v>828</v>
      </c>
      <c r="B59" s="18" t="s">
        <v>393</v>
      </c>
      <c r="C59" s="18" t="s">
        <v>633</v>
      </c>
      <c r="D59" s="18" t="s">
        <v>634</v>
      </c>
      <c r="E59" s="18" t="s">
        <v>774</v>
      </c>
      <c r="F59" s="18" t="s">
        <v>770</v>
      </c>
      <c r="G59" s="19">
        <v>45539</v>
      </c>
      <c r="H59" s="19">
        <v>45823</v>
      </c>
      <c r="I59" s="18" t="s">
        <v>162</v>
      </c>
      <c r="J59" s="18" t="s">
        <v>53</v>
      </c>
    </row>
    <row r="60" spans="1:10">
      <c r="A60" s="18" t="s">
        <v>829</v>
      </c>
      <c r="B60" s="18" t="s">
        <v>400</v>
      </c>
      <c r="C60" s="18" t="s">
        <v>633</v>
      </c>
      <c r="D60" s="18" t="s">
        <v>634</v>
      </c>
      <c r="E60" s="18" t="s">
        <v>99</v>
      </c>
      <c r="F60" s="18" t="s">
        <v>770</v>
      </c>
      <c r="G60" s="19">
        <v>45570</v>
      </c>
      <c r="H60" s="18"/>
      <c r="I60" s="18" t="s">
        <v>176</v>
      </c>
      <c r="J60" s="18" t="s">
        <v>53</v>
      </c>
    </row>
    <row r="61" spans="1:10">
      <c r="A61" s="18" t="s">
        <v>830</v>
      </c>
      <c r="B61" s="18" t="s">
        <v>400</v>
      </c>
      <c r="C61" s="18" t="s">
        <v>578</v>
      </c>
      <c r="D61" s="18" t="s">
        <v>579</v>
      </c>
      <c r="E61" s="18" t="s">
        <v>774</v>
      </c>
      <c r="F61" s="18" t="s">
        <v>770</v>
      </c>
      <c r="G61" s="19">
        <v>44109</v>
      </c>
      <c r="H61" s="19">
        <v>45823</v>
      </c>
      <c r="I61" s="18" t="s">
        <v>176</v>
      </c>
      <c r="J61" s="18" t="s">
        <v>53</v>
      </c>
    </row>
    <row r="62" spans="1:10">
      <c r="A62" s="18" t="s">
        <v>831</v>
      </c>
      <c r="B62" s="18" t="s">
        <v>408</v>
      </c>
      <c r="C62" s="18" t="s">
        <v>578</v>
      </c>
      <c r="D62" s="18" t="s">
        <v>579</v>
      </c>
      <c r="E62" s="18" t="s">
        <v>99</v>
      </c>
      <c r="F62" s="18" t="s">
        <v>770</v>
      </c>
      <c r="G62" s="19">
        <v>43836</v>
      </c>
      <c r="H62" s="18"/>
      <c r="I62" s="18" t="s">
        <v>98</v>
      </c>
      <c r="J62" s="18" t="s">
        <v>53</v>
      </c>
    </row>
    <row r="63" spans="1:10">
      <c r="A63" s="18" t="s">
        <v>832</v>
      </c>
      <c r="B63" s="18" t="s">
        <v>408</v>
      </c>
      <c r="C63" s="18" t="s">
        <v>584</v>
      </c>
      <c r="D63" s="18" t="s">
        <v>585</v>
      </c>
      <c r="E63" s="18" t="s">
        <v>99</v>
      </c>
      <c r="F63" s="18" t="s">
        <v>770</v>
      </c>
      <c r="G63" s="19">
        <v>44202</v>
      </c>
      <c r="H63" s="19">
        <v>45823</v>
      </c>
      <c r="I63" s="18" t="s">
        <v>98</v>
      </c>
      <c r="J63" s="18" t="s">
        <v>53</v>
      </c>
    </row>
    <row r="64" spans="1:10">
      <c r="A64" s="18" t="s">
        <v>833</v>
      </c>
      <c r="B64" s="18" t="s">
        <v>415</v>
      </c>
      <c r="C64" s="18" t="s">
        <v>584</v>
      </c>
      <c r="D64" s="18" t="s">
        <v>585</v>
      </c>
      <c r="E64" s="18" t="s">
        <v>99</v>
      </c>
      <c r="F64" s="18" t="s">
        <v>770</v>
      </c>
      <c r="G64" s="19">
        <v>44234</v>
      </c>
      <c r="H64" s="18"/>
      <c r="I64" s="18" t="s">
        <v>118</v>
      </c>
      <c r="J64" s="18" t="s">
        <v>53</v>
      </c>
    </row>
    <row r="65" spans="1:10">
      <c r="A65" s="18" t="s">
        <v>834</v>
      </c>
      <c r="B65" s="18" t="s">
        <v>415</v>
      </c>
      <c r="C65" s="18" t="s">
        <v>588</v>
      </c>
      <c r="D65" s="18" t="s">
        <v>589</v>
      </c>
      <c r="E65" s="18" t="s">
        <v>774</v>
      </c>
      <c r="F65" s="18" t="s">
        <v>770</v>
      </c>
      <c r="G65" s="19">
        <v>44599</v>
      </c>
      <c r="H65" s="19">
        <v>45823</v>
      </c>
      <c r="I65" s="18" t="s">
        <v>118</v>
      </c>
      <c r="J65" s="18" t="s">
        <v>53</v>
      </c>
    </row>
    <row r="66" spans="1:10">
      <c r="A66" s="18" t="s">
        <v>835</v>
      </c>
      <c r="B66" s="18" t="s">
        <v>423</v>
      </c>
      <c r="C66" s="18" t="s">
        <v>588</v>
      </c>
      <c r="D66" s="18" t="s">
        <v>589</v>
      </c>
      <c r="E66" s="18" t="s">
        <v>99</v>
      </c>
      <c r="F66" s="18" t="s">
        <v>770</v>
      </c>
      <c r="G66" s="19">
        <v>44628</v>
      </c>
      <c r="H66" s="18"/>
      <c r="I66" s="18" t="s">
        <v>134</v>
      </c>
      <c r="J66" s="18" t="s">
        <v>53</v>
      </c>
    </row>
    <row r="67" spans="1:10">
      <c r="A67" s="18" t="s">
        <v>836</v>
      </c>
      <c r="B67" s="18" t="s">
        <v>423</v>
      </c>
      <c r="C67" s="18" t="s">
        <v>597</v>
      </c>
      <c r="D67" s="18" t="s">
        <v>598</v>
      </c>
      <c r="E67" s="18" t="s">
        <v>774</v>
      </c>
      <c r="F67" s="18" t="s">
        <v>770</v>
      </c>
      <c r="G67" s="19">
        <v>44993</v>
      </c>
      <c r="H67" s="19">
        <v>45823</v>
      </c>
      <c r="I67" s="18" t="s">
        <v>134</v>
      </c>
      <c r="J67" s="18" t="s">
        <v>53</v>
      </c>
    </row>
    <row r="68" spans="1:10">
      <c r="A68" s="18" t="s">
        <v>837</v>
      </c>
      <c r="B68" s="18" t="s">
        <v>430</v>
      </c>
      <c r="C68" s="18" t="s">
        <v>597</v>
      </c>
      <c r="D68" s="18" t="s">
        <v>598</v>
      </c>
      <c r="E68" s="18" t="s">
        <v>99</v>
      </c>
      <c r="F68" s="18" t="s">
        <v>770</v>
      </c>
      <c r="G68" s="19">
        <v>45025</v>
      </c>
      <c r="H68" s="18"/>
      <c r="I68" s="18" t="s">
        <v>149</v>
      </c>
      <c r="J68" s="18" t="s">
        <v>53</v>
      </c>
    </row>
    <row r="69" spans="1:10">
      <c r="A69" s="18" t="s">
        <v>838</v>
      </c>
      <c r="B69" s="18" t="s">
        <v>430</v>
      </c>
      <c r="C69" s="18" t="s">
        <v>605</v>
      </c>
      <c r="D69" s="18" t="s">
        <v>606</v>
      </c>
      <c r="E69" s="18" t="s">
        <v>99</v>
      </c>
      <c r="F69" s="18" t="s">
        <v>770</v>
      </c>
      <c r="G69" s="19">
        <v>45391</v>
      </c>
      <c r="H69" s="19">
        <v>45823</v>
      </c>
      <c r="I69" s="18" t="s">
        <v>149</v>
      </c>
      <c r="J69" s="18" t="s">
        <v>53</v>
      </c>
    </row>
    <row r="70" spans="1:10">
      <c r="A70" s="18" t="s">
        <v>839</v>
      </c>
      <c r="B70" s="18" t="s">
        <v>438</v>
      </c>
      <c r="C70" s="18" t="s">
        <v>605</v>
      </c>
      <c r="D70" s="18" t="s">
        <v>606</v>
      </c>
      <c r="E70" s="18" t="s">
        <v>99</v>
      </c>
      <c r="F70" s="18" t="s">
        <v>770</v>
      </c>
      <c r="G70" s="19">
        <v>45422</v>
      </c>
      <c r="H70" s="18"/>
      <c r="I70" s="18" t="s">
        <v>162</v>
      </c>
      <c r="J70" s="18" t="s">
        <v>53</v>
      </c>
    </row>
    <row r="71" spans="1:10">
      <c r="A71" s="18" t="s">
        <v>840</v>
      </c>
      <c r="B71" s="18" t="s">
        <v>438</v>
      </c>
      <c r="C71" s="18" t="s">
        <v>613</v>
      </c>
      <c r="D71" s="18" t="s">
        <v>614</v>
      </c>
      <c r="E71" s="18" t="s">
        <v>774</v>
      </c>
      <c r="F71" s="18" t="s">
        <v>770</v>
      </c>
      <c r="G71" s="19">
        <v>43961</v>
      </c>
      <c r="H71" s="19">
        <v>45823</v>
      </c>
      <c r="I71" s="18" t="s">
        <v>162</v>
      </c>
      <c r="J71" s="18" t="s">
        <v>53</v>
      </c>
    </row>
    <row r="72" spans="1:10">
      <c r="A72" s="18" t="s">
        <v>841</v>
      </c>
      <c r="B72" s="18" t="s">
        <v>445</v>
      </c>
      <c r="C72" s="18" t="s">
        <v>613</v>
      </c>
      <c r="D72" s="18" t="s">
        <v>614</v>
      </c>
      <c r="E72" s="18" t="s">
        <v>99</v>
      </c>
      <c r="F72" s="18" t="s">
        <v>770</v>
      </c>
      <c r="G72" s="19">
        <v>43993</v>
      </c>
      <c r="H72" s="18"/>
      <c r="I72" s="18" t="s">
        <v>176</v>
      </c>
      <c r="J72" s="18" t="s">
        <v>53</v>
      </c>
    </row>
    <row r="73" spans="1:10">
      <c r="A73" s="18" t="s">
        <v>842</v>
      </c>
      <c r="B73" s="18" t="s">
        <v>445</v>
      </c>
      <c r="C73" s="18" t="s">
        <v>618</v>
      </c>
      <c r="D73" s="18" t="s">
        <v>619</v>
      </c>
      <c r="E73" s="18" t="s">
        <v>774</v>
      </c>
      <c r="F73" s="18" t="s">
        <v>770</v>
      </c>
      <c r="G73" s="19">
        <v>44358</v>
      </c>
      <c r="H73" s="19">
        <v>45823</v>
      </c>
      <c r="I73" s="18" t="s">
        <v>176</v>
      </c>
      <c r="J73" s="18" t="s">
        <v>53</v>
      </c>
    </row>
    <row r="74" spans="1:10">
      <c r="A74" s="18" t="s">
        <v>843</v>
      </c>
      <c r="B74" s="18" t="s">
        <v>453</v>
      </c>
      <c r="C74" s="18" t="s">
        <v>618</v>
      </c>
      <c r="D74" s="18" t="s">
        <v>619</v>
      </c>
      <c r="E74" s="18" t="s">
        <v>99</v>
      </c>
      <c r="F74" s="18" t="s">
        <v>770</v>
      </c>
      <c r="G74" s="19">
        <v>44389</v>
      </c>
      <c r="H74" s="18"/>
      <c r="I74" s="18" t="s">
        <v>98</v>
      </c>
      <c r="J74" s="18" t="s">
        <v>53</v>
      </c>
    </row>
    <row r="75" spans="1:10">
      <c r="A75" s="18" t="s">
        <v>844</v>
      </c>
      <c r="B75" s="18" t="s">
        <v>453</v>
      </c>
      <c r="C75" s="18" t="s">
        <v>623</v>
      </c>
      <c r="D75" s="18" t="s">
        <v>624</v>
      </c>
      <c r="E75" s="18" t="s">
        <v>99</v>
      </c>
      <c r="F75" s="18" t="s">
        <v>770</v>
      </c>
      <c r="G75" s="19">
        <v>44754</v>
      </c>
      <c r="H75" s="19">
        <v>45823</v>
      </c>
      <c r="I75" s="18" t="s">
        <v>98</v>
      </c>
      <c r="J75" s="18" t="s">
        <v>53</v>
      </c>
    </row>
    <row r="76" spans="1:10">
      <c r="A76" s="18" t="s">
        <v>845</v>
      </c>
      <c r="B76" s="18" t="s">
        <v>460</v>
      </c>
      <c r="C76" s="18" t="s">
        <v>623</v>
      </c>
      <c r="D76" s="18" t="s">
        <v>624</v>
      </c>
      <c r="E76" s="18" t="s">
        <v>99</v>
      </c>
      <c r="F76" s="18" t="s">
        <v>770</v>
      </c>
      <c r="G76" s="19">
        <v>44786</v>
      </c>
      <c r="H76" s="18"/>
      <c r="I76" s="18" t="s">
        <v>118</v>
      </c>
      <c r="J76" s="18" t="s">
        <v>53</v>
      </c>
    </row>
    <row r="77" spans="1:10">
      <c r="A77" s="18" t="s">
        <v>846</v>
      </c>
      <c r="B77" s="18" t="s">
        <v>460</v>
      </c>
      <c r="C77" s="18" t="s">
        <v>628</v>
      </c>
      <c r="D77" s="18" t="s">
        <v>629</v>
      </c>
      <c r="E77" s="18" t="s">
        <v>774</v>
      </c>
      <c r="F77" s="18" t="s">
        <v>770</v>
      </c>
      <c r="G77" s="19">
        <v>45151</v>
      </c>
      <c r="H77" s="19">
        <v>45823</v>
      </c>
      <c r="I77" s="18" t="s">
        <v>118</v>
      </c>
      <c r="J77" s="18" t="s">
        <v>53</v>
      </c>
    </row>
    <row r="78" spans="1:10">
      <c r="A78" s="18" t="s">
        <v>847</v>
      </c>
      <c r="B78" s="18" t="s">
        <v>468</v>
      </c>
      <c r="C78" s="18" t="s">
        <v>628</v>
      </c>
      <c r="D78" s="18" t="s">
        <v>629</v>
      </c>
      <c r="E78" s="18" t="s">
        <v>99</v>
      </c>
      <c r="F78" s="18" t="s">
        <v>770</v>
      </c>
      <c r="G78" s="19">
        <v>45183</v>
      </c>
      <c r="H78" s="18"/>
      <c r="I78" s="18" t="s">
        <v>134</v>
      </c>
      <c r="J78" s="18" t="s">
        <v>53</v>
      </c>
    </row>
    <row r="79" spans="1:10">
      <c r="A79" s="18" t="s">
        <v>848</v>
      </c>
      <c r="B79" s="18" t="s">
        <v>468</v>
      </c>
      <c r="C79" s="18" t="s">
        <v>633</v>
      </c>
      <c r="D79" s="18" t="s">
        <v>634</v>
      </c>
      <c r="E79" s="18" t="s">
        <v>774</v>
      </c>
      <c r="F79" s="18" t="s">
        <v>770</v>
      </c>
      <c r="G79" s="19">
        <v>45549</v>
      </c>
      <c r="H79" s="19">
        <v>45823</v>
      </c>
      <c r="I79" s="18" t="s">
        <v>134</v>
      </c>
      <c r="J79" s="18" t="s">
        <v>53</v>
      </c>
    </row>
    <row r="80" spans="1:10">
      <c r="A80" s="18" t="s">
        <v>849</v>
      </c>
      <c r="B80" s="18" t="s">
        <v>475</v>
      </c>
      <c r="C80" s="18" t="s">
        <v>633</v>
      </c>
      <c r="D80" s="18" t="s">
        <v>634</v>
      </c>
      <c r="E80" s="18" t="s">
        <v>99</v>
      </c>
      <c r="F80" s="18" t="s">
        <v>770</v>
      </c>
      <c r="G80" s="19">
        <v>45580</v>
      </c>
      <c r="H80" s="18"/>
      <c r="I80" s="18" t="s">
        <v>149</v>
      </c>
      <c r="J80" s="18" t="s">
        <v>53</v>
      </c>
    </row>
    <row r="81" spans="1:10">
      <c r="A81" s="18" t="s">
        <v>850</v>
      </c>
      <c r="B81" s="18" t="s">
        <v>475</v>
      </c>
      <c r="C81" s="18" t="s">
        <v>578</v>
      </c>
      <c r="D81" s="18" t="s">
        <v>579</v>
      </c>
      <c r="E81" s="18" t="s">
        <v>99</v>
      </c>
      <c r="F81" s="18" t="s">
        <v>770</v>
      </c>
      <c r="G81" s="19">
        <v>44119</v>
      </c>
      <c r="H81" s="19">
        <v>45823</v>
      </c>
      <c r="I81" s="18" t="s">
        <v>149</v>
      </c>
      <c r="J81" s="18" t="s">
        <v>53</v>
      </c>
    </row>
    <row r="82" spans="1:10">
      <c r="A82" s="18" t="s">
        <v>851</v>
      </c>
      <c r="B82" s="18" t="s">
        <v>483</v>
      </c>
      <c r="C82" s="18" t="s">
        <v>578</v>
      </c>
      <c r="D82" s="18" t="s">
        <v>579</v>
      </c>
      <c r="E82" s="18" t="s">
        <v>99</v>
      </c>
      <c r="F82" s="18" t="s">
        <v>770</v>
      </c>
      <c r="G82" s="19">
        <v>43846</v>
      </c>
      <c r="H82" s="18"/>
      <c r="I82" s="18" t="s">
        <v>162</v>
      </c>
      <c r="J82" s="18" t="s">
        <v>53</v>
      </c>
    </row>
    <row r="83" spans="1:10">
      <c r="A83" s="18" t="s">
        <v>852</v>
      </c>
      <c r="B83" s="18" t="s">
        <v>483</v>
      </c>
      <c r="C83" s="18" t="s">
        <v>584</v>
      </c>
      <c r="D83" s="18" t="s">
        <v>585</v>
      </c>
      <c r="E83" s="18" t="s">
        <v>774</v>
      </c>
      <c r="F83" s="18" t="s">
        <v>770</v>
      </c>
      <c r="G83" s="19">
        <v>44212</v>
      </c>
      <c r="H83" s="19">
        <v>45823</v>
      </c>
      <c r="I83" s="18" t="s">
        <v>162</v>
      </c>
      <c r="J83" s="18" t="s">
        <v>53</v>
      </c>
    </row>
    <row r="84" spans="1:10">
      <c r="A84" s="18" t="s">
        <v>853</v>
      </c>
      <c r="B84" s="18" t="s">
        <v>491</v>
      </c>
      <c r="C84" s="18" t="s">
        <v>584</v>
      </c>
      <c r="D84" s="18" t="s">
        <v>585</v>
      </c>
      <c r="E84" s="18" t="s">
        <v>99</v>
      </c>
      <c r="F84" s="18" t="s">
        <v>770</v>
      </c>
      <c r="G84" s="19">
        <v>44244</v>
      </c>
      <c r="H84" s="18"/>
      <c r="I84" s="18" t="s">
        <v>176</v>
      </c>
      <c r="J84" s="18" t="s">
        <v>53</v>
      </c>
    </row>
    <row r="85" spans="1:10">
      <c r="A85" s="18" t="s">
        <v>854</v>
      </c>
      <c r="B85" s="18" t="s">
        <v>491</v>
      </c>
      <c r="C85" s="18" t="s">
        <v>588</v>
      </c>
      <c r="D85" s="18" t="s">
        <v>589</v>
      </c>
      <c r="E85" s="18" t="s">
        <v>774</v>
      </c>
      <c r="F85" s="18" t="s">
        <v>770</v>
      </c>
      <c r="G85" s="19">
        <v>44609</v>
      </c>
      <c r="H85" s="19">
        <v>45823</v>
      </c>
      <c r="I85" s="18" t="s">
        <v>176</v>
      </c>
      <c r="J85" s="18" t="s">
        <v>53</v>
      </c>
    </row>
    <row r="86" spans="1:10">
      <c r="A86" s="18" t="s">
        <v>855</v>
      </c>
      <c r="B86" s="18" t="s">
        <v>499</v>
      </c>
      <c r="C86" s="18" t="s">
        <v>588</v>
      </c>
      <c r="D86" s="18" t="s">
        <v>589</v>
      </c>
      <c r="E86" s="18" t="s">
        <v>99</v>
      </c>
      <c r="F86" s="18" t="s">
        <v>770</v>
      </c>
      <c r="G86" s="19">
        <v>44638</v>
      </c>
      <c r="H86" s="18"/>
      <c r="I86" s="18" t="s">
        <v>98</v>
      </c>
      <c r="J86" s="18" t="s">
        <v>53</v>
      </c>
    </row>
    <row r="87" spans="1:10">
      <c r="A87" s="18" t="s">
        <v>856</v>
      </c>
      <c r="B87" s="18" t="s">
        <v>499</v>
      </c>
      <c r="C87" s="18" t="s">
        <v>597</v>
      </c>
      <c r="D87" s="18" t="s">
        <v>598</v>
      </c>
      <c r="E87" s="18" t="s">
        <v>99</v>
      </c>
      <c r="F87" s="18" t="s">
        <v>770</v>
      </c>
      <c r="G87" s="19">
        <v>45003</v>
      </c>
      <c r="H87" s="19">
        <v>45823</v>
      </c>
      <c r="I87" s="18" t="s">
        <v>98</v>
      </c>
      <c r="J87" s="18" t="s">
        <v>53</v>
      </c>
    </row>
    <row r="88" spans="1:10">
      <c r="A88" s="18" t="s">
        <v>857</v>
      </c>
      <c r="B88" s="18" t="s">
        <v>507</v>
      </c>
      <c r="C88" s="18" t="s">
        <v>597</v>
      </c>
      <c r="D88" s="18" t="s">
        <v>598</v>
      </c>
      <c r="E88" s="18" t="s">
        <v>99</v>
      </c>
      <c r="F88" s="18" t="s">
        <v>770</v>
      </c>
      <c r="G88" s="19">
        <v>45035</v>
      </c>
      <c r="H88" s="18"/>
      <c r="I88" s="18" t="s">
        <v>118</v>
      </c>
      <c r="J88" s="18" t="s">
        <v>53</v>
      </c>
    </row>
    <row r="89" spans="1:10">
      <c r="A89" s="18" t="s">
        <v>858</v>
      </c>
      <c r="B89" s="18" t="s">
        <v>507</v>
      </c>
      <c r="C89" s="18" t="s">
        <v>605</v>
      </c>
      <c r="D89" s="18" t="s">
        <v>606</v>
      </c>
      <c r="E89" s="18" t="s">
        <v>774</v>
      </c>
      <c r="F89" s="18" t="s">
        <v>770</v>
      </c>
      <c r="G89" s="19">
        <v>45401</v>
      </c>
      <c r="H89" s="19">
        <v>45823</v>
      </c>
      <c r="I89" s="18" t="s">
        <v>118</v>
      </c>
      <c r="J89" s="18" t="s">
        <v>53</v>
      </c>
    </row>
    <row r="90" spans="1:10">
      <c r="A90" s="18" t="s">
        <v>859</v>
      </c>
      <c r="B90" s="18" t="s">
        <v>515</v>
      </c>
      <c r="C90" s="18" t="s">
        <v>605</v>
      </c>
      <c r="D90" s="18" t="s">
        <v>606</v>
      </c>
      <c r="E90" s="18" t="s">
        <v>99</v>
      </c>
      <c r="F90" s="18" t="s">
        <v>770</v>
      </c>
      <c r="G90" s="19">
        <v>45432</v>
      </c>
      <c r="H90" s="18"/>
      <c r="I90" s="18" t="s">
        <v>134</v>
      </c>
      <c r="J90" s="18" t="s">
        <v>53</v>
      </c>
    </row>
    <row r="91" spans="1:10">
      <c r="A91" s="18" t="s">
        <v>860</v>
      </c>
      <c r="B91" s="18" t="s">
        <v>515</v>
      </c>
      <c r="C91" s="18" t="s">
        <v>613</v>
      </c>
      <c r="D91" s="18" t="s">
        <v>614</v>
      </c>
      <c r="E91" s="18" t="s">
        <v>774</v>
      </c>
      <c r="F91" s="18" t="s">
        <v>770</v>
      </c>
      <c r="G91" s="19">
        <v>43971</v>
      </c>
      <c r="H91" s="19">
        <v>45823</v>
      </c>
      <c r="I91" s="18" t="s">
        <v>134</v>
      </c>
      <c r="J91" s="18" t="s">
        <v>53</v>
      </c>
    </row>
    <row r="92" spans="1:10">
      <c r="A92" s="18" t="s">
        <v>861</v>
      </c>
      <c r="B92" s="18" t="s">
        <v>523</v>
      </c>
      <c r="C92" s="18" t="s">
        <v>613</v>
      </c>
      <c r="D92" s="18" t="s">
        <v>614</v>
      </c>
      <c r="E92" s="18" t="s">
        <v>99</v>
      </c>
      <c r="F92" s="18" t="s">
        <v>770</v>
      </c>
      <c r="G92" s="19">
        <v>44003</v>
      </c>
      <c r="H92" s="18"/>
      <c r="I92" s="18" t="s">
        <v>149</v>
      </c>
      <c r="J92" s="18" t="s">
        <v>53</v>
      </c>
    </row>
    <row r="93" spans="1:10">
      <c r="A93" s="18" t="s">
        <v>862</v>
      </c>
      <c r="B93" s="18" t="s">
        <v>523</v>
      </c>
      <c r="C93" s="18" t="s">
        <v>618</v>
      </c>
      <c r="D93" s="18" t="s">
        <v>619</v>
      </c>
      <c r="E93" s="18" t="s">
        <v>99</v>
      </c>
      <c r="F93" s="18" t="s">
        <v>770</v>
      </c>
      <c r="G93" s="19">
        <v>44368</v>
      </c>
      <c r="H93" s="19">
        <v>45823</v>
      </c>
      <c r="I93" s="18" t="s">
        <v>149</v>
      </c>
      <c r="J93" s="18" t="s">
        <v>53</v>
      </c>
    </row>
    <row r="94" spans="1:10">
      <c r="A94" s="18" t="s">
        <v>863</v>
      </c>
      <c r="B94" s="18" t="s">
        <v>531</v>
      </c>
      <c r="C94" s="18" t="s">
        <v>618</v>
      </c>
      <c r="D94" s="18" t="s">
        <v>619</v>
      </c>
      <c r="E94" s="18" t="s">
        <v>99</v>
      </c>
      <c r="F94" s="18" t="s">
        <v>770</v>
      </c>
      <c r="G94" s="19">
        <v>44399</v>
      </c>
      <c r="H94" s="18"/>
      <c r="I94" s="18" t="s">
        <v>162</v>
      </c>
      <c r="J94" s="18" t="s">
        <v>53</v>
      </c>
    </row>
    <row r="95" spans="1:10">
      <c r="A95" s="18" t="s">
        <v>864</v>
      </c>
      <c r="B95" s="18" t="s">
        <v>531</v>
      </c>
      <c r="C95" s="18" t="s">
        <v>623</v>
      </c>
      <c r="D95" s="18" t="s">
        <v>624</v>
      </c>
      <c r="E95" s="18" t="s">
        <v>774</v>
      </c>
      <c r="F95" s="18" t="s">
        <v>770</v>
      </c>
      <c r="G95" s="19">
        <v>44764</v>
      </c>
      <c r="H95" s="19">
        <v>45823</v>
      </c>
      <c r="I95" s="18" t="s">
        <v>162</v>
      </c>
      <c r="J95" s="18" t="s">
        <v>53</v>
      </c>
    </row>
    <row r="96" spans="1:10">
      <c r="A96" s="18" t="s">
        <v>865</v>
      </c>
      <c r="B96" s="18" t="s">
        <v>539</v>
      </c>
      <c r="C96" s="18" t="s">
        <v>623</v>
      </c>
      <c r="D96" s="18" t="s">
        <v>624</v>
      </c>
      <c r="E96" s="18" t="s">
        <v>99</v>
      </c>
      <c r="F96" s="18" t="s">
        <v>770</v>
      </c>
      <c r="G96" s="19">
        <v>44796</v>
      </c>
      <c r="H96" s="18"/>
      <c r="I96" s="18" t="s">
        <v>176</v>
      </c>
      <c r="J96" s="18" t="s">
        <v>53</v>
      </c>
    </row>
    <row r="97" spans="1:10">
      <c r="A97" s="18" t="s">
        <v>866</v>
      </c>
      <c r="B97" s="18" t="s">
        <v>539</v>
      </c>
      <c r="C97" s="18" t="s">
        <v>628</v>
      </c>
      <c r="D97" s="18" t="s">
        <v>629</v>
      </c>
      <c r="E97" s="18" t="s">
        <v>774</v>
      </c>
      <c r="F97" s="18" t="s">
        <v>770</v>
      </c>
      <c r="G97" s="19">
        <v>45161</v>
      </c>
      <c r="H97" s="19">
        <v>45823</v>
      </c>
      <c r="I97" s="18" t="s">
        <v>176</v>
      </c>
      <c r="J97" s="18" t="s">
        <v>53</v>
      </c>
    </row>
    <row r="98" spans="1:10">
      <c r="A98" s="18" t="s">
        <v>867</v>
      </c>
      <c r="B98" s="18" t="s">
        <v>547</v>
      </c>
      <c r="C98" s="18" t="s">
        <v>628</v>
      </c>
      <c r="D98" s="18" t="s">
        <v>629</v>
      </c>
      <c r="E98" s="18" t="s">
        <v>99</v>
      </c>
      <c r="F98" s="18" t="s">
        <v>770</v>
      </c>
      <c r="G98" s="19">
        <v>45193</v>
      </c>
      <c r="H98" s="18"/>
      <c r="I98" s="18" t="s">
        <v>98</v>
      </c>
      <c r="J98" s="18" t="s">
        <v>53</v>
      </c>
    </row>
    <row r="99" spans="1:10">
      <c r="A99" s="18" t="s">
        <v>868</v>
      </c>
      <c r="B99" s="18" t="s">
        <v>547</v>
      </c>
      <c r="C99" s="18" t="s">
        <v>633</v>
      </c>
      <c r="D99" s="18" t="s">
        <v>634</v>
      </c>
      <c r="E99" s="18" t="s">
        <v>99</v>
      </c>
      <c r="F99" s="18" t="s">
        <v>770</v>
      </c>
      <c r="G99" s="19">
        <v>45559</v>
      </c>
      <c r="H99" s="19">
        <v>45823</v>
      </c>
      <c r="I99" s="18" t="s">
        <v>98</v>
      </c>
      <c r="J99" s="18" t="s">
        <v>53</v>
      </c>
    </row>
    <row r="100" spans="1:10">
      <c r="A100" s="18" t="s">
        <v>869</v>
      </c>
      <c r="B100" s="18" t="s">
        <v>555</v>
      </c>
      <c r="C100" s="18" t="s">
        <v>633</v>
      </c>
      <c r="D100" s="18" t="s">
        <v>634</v>
      </c>
      <c r="E100" s="18" t="s">
        <v>99</v>
      </c>
      <c r="F100" s="18" t="s">
        <v>770</v>
      </c>
      <c r="G100" s="19">
        <v>45590</v>
      </c>
      <c r="H100" s="18"/>
      <c r="I100" s="18" t="s">
        <v>118</v>
      </c>
      <c r="J100" s="18" t="s">
        <v>53</v>
      </c>
    </row>
    <row r="101" spans="1:10">
      <c r="A101" s="18" t="s">
        <v>870</v>
      </c>
      <c r="B101" s="18" t="s">
        <v>555</v>
      </c>
      <c r="C101" s="18" t="s">
        <v>578</v>
      </c>
      <c r="D101" s="18" t="s">
        <v>579</v>
      </c>
      <c r="E101" s="18" t="s">
        <v>774</v>
      </c>
      <c r="F101" s="18" t="s">
        <v>770</v>
      </c>
      <c r="G101" s="19">
        <v>44129</v>
      </c>
      <c r="H101" s="19">
        <v>45823</v>
      </c>
      <c r="I101" s="18" t="s">
        <v>118</v>
      </c>
      <c r="J101" s="18" t="s">
        <v>53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183"/>
  </sheetPr>
  <dimension ref="A1:J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8" customWidth="1"/>
    <col min="4" max="4" width="18" customWidth="1"/>
    <col min="5" max="5" width="24" customWidth="1"/>
    <col min="6" max="6" width="14" customWidth="1"/>
    <col min="7" max="7" width="16" customWidth="1"/>
    <col min="8" max="8" width="18" customWidth="1"/>
    <col min="9" max="9" width="15" customWidth="1"/>
    <col min="10" max="10" width="24" customWidth="1"/>
  </cols>
  <sheetData>
    <row r="1" spans="1:10" ht="30" customHeight="1">
      <c r="A1" s="17" t="s">
        <v>871</v>
      </c>
      <c r="B1" s="17" t="s">
        <v>66</v>
      </c>
      <c r="C1" s="17" t="s">
        <v>872</v>
      </c>
      <c r="D1" s="17" t="s">
        <v>768</v>
      </c>
      <c r="E1" s="17" t="s">
        <v>873</v>
      </c>
      <c r="F1" s="17" t="s">
        <v>874</v>
      </c>
      <c r="G1" s="17" t="s">
        <v>764</v>
      </c>
      <c r="H1" s="17" t="s">
        <v>765</v>
      </c>
      <c r="I1" s="17" t="s">
        <v>875</v>
      </c>
      <c r="J1" s="17" t="s">
        <v>876</v>
      </c>
    </row>
    <row r="2" spans="1:10">
      <c r="A2" s="18" t="s">
        <v>877</v>
      </c>
      <c r="B2" s="18" t="s">
        <v>35</v>
      </c>
      <c r="C2" s="18" t="s">
        <v>878</v>
      </c>
      <c r="D2" s="18" t="s">
        <v>879</v>
      </c>
      <c r="E2" s="18" t="s">
        <v>880</v>
      </c>
      <c r="F2" s="18" t="s">
        <v>881</v>
      </c>
      <c r="G2" s="18" t="s">
        <v>99</v>
      </c>
      <c r="H2" s="18" t="s">
        <v>770</v>
      </c>
      <c r="I2" s="19">
        <v>44296</v>
      </c>
      <c r="J2" s="18" t="s">
        <v>98</v>
      </c>
    </row>
    <row r="3" spans="1:10">
      <c r="A3" s="18" t="s">
        <v>882</v>
      </c>
      <c r="B3" s="18" t="s">
        <v>107</v>
      </c>
      <c r="C3" s="18" t="s">
        <v>883</v>
      </c>
      <c r="D3" s="18" t="s">
        <v>879</v>
      </c>
      <c r="E3" s="18" t="s">
        <v>884</v>
      </c>
      <c r="F3" s="18" t="s">
        <v>881</v>
      </c>
      <c r="G3" s="18" t="s">
        <v>99</v>
      </c>
      <c r="H3" s="18" t="s">
        <v>770</v>
      </c>
      <c r="I3" s="19">
        <v>44661</v>
      </c>
      <c r="J3" s="18" t="s">
        <v>118</v>
      </c>
    </row>
    <row r="4" spans="1:10">
      <c r="A4" s="18" t="s">
        <v>885</v>
      </c>
      <c r="B4" s="18" t="s">
        <v>125</v>
      </c>
      <c r="C4" s="18" t="s">
        <v>886</v>
      </c>
      <c r="D4" s="18" t="s">
        <v>887</v>
      </c>
      <c r="E4" s="18" t="s">
        <v>888</v>
      </c>
      <c r="F4" s="18" t="s">
        <v>889</v>
      </c>
      <c r="G4" s="18" t="s">
        <v>99</v>
      </c>
      <c r="H4" s="18" t="s">
        <v>770</v>
      </c>
      <c r="I4" s="19">
        <v>45026</v>
      </c>
      <c r="J4" s="18" t="s">
        <v>134</v>
      </c>
    </row>
    <row r="5" spans="1:10">
      <c r="A5" s="18" t="s">
        <v>890</v>
      </c>
      <c r="B5" s="18" t="s">
        <v>141</v>
      </c>
      <c r="C5" s="18" t="s">
        <v>891</v>
      </c>
      <c r="D5" s="18" t="s">
        <v>892</v>
      </c>
      <c r="E5" s="18" t="s">
        <v>893</v>
      </c>
      <c r="F5" s="18" t="s">
        <v>894</v>
      </c>
      <c r="G5" s="18" t="s">
        <v>99</v>
      </c>
      <c r="H5" s="18" t="s">
        <v>770</v>
      </c>
      <c r="I5" s="19">
        <v>45392</v>
      </c>
      <c r="J5" s="18" t="s">
        <v>149</v>
      </c>
    </row>
    <row r="6" spans="1:10">
      <c r="A6" s="18" t="s">
        <v>895</v>
      </c>
      <c r="B6" s="18" t="s">
        <v>155</v>
      </c>
      <c r="C6" s="18" t="s">
        <v>896</v>
      </c>
      <c r="D6" s="18" t="s">
        <v>892</v>
      </c>
      <c r="E6" s="18" t="s">
        <v>897</v>
      </c>
      <c r="F6" s="18" t="s">
        <v>897</v>
      </c>
      <c r="G6" s="18" t="s">
        <v>99</v>
      </c>
      <c r="H6" s="18" t="s">
        <v>770</v>
      </c>
      <c r="I6" s="19">
        <v>44296</v>
      </c>
      <c r="J6" s="18" t="s">
        <v>162</v>
      </c>
    </row>
    <row r="7" spans="1:10">
      <c r="A7" s="18" t="s">
        <v>898</v>
      </c>
      <c r="B7" s="18" t="s">
        <v>169</v>
      </c>
      <c r="C7" s="18" t="s">
        <v>878</v>
      </c>
      <c r="D7" s="18" t="s">
        <v>879</v>
      </c>
      <c r="E7" s="18" t="s">
        <v>880</v>
      </c>
      <c r="F7" s="18" t="s">
        <v>881</v>
      </c>
      <c r="G7" s="18" t="s">
        <v>99</v>
      </c>
      <c r="H7" s="18" t="s">
        <v>770</v>
      </c>
      <c r="I7" s="19">
        <v>44661</v>
      </c>
      <c r="J7" s="18" t="s">
        <v>176</v>
      </c>
    </row>
    <row r="8" spans="1:10">
      <c r="A8" s="18" t="s">
        <v>899</v>
      </c>
      <c r="B8" s="18" t="s">
        <v>183</v>
      </c>
      <c r="C8" s="18" t="s">
        <v>883</v>
      </c>
      <c r="D8" s="18" t="s">
        <v>879</v>
      </c>
      <c r="E8" s="18" t="s">
        <v>884</v>
      </c>
      <c r="F8" s="18" t="s">
        <v>881</v>
      </c>
      <c r="G8" s="18" t="s">
        <v>99</v>
      </c>
      <c r="H8" s="18" t="s">
        <v>770</v>
      </c>
      <c r="I8" s="19">
        <v>45026</v>
      </c>
      <c r="J8" s="18" t="s">
        <v>98</v>
      </c>
    </row>
    <row r="9" spans="1:10">
      <c r="A9" s="18" t="s">
        <v>900</v>
      </c>
      <c r="B9" s="18" t="s">
        <v>194</v>
      </c>
      <c r="C9" s="18" t="s">
        <v>886</v>
      </c>
      <c r="D9" s="18" t="s">
        <v>887</v>
      </c>
      <c r="E9" s="18" t="s">
        <v>888</v>
      </c>
      <c r="F9" s="18" t="s">
        <v>889</v>
      </c>
      <c r="G9" s="18" t="s">
        <v>99</v>
      </c>
      <c r="H9" s="18" t="s">
        <v>770</v>
      </c>
      <c r="I9" s="19">
        <v>45392</v>
      </c>
      <c r="J9" s="18" t="s">
        <v>118</v>
      </c>
    </row>
    <row r="10" spans="1:10">
      <c r="A10" s="18" t="s">
        <v>901</v>
      </c>
      <c r="B10" s="18" t="s">
        <v>204</v>
      </c>
      <c r="C10" s="18" t="s">
        <v>891</v>
      </c>
      <c r="D10" s="18" t="s">
        <v>892</v>
      </c>
      <c r="E10" s="18" t="s">
        <v>893</v>
      </c>
      <c r="F10" s="18" t="s">
        <v>894</v>
      </c>
      <c r="G10" s="18" t="s">
        <v>99</v>
      </c>
      <c r="H10" s="18" t="s">
        <v>770</v>
      </c>
      <c r="I10" s="19">
        <v>44296</v>
      </c>
      <c r="J10" s="18" t="s">
        <v>134</v>
      </c>
    </row>
    <row r="11" spans="1:10">
      <c r="A11" s="18" t="s">
        <v>902</v>
      </c>
      <c r="B11" s="18" t="s">
        <v>215</v>
      </c>
      <c r="C11" s="18" t="s">
        <v>896</v>
      </c>
      <c r="D11" s="18" t="s">
        <v>892</v>
      </c>
      <c r="E11" s="18" t="s">
        <v>897</v>
      </c>
      <c r="F11" s="18" t="s">
        <v>897</v>
      </c>
      <c r="G11" s="18" t="s">
        <v>99</v>
      </c>
      <c r="H11" s="18" t="s">
        <v>770</v>
      </c>
      <c r="I11" s="19">
        <v>44661</v>
      </c>
      <c r="J11" s="18" t="s">
        <v>149</v>
      </c>
    </row>
    <row r="12" spans="1:10">
      <c r="A12" s="18" t="s">
        <v>903</v>
      </c>
      <c r="B12" s="18" t="s">
        <v>226</v>
      </c>
      <c r="C12" s="18" t="s">
        <v>878</v>
      </c>
      <c r="D12" s="18" t="s">
        <v>879</v>
      </c>
      <c r="E12" s="18" t="s">
        <v>880</v>
      </c>
      <c r="F12" s="18" t="s">
        <v>881</v>
      </c>
      <c r="G12" s="18" t="s">
        <v>99</v>
      </c>
      <c r="H12" s="18" t="s">
        <v>770</v>
      </c>
      <c r="I12" s="19">
        <v>45026</v>
      </c>
      <c r="J12" s="18" t="s">
        <v>162</v>
      </c>
    </row>
    <row r="13" spans="1:10">
      <c r="A13" s="18" t="s">
        <v>904</v>
      </c>
      <c r="B13" s="18" t="s">
        <v>237</v>
      </c>
      <c r="C13" s="18" t="s">
        <v>883</v>
      </c>
      <c r="D13" s="18" t="s">
        <v>879</v>
      </c>
      <c r="E13" s="18" t="s">
        <v>884</v>
      </c>
      <c r="F13" s="18" t="s">
        <v>881</v>
      </c>
      <c r="G13" s="18" t="s">
        <v>99</v>
      </c>
      <c r="H13" s="18" t="s">
        <v>770</v>
      </c>
      <c r="I13" s="19">
        <v>45392</v>
      </c>
      <c r="J13" s="18" t="s">
        <v>176</v>
      </c>
    </row>
    <row r="14" spans="1:10">
      <c r="A14" s="18" t="s">
        <v>905</v>
      </c>
      <c r="B14" s="18" t="s">
        <v>248</v>
      </c>
      <c r="C14" s="18" t="s">
        <v>886</v>
      </c>
      <c r="D14" s="18" t="s">
        <v>887</v>
      </c>
      <c r="E14" s="18" t="s">
        <v>888</v>
      </c>
      <c r="F14" s="18" t="s">
        <v>889</v>
      </c>
      <c r="G14" s="18" t="s">
        <v>99</v>
      </c>
      <c r="H14" s="18" t="s">
        <v>770</v>
      </c>
      <c r="I14" s="19">
        <v>44296</v>
      </c>
      <c r="J14" s="18" t="s">
        <v>98</v>
      </c>
    </row>
    <row r="15" spans="1:10">
      <c r="A15" s="18" t="s">
        <v>906</v>
      </c>
      <c r="B15" s="18" t="s">
        <v>259</v>
      </c>
      <c r="C15" s="18" t="s">
        <v>891</v>
      </c>
      <c r="D15" s="18" t="s">
        <v>892</v>
      </c>
      <c r="E15" s="18" t="s">
        <v>893</v>
      </c>
      <c r="F15" s="18" t="s">
        <v>894</v>
      </c>
      <c r="G15" s="18" t="s">
        <v>99</v>
      </c>
      <c r="H15" s="18" t="s">
        <v>770</v>
      </c>
      <c r="I15" s="19">
        <v>44661</v>
      </c>
      <c r="J15" s="18" t="s">
        <v>118</v>
      </c>
    </row>
    <row r="16" spans="1:10">
      <c r="A16" s="18" t="s">
        <v>907</v>
      </c>
      <c r="B16" s="18" t="s">
        <v>270</v>
      </c>
      <c r="C16" s="18" t="s">
        <v>896</v>
      </c>
      <c r="D16" s="18" t="s">
        <v>892</v>
      </c>
      <c r="E16" s="18" t="s">
        <v>897</v>
      </c>
      <c r="F16" s="18" t="s">
        <v>897</v>
      </c>
      <c r="G16" s="18" t="s">
        <v>99</v>
      </c>
      <c r="H16" s="18" t="s">
        <v>770</v>
      </c>
      <c r="I16" s="19">
        <v>45026</v>
      </c>
      <c r="J16" s="18" t="s">
        <v>134</v>
      </c>
    </row>
    <row r="17" spans="1:10">
      <c r="A17" s="18" t="s">
        <v>908</v>
      </c>
      <c r="B17" s="18" t="s">
        <v>281</v>
      </c>
      <c r="C17" s="18" t="s">
        <v>878</v>
      </c>
      <c r="D17" s="18" t="s">
        <v>879</v>
      </c>
      <c r="E17" s="18" t="s">
        <v>880</v>
      </c>
      <c r="F17" s="18" t="s">
        <v>881</v>
      </c>
      <c r="G17" s="18" t="s">
        <v>99</v>
      </c>
      <c r="H17" s="18" t="s">
        <v>770</v>
      </c>
      <c r="I17" s="19">
        <v>45392</v>
      </c>
      <c r="J17" s="18" t="s">
        <v>149</v>
      </c>
    </row>
    <row r="18" spans="1:10">
      <c r="A18" s="18" t="s">
        <v>909</v>
      </c>
      <c r="B18" s="18" t="s">
        <v>292</v>
      </c>
      <c r="C18" s="18" t="s">
        <v>883</v>
      </c>
      <c r="D18" s="18" t="s">
        <v>879</v>
      </c>
      <c r="E18" s="18" t="s">
        <v>884</v>
      </c>
      <c r="F18" s="18" t="s">
        <v>881</v>
      </c>
      <c r="G18" s="18" t="s">
        <v>99</v>
      </c>
      <c r="H18" s="18" t="s">
        <v>770</v>
      </c>
      <c r="I18" s="19">
        <v>44296</v>
      </c>
      <c r="J18" s="18" t="s">
        <v>162</v>
      </c>
    </row>
    <row r="19" spans="1:10">
      <c r="A19" s="18" t="s">
        <v>910</v>
      </c>
      <c r="B19" s="18" t="s">
        <v>303</v>
      </c>
      <c r="C19" s="18" t="s">
        <v>886</v>
      </c>
      <c r="D19" s="18" t="s">
        <v>887</v>
      </c>
      <c r="E19" s="18" t="s">
        <v>888</v>
      </c>
      <c r="F19" s="18" t="s">
        <v>889</v>
      </c>
      <c r="G19" s="18" t="s">
        <v>99</v>
      </c>
      <c r="H19" s="18" t="s">
        <v>770</v>
      </c>
      <c r="I19" s="19">
        <v>44661</v>
      </c>
      <c r="J19" s="18" t="s">
        <v>176</v>
      </c>
    </row>
    <row r="20" spans="1:10">
      <c r="A20" s="18" t="s">
        <v>911</v>
      </c>
      <c r="B20" s="18" t="s">
        <v>313</v>
      </c>
      <c r="C20" s="18" t="s">
        <v>891</v>
      </c>
      <c r="D20" s="18" t="s">
        <v>892</v>
      </c>
      <c r="E20" s="18" t="s">
        <v>893</v>
      </c>
      <c r="F20" s="18" t="s">
        <v>894</v>
      </c>
      <c r="G20" s="18" t="s">
        <v>99</v>
      </c>
      <c r="H20" s="18" t="s">
        <v>770</v>
      </c>
      <c r="I20" s="19">
        <v>45026</v>
      </c>
      <c r="J20" s="18" t="s">
        <v>98</v>
      </c>
    </row>
    <row r="21" spans="1:10">
      <c r="A21" s="18" t="s">
        <v>912</v>
      </c>
      <c r="B21" s="18" t="s">
        <v>324</v>
      </c>
      <c r="C21" s="18" t="s">
        <v>896</v>
      </c>
      <c r="D21" s="18" t="s">
        <v>892</v>
      </c>
      <c r="E21" s="18" t="s">
        <v>897</v>
      </c>
      <c r="F21" s="18" t="s">
        <v>897</v>
      </c>
      <c r="G21" s="18" t="s">
        <v>99</v>
      </c>
      <c r="H21" s="18" t="s">
        <v>770</v>
      </c>
      <c r="I21" s="19">
        <v>45392</v>
      </c>
      <c r="J21" s="18" t="s">
        <v>118</v>
      </c>
    </row>
    <row r="22" spans="1:10">
      <c r="A22" s="18" t="s">
        <v>913</v>
      </c>
      <c r="B22" s="18" t="s">
        <v>335</v>
      </c>
      <c r="C22" s="18" t="s">
        <v>878</v>
      </c>
      <c r="D22" s="18" t="s">
        <v>879</v>
      </c>
      <c r="E22" s="18" t="s">
        <v>880</v>
      </c>
      <c r="F22" s="18" t="s">
        <v>881</v>
      </c>
      <c r="G22" s="18" t="s">
        <v>99</v>
      </c>
      <c r="H22" s="18" t="s">
        <v>770</v>
      </c>
      <c r="I22" s="19">
        <v>44296</v>
      </c>
      <c r="J22" s="18" t="s">
        <v>134</v>
      </c>
    </row>
    <row r="23" spans="1:10">
      <c r="A23" s="18" t="s">
        <v>914</v>
      </c>
      <c r="B23" s="18" t="s">
        <v>342</v>
      </c>
      <c r="C23" s="18" t="s">
        <v>883</v>
      </c>
      <c r="D23" s="18" t="s">
        <v>879</v>
      </c>
      <c r="E23" s="18" t="s">
        <v>884</v>
      </c>
      <c r="F23" s="18" t="s">
        <v>881</v>
      </c>
      <c r="G23" s="18" t="s">
        <v>99</v>
      </c>
      <c r="H23" s="18" t="s">
        <v>770</v>
      </c>
      <c r="I23" s="19">
        <v>44661</v>
      </c>
      <c r="J23" s="18" t="s">
        <v>149</v>
      </c>
    </row>
    <row r="24" spans="1:10">
      <c r="A24" s="18" t="s">
        <v>915</v>
      </c>
      <c r="B24" s="18" t="s">
        <v>350</v>
      </c>
      <c r="C24" s="18" t="s">
        <v>886</v>
      </c>
      <c r="D24" s="18" t="s">
        <v>887</v>
      </c>
      <c r="E24" s="18" t="s">
        <v>888</v>
      </c>
      <c r="F24" s="18" t="s">
        <v>889</v>
      </c>
      <c r="G24" s="18" t="s">
        <v>99</v>
      </c>
      <c r="H24" s="18" t="s">
        <v>770</v>
      </c>
      <c r="I24" s="19">
        <v>45026</v>
      </c>
      <c r="J24" s="18" t="s">
        <v>162</v>
      </c>
    </row>
    <row r="25" spans="1:10">
      <c r="A25" s="18" t="s">
        <v>916</v>
      </c>
      <c r="B25" s="18" t="s">
        <v>356</v>
      </c>
      <c r="C25" s="18" t="s">
        <v>891</v>
      </c>
      <c r="D25" s="18" t="s">
        <v>892</v>
      </c>
      <c r="E25" s="18" t="s">
        <v>893</v>
      </c>
      <c r="F25" s="18" t="s">
        <v>894</v>
      </c>
      <c r="G25" s="18" t="s">
        <v>99</v>
      </c>
      <c r="H25" s="18" t="s">
        <v>770</v>
      </c>
      <c r="I25" s="19">
        <v>45392</v>
      </c>
      <c r="J25" s="18" t="s">
        <v>176</v>
      </c>
    </row>
    <row r="26" spans="1:10">
      <c r="A26" s="18" t="s">
        <v>917</v>
      </c>
      <c r="B26" s="18" t="s">
        <v>364</v>
      </c>
      <c r="C26" s="18" t="s">
        <v>896</v>
      </c>
      <c r="D26" s="18" t="s">
        <v>892</v>
      </c>
      <c r="E26" s="18" t="s">
        <v>897</v>
      </c>
      <c r="F26" s="18" t="s">
        <v>897</v>
      </c>
      <c r="G26" s="18" t="s">
        <v>99</v>
      </c>
      <c r="H26" s="18" t="s">
        <v>770</v>
      </c>
      <c r="I26" s="19">
        <v>44296</v>
      </c>
      <c r="J26" s="18" t="s">
        <v>98</v>
      </c>
    </row>
    <row r="27" spans="1:10">
      <c r="A27" s="18" t="s">
        <v>918</v>
      </c>
      <c r="B27" s="18" t="s">
        <v>371</v>
      </c>
      <c r="C27" s="18" t="s">
        <v>878</v>
      </c>
      <c r="D27" s="18" t="s">
        <v>879</v>
      </c>
      <c r="E27" s="18" t="s">
        <v>880</v>
      </c>
      <c r="F27" s="18" t="s">
        <v>881</v>
      </c>
      <c r="G27" s="18" t="s">
        <v>99</v>
      </c>
      <c r="H27" s="18" t="s">
        <v>770</v>
      </c>
      <c r="I27" s="19">
        <v>44661</v>
      </c>
      <c r="J27" s="18" t="s">
        <v>118</v>
      </c>
    </row>
    <row r="28" spans="1:10">
      <c r="A28" s="18" t="s">
        <v>919</v>
      </c>
      <c r="B28" s="18" t="s">
        <v>379</v>
      </c>
      <c r="C28" s="18" t="s">
        <v>883</v>
      </c>
      <c r="D28" s="18" t="s">
        <v>879</v>
      </c>
      <c r="E28" s="18" t="s">
        <v>884</v>
      </c>
      <c r="F28" s="18" t="s">
        <v>881</v>
      </c>
      <c r="G28" s="18" t="s">
        <v>99</v>
      </c>
      <c r="H28" s="18" t="s">
        <v>770</v>
      </c>
      <c r="I28" s="19">
        <v>45026</v>
      </c>
      <c r="J28" s="18" t="s">
        <v>134</v>
      </c>
    </row>
    <row r="29" spans="1:10">
      <c r="A29" s="18" t="s">
        <v>920</v>
      </c>
      <c r="B29" s="18" t="s">
        <v>386</v>
      </c>
      <c r="C29" s="18" t="s">
        <v>886</v>
      </c>
      <c r="D29" s="18" t="s">
        <v>887</v>
      </c>
      <c r="E29" s="18" t="s">
        <v>888</v>
      </c>
      <c r="F29" s="18" t="s">
        <v>889</v>
      </c>
      <c r="G29" s="18" t="s">
        <v>99</v>
      </c>
      <c r="H29" s="18" t="s">
        <v>770</v>
      </c>
      <c r="I29" s="19">
        <v>45392</v>
      </c>
      <c r="J29" s="18" t="s">
        <v>149</v>
      </c>
    </row>
    <row r="30" spans="1:10">
      <c r="A30" s="18" t="s">
        <v>921</v>
      </c>
      <c r="B30" s="18" t="s">
        <v>393</v>
      </c>
      <c r="C30" s="18" t="s">
        <v>891</v>
      </c>
      <c r="D30" s="18" t="s">
        <v>892</v>
      </c>
      <c r="E30" s="18" t="s">
        <v>893</v>
      </c>
      <c r="F30" s="18" t="s">
        <v>894</v>
      </c>
      <c r="G30" s="18" t="s">
        <v>99</v>
      </c>
      <c r="H30" s="18" t="s">
        <v>770</v>
      </c>
      <c r="I30" s="19">
        <v>44296</v>
      </c>
      <c r="J30" s="18" t="s">
        <v>162</v>
      </c>
    </row>
    <row r="31" spans="1:10">
      <c r="A31" s="18" t="s">
        <v>922</v>
      </c>
      <c r="B31" s="18" t="s">
        <v>400</v>
      </c>
      <c r="C31" s="18" t="s">
        <v>896</v>
      </c>
      <c r="D31" s="18" t="s">
        <v>892</v>
      </c>
      <c r="E31" s="18" t="s">
        <v>897</v>
      </c>
      <c r="F31" s="18" t="s">
        <v>897</v>
      </c>
      <c r="G31" s="18" t="s">
        <v>99</v>
      </c>
      <c r="H31" s="18" t="s">
        <v>770</v>
      </c>
      <c r="I31" s="19">
        <v>44661</v>
      </c>
      <c r="J31" s="18" t="s">
        <v>176</v>
      </c>
    </row>
    <row r="32" spans="1:10">
      <c r="A32" s="18" t="s">
        <v>923</v>
      </c>
      <c r="B32" s="18" t="s">
        <v>408</v>
      </c>
      <c r="C32" s="18" t="s">
        <v>878</v>
      </c>
      <c r="D32" s="18" t="s">
        <v>879</v>
      </c>
      <c r="E32" s="18" t="s">
        <v>880</v>
      </c>
      <c r="F32" s="18" t="s">
        <v>881</v>
      </c>
      <c r="G32" s="18" t="s">
        <v>99</v>
      </c>
      <c r="H32" s="18" t="s">
        <v>770</v>
      </c>
      <c r="I32" s="19">
        <v>45026</v>
      </c>
      <c r="J32" s="18" t="s">
        <v>98</v>
      </c>
    </row>
    <row r="33" spans="1:10">
      <c r="A33" s="18" t="s">
        <v>924</v>
      </c>
      <c r="B33" s="18" t="s">
        <v>415</v>
      </c>
      <c r="C33" s="18" t="s">
        <v>883</v>
      </c>
      <c r="D33" s="18" t="s">
        <v>879</v>
      </c>
      <c r="E33" s="18" t="s">
        <v>884</v>
      </c>
      <c r="F33" s="18" t="s">
        <v>881</v>
      </c>
      <c r="G33" s="18" t="s">
        <v>99</v>
      </c>
      <c r="H33" s="18" t="s">
        <v>770</v>
      </c>
      <c r="I33" s="19">
        <v>45392</v>
      </c>
      <c r="J33" s="18" t="s">
        <v>118</v>
      </c>
    </row>
    <row r="34" spans="1:10">
      <c r="A34" s="18" t="s">
        <v>925</v>
      </c>
      <c r="B34" s="18" t="s">
        <v>423</v>
      </c>
      <c r="C34" s="18" t="s">
        <v>886</v>
      </c>
      <c r="D34" s="18" t="s">
        <v>887</v>
      </c>
      <c r="E34" s="18" t="s">
        <v>888</v>
      </c>
      <c r="F34" s="18" t="s">
        <v>889</v>
      </c>
      <c r="G34" s="18" t="s">
        <v>99</v>
      </c>
      <c r="H34" s="18" t="s">
        <v>770</v>
      </c>
      <c r="I34" s="19">
        <v>44296</v>
      </c>
      <c r="J34" s="18" t="s">
        <v>134</v>
      </c>
    </row>
    <row r="35" spans="1:10">
      <c r="A35" s="18" t="s">
        <v>926</v>
      </c>
      <c r="B35" s="18" t="s">
        <v>430</v>
      </c>
      <c r="C35" s="18" t="s">
        <v>891</v>
      </c>
      <c r="D35" s="18" t="s">
        <v>892</v>
      </c>
      <c r="E35" s="18" t="s">
        <v>893</v>
      </c>
      <c r="F35" s="18" t="s">
        <v>894</v>
      </c>
      <c r="G35" s="18" t="s">
        <v>99</v>
      </c>
      <c r="H35" s="18" t="s">
        <v>770</v>
      </c>
      <c r="I35" s="19">
        <v>44661</v>
      </c>
      <c r="J35" s="18" t="s">
        <v>149</v>
      </c>
    </row>
    <row r="36" spans="1:10">
      <c r="A36" s="18" t="s">
        <v>927</v>
      </c>
      <c r="B36" s="18" t="s">
        <v>438</v>
      </c>
      <c r="C36" s="18" t="s">
        <v>896</v>
      </c>
      <c r="D36" s="18" t="s">
        <v>892</v>
      </c>
      <c r="E36" s="18" t="s">
        <v>897</v>
      </c>
      <c r="F36" s="18" t="s">
        <v>897</v>
      </c>
      <c r="G36" s="18" t="s">
        <v>99</v>
      </c>
      <c r="H36" s="18" t="s">
        <v>770</v>
      </c>
      <c r="I36" s="19">
        <v>45026</v>
      </c>
      <c r="J36" s="18" t="s">
        <v>162</v>
      </c>
    </row>
    <row r="37" spans="1:10">
      <c r="A37" s="18" t="s">
        <v>928</v>
      </c>
      <c r="B37" s="18" t="s">
        <v>445</v>
      </c>
      <c r="C37" s="18" t="s">
        <v>878</v>
      </c>
      <c r="D37" s="18" t="s">
        <v>879</v>
      </c>
      <c r="E37" s="18" t="s">
        <v>880</v>
      </c>
      <c r="F37" s="18" t="s">
        <v>881</v>
      </c>
      <c r="G37" s="18" t="s">
        <v>99</v>
      </c>
      <c r="H37" s="18" t="s">
        <v>770</v>
      </c>
      <c r="I37" s="19">
        <v>45392</v>
      </c>
      <c r="J37" s="18" t="s">
        <v>176</v>
      </c>
    </row>
    <row r="38" spans="1:10">
      <c r="A38" s="18" t="s">
        <v>929</v>
      </c>
      <c r="B38" s="18" t="s">
        <v>453</v>
      </c>
      <c r="C38" s="18" t="s">
        <v>883</v>
      </c>
      <c r="D38" s="18" t="s">
        <v>879</v>
      </c>
      <c r="E38" s="18" t="s">
        <v>884</v>
      </c>
      <c r="F38" s="18" t="s">
        <v>881</v>
      </c>
      <c r="G38" s="18" t="s">
        <v>99</v>
      </c>
      <c r="H38" s="18" t="s">
        <v>770</v>
      </c>
      <c r="I38" s="19">
        <v>44296</v>
      </c>
      <c r="J38" s="18" t="s">
        <v>98</v>
      </c>
    </row>
    <row r="39" spans="1:10">
      <c r="A39" s="18" t="s">
        <v>930</v>
      </c>
      <c r="B39" s="18" t="s">
        <v>460</v>
      </c>
      <c r="C39" s="18" t="s">
        <v>886</v>
      </c>
      <c r="D39" s="18" t="s">
        <v>887</v>
      </c>
      <c r="E39" s="18" t="s">
        <v>888</v>
      </c>
      <c r="F39" s="18" t="s">
        <v>889</v>
      </c>
      <c r="G39" s="18" t="s">
        <v>99</v>
      </c>
      <c r="H39" s="18" t="s">
        <v>770</v>
      </c>
      <c r="I39" s="19">
        <v>44661</v>
      </c>
      <c r="J39" s="18" t="s">
        <v>118</v>
      </c>
    </row>
    <row r="40" spans="1:10">
      <c r="A40" s="18" t="s">
        <v>931</v>
      </c>
      <c r="B40" s="18" t="s">
        <v>468</v>
      </c>
      <c r="C40" s="18" t="s">
        <v>891</v>
      </c>
      <c r="D40" s="18" t="s">
        <v>892</v>
      </c>
      <c r="E40" s="18" t="s">
        <v>893</v>
      </c>
      <c r="F40" s="18" t="s">
        <v>894</v>
      </c>
      <c r="G40" s="18" t="s">
        <v>99</v>
      </c>
      <c r="H40" s="18" t="s">
        <v>770</v>
      </c>
      <c r="I40" s="19">
        <v>45026</v>
      </c>
      <c r="J40" s="18" t="s">
        <v>134</v>
      </c>
    </row>
    <row r="41" spans="1:10">
      <c r="A41" s="18" t="s">
        <v>932</v>
      </c>
      <c r="B41" s="18" t="s">
        <v>475</v>
      </c>
      <c r="C41" s="18" t="s">
        <v>896</v>
      </c>
      <c r="D41" s="18" t="s">
        <v>892</v>
      </c>
      <c r="E41" s="18" t="s">
        <v>897</v>
      </c>
      <c r="F41" s="18" t="s">
        <v>897</v>
      </c>
      <c r="G41" s="18" t="s">
        <v>99</v>
      </c>
      <c r="H41" s="18" t="s">
        <v>770</v>
      </c>
      <c r="I41" s="19">
        <v>45392</v>
      </c>
      <c r="J41" s="18" t="s">
        <v>149</v>
      </c>
    </row>
    <row r="42" spans="1:10">
      <c r="A42" s="18" t="s">
        <v>933</v>
      </c>
      <c r="B42" s="18" t="s">
        <v>483</v>
      </c>
      <c r="C42" s="18" t="s">
        <v>878</v>
      </c>
      <c r="D42" s="18" t="s">
        <v>879</v>
      </c>
      <c r="E42" s="18" t="s">
        <v>880</v>
      </c>
      <c r="F42" s="18" t="s">
        <v>881</v>
      </c>
      <c r="G42" s="18" t="s">
        <v>99</v>
      </c>
      <c r="H42" s="18" t="s">
        <v>770</v>
      </c>
      <c r="I42" s="19">
        <v>44296</v>
      </c>
      <c r="J42" s="18" t="s">
        <v>162</v>
      </c>
    </row>
    <row r="43" spans="1:10">
      <c r="A43" s="18" t="s">
        <v>934</v>
      </c>
      <c r="B43" s="18" t="s">
        <v>491</v>
      </c>
      <c r="C43" s="18" t="s">
        <v>883</v>
      </c>
      <c r="D43" s="18" t="s">
        <v>879</v>
      </c>
      <c r="E43" s="18" t="s">
        <v>884</v>
      </c>
      <c r="F43" s="18" t="s">
        <v>881</v>
      </c>
      <c r="G43" s="18" t="s">
        <v>99</v>
      </c>
      <c r="H43" s="18" t="s">
        <v>770</v>
      </c>
      <c r="I43" s="19">
        <v>44661</v>
      </c>
      <c r="J43" s="18" t="s">
        <v>176</v>
      </c>
    </row>
    <row r="44" spans="1:10">
      <c r="A44" s="18" t="s">
        <v>935</v>
      </c>
      <c r="B44" s="18" t="s">
        <v>499</v>
      </c>
      <c r="C44" s="18" t="s">
        <v>886</v>
      </c>
      <c r="D44" s="18" t="s">
        <v>887</v>
      </c>
      <c r="E44" s="18" t="s">
        <v>888</v>
      </c>
      <c r="F44" s="18" t="s">
        <v>889</v>
      </c>
      <c r="G44" s="18" t="s">
        <v>99</v>
      </c>
      <c r="H44" s="18" t="s">
        <v>770</v>
      </c>
      <c r="I44" s="19">
        <v>45026</v>
      </c>
      <c r="J44" s="18" t="s">
        <v>98</v>
      </c>
    </row>
    <row r="45" spans="1:10">
      <c r="A45" s="18" t="s">
        <v>936</v>
      </c>
      <c r="B45" s="18" t="s">
        <v>507</v>
      </c>
      <c r="C45" s="18" t="s">
        <v>891</v>
      </c>
      <c r="D45" s="18" t="s">
        <v>892</v>
      </c>
      <c r="E45" s="18" t="s">
        <v>893</v>
      </c>
      <c r="F45" s="18" t="s">
        <v>894</v>
      </c>
      <c r="G45" s="18" t="s">
        <v>99</v>
      </c>
      <c r="H45" s="18" t="s">
        <v>770</v>
      </c>
      <c r="I45" s="19">
        <v>45392</v>
      </c>
      <c r="J45" s="18" t="s">
        <v>118</v>
      </c>
    </row>
    <row r="46" spans="1:10">
      <c r="A46" s="18" t="s">
        <v>937</v>
      </c>
      <c r="B46" s="18" t="s">
        <v>515</v>
      </c>
      <c r="C46" s="18" t="s">
        <v>896</v>
      </c>
      <c r="D46" s="18" t="s">
        <v>892</v>
      </c>
      <c r="E46" s="18" t="s">
        <v>897</v>
      </c>
      <c r="F46" s="18" t="s">
        <v>897</v>
      </c>
      <c r="G46" s="18" t="s">
        <v>99</v>
      </c>
      <c r="H46" s="18" t="s">
        <v>770</v>
      </c>
      <c r="I46" s="19">
        <v>44296</v>
      </c>
      <c r="J46" s="18" t="s">
        <v>134</v>
      </c>
    </row>
    <row r="47" spans="1:10">
      <c r="A47" s="18" t="s">
        <v>938</v>
      </c>
      <c r="B47" s="18" t="s">
        <v>523</v>
      </c>
      <c r="C47" s="18" t="s">
        <v>878</v>
      </c>
      <c r="D47" s="18" t="s">
        <v>879</v>
      </c>
      <c r="E47" s="18" t="s">
        <v>880</v>
      </c>
      <c r="F47" s="18" t="s">
        <v>881</v>
      </c>
      <c r="G47" s="18" t="s">
        <v>99</v>
      </c>
      <c r="H47" s="18" t="s">
        <v>770</v>
      </c>
      <c r="I47" s="19">
        <v>44661</v>
      </c>
      <c r="J47" s="18" t="s">
        <v>149</v>
      </c>
    </row>
    <row r="48" spans="1:10">
      <c r="A48" s="18" t="s">
        <v>939</v>
      </c>
      <c r="B48" s="18" t="s">
        <v>531</v>
      </c>
      <c r="C48" s="18" t="s">
        <v>883</v>
      </c>
      <c r="D48" s="18" t="s">
        <v>879</v>
      </c>
      <c r="E48" s="18" t="s">
        <v>884</v>
      </c>
      <c r="F48" s="18" t="s">
        <v>881</v>
      </c>
      <c r="G48" s="18" t="s">
        <v>99</v>
      </c>
      <c r="H48" s="18" t="s">
        <v>770</v>
      </c>
      <c r="I48" s="19">
        <v>45026</v>
      </c>
      <c r="J48" s="18" t="s">
        <v>162</v>
      </c>
    </row>
    <row r="49" spans="1:10">
      <c r="A49" s="18" t="s">
        <v>940</v>
      </c>
      <c r="B49" s="18" t="s">
        <v>539</v>
      </c>
      <c r="C49" s="18" t="s">
        <v>886</v>
      </c>
      <c r="D49" s="18" t="s">
        <v>887</v>
      </c>
      <c r="E49" s="18" t="s">
        <v>888</v>
      </c>
      <c r="F49" s="18" t="s">
        <v>889</v>
      </c>
      <c r="G49" s="18" t="s">
        <v>99</v>
      </c>
      <c r="H49" s="18" t="s">
        <v>770</v>
      </c>
      <c r="I49" s="19">
        <v>45392</v>
      </c>
      <c r="J49" s="18" t="s">
        <v>176</v>
      </c>
    </row>
    <row r="50" spans="1:10">
      <c r="A50" s="18" t="s">
        <v>941</v>
      </c>
      <c r="B50" s="18" t="s">
        <v>547</v>
      </c>
      <c r="C50" s="18" t="s">
        <v>891</v>
      </c>
      <c r="D50" s="18" t="s">
        <v>892</v>
      </c>
      <c r="E50" s="18" t="s">
        <v>893</v>
      </c>
      <c r="F50" s="18" t="s">
        <v>894</v>
      </c>
      <c r="G50" s="18" t="s">
        <v>99</v>
      </c>
      <c r="H50" s="18" t="s">
        <v>770</v>
      </c>
      <c r="I50" s="19">
        <v>44296</v>
      </c>
      <c r="J50" s="18" t="s">
        <v>98</v>
      </c>
    </row>
    <row r="51" spans="1:10">
      <c r="A51" s="18" t="s">
        <v>942</v>
      </c>
      <c r="B51" s="18" t="s">
        <v>555</v>
      </c>
      <c r="C51" s="18" t="s">
        <v>896</v>
      </c>
      <c r="D51" s="18" t="s">
        <v>892</v>
      </c>
      <c r="E51" s="18" t="s">
        <v>897</v>
      </c>
      <c r="F51" s="18" t="s">
        <v>897</v>
      </c>
      <c r="G51" s="18" t="s">
        <v>99</v>
      </c>
      <c r="H51" s="18" t="s">
        <v>770</v>
      </c>
      <c r="I51" s="19">
        <v>44661</v>
      </c>
      <c r="J51" s="18" t="s">
        <v>118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6F9F"/>
  </sheetPr>
  <dimension ref="A1:L10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36" customWidth="1"/>
    <col min="4" max="5" width="14" customWidth="1"/>
    <col min="6" max="6" width="28" customWidth="1"/>
    <col min="7" max="8" width="14" customWidth="1"/>
    <col min="9" max="9" width="24" customWidth="1"/>
    <col min="10" max="11" width="18" customWidth="1"/>
    <col min="12" max="12" width="10" customWidth="1"/>
  </cols>
  <sheetData>
    <row r="1" spans="1:12" ht="30" customHeight="1">
      <c r="A1" s="17" t="s">
        <v>943</v>
      </c>
      <c r="B1" s="17" t="s">
        <v>66</v>
      </c>
      <c r="C1" s="17" t="s">
        <v>55</v>
      </c>
      <c r="D1" s="17" t="s">
        <v>57</v>
      </c>
      <c r="E1" s="17" t="s">
        <v>944</v>
      </c>
      <c r="F1" s="17" t="s">
        <v>59</v>
      </c>
      <c r="G1" s="17" t="s">
        <v>945</v>
      </c>
      <c r="H1" s="17" t="s">
        <v>58</v>
      </c>
      <c r="I1" s="17" t="s">
        <v>946</v>
      </c>
      <c r="J1" s="17" t="s">
        <v>947</v>
      </c>
      <c r="K1" s="17" t="s">
        <v>948</v>
      </c>
      <c r="L1" s="17" t="s">
        <v>949</v>
      </c>
    </row>
    <row r="2" spans="1:12">
      <c r="A2" s="18" t="s">
        <v>950</v>
      </c>
      <c r="B2" s="18" t="s">
        <v>35</v>
      </c>
      <c r="C2" s="18" t="s">
        <v>951</v>
      </c>
      <c r="D2" s="18" t="s">
        <v>952</v>
      </c>
      <c r="E2" s="18" t="s">
        <v>953</v>
      </c>
      <c r="F2" s="18" t="s">
        <v>954</v>
      </c>
      <c r="G2" s="19">
        <v>46027</v>
      </c>
      <c r="H2" s="18" t="s">
        <v>99</v>
      </c>
      <c r="I2" s="18" t="s">
        <v>98</v>
      </c>
      <c r="J2" s="18" t="s">
        <v>578</v>
      </c>
      <c r="K2" s="18" t="s">
        <v>955</v>
      </c>
      <c r="L2" s="18" t="s">
        <v>956</v>
      </c>
    </row>
    <row r="3" spans="1:12">
      <c r="A3" s="18" t="s">
        <v>957</v>
      </c>
      <c r="B3" s="18" t="s">
        <v>35</v>
      </c>
      <c r="C3" s="18" t="s">
        <v>958</v>
      </c>
      <c r="D3" s="18" t="s">
        <v>959</v>
      </c>
      <c r="E3" s="18" t="s">
        <v>953</v>
      </c>
      <c r="F3" s="18" t="s">
        <v>960</v>
      </c>
      <c r="G3" s="19">
        <v>46058</v>
      </c>
      <c r="H3" s="18" t="s">
        <v>577</v>
      </c>
      <c r="I3" s="18" t="s">
        <v>98</v>
      </c>
      <c r="J3" s="18" t="s">
        <v>584</v>
      </c>
      <c r="K3" s="18" t="s">
        <v>955</v>
      </c>
      <c r="L3" s="18" t="s">
        <v>961</v>
      </c>
    </row>
    <row r="4" spans="1:12">
      <c r="A4" s="18" t="s">
        <v>962</v>
      </c>
      <c r="B4" s="18" t="s">
        <v>107</v>
      </c>
      <c r="C4" s="18" t="s">
        <v>958</v>
      </c>
      <c r="D4" s="18" t="s">
        <v>959</v>
      </c>
      <c r="E4" s="18" t="s">
        <v>953</v>
      </c>
      <c r="F4" s="18" t="s">
        <v>960</v>
      </c>
      <c r="G4" s="19">
        <v>46028</v>
      </c>
      <c r="H4" s="18" t="s">
        <v>99</v>
      </c>
      <c r="I4" s="18" t="s">
        <v>118</v>
      </c>
      <c r="J4" s="18" t="s">
        <v>584</v>
      </c>
      <c r="K4" s="18" t="s">
        <v>955</v>
      </c>
      <c r="L4" s="18" t="s">
        <v>956</v>
      </c>
    </row>
    <row r="5" spans="1:12">
      <c r="A5" s="18" t="s">
        <v>963</v>
      </c>
      <c r="B5" s="18" t="s">
        <v>107</v>
      </c>
      <c r="C5" s="18" t="s">
        <v>964</v>
      </c>
      <c r="D5" s="18" t="s">
        <v>965</v>
      </c>
      <c r="E5" s="18" t="s">
        <v>953</v>
      </c>
      <c r="F5" s="18" t="s">
        <v>966</v>
      </c>
      <c r="G5" s="19">
        <v>46059</v>
      </c>
      <c r="H5" s="18" t="s">
        <v>577</v>
      </c>
      <c r="I5" s="18" t="s">
        <v>118</v>
      </c>
      <c r="J5" s="18" t="s">
        <v>588</v>
      </c>
      <c r="K5" s="18" t="s">
        <v>955</v>
      </c>
      <c r="L5" s="18" t="s">
        <v>961</v>
      </c>
    </row>
    <row r="6" spans="1:12">
      <c r="A6" s="18" t="s">
        <v>967</v>
      </c>
      <c r="B6" s="18" t="s">
        <v>125</v>
      </c>
      <c r="C6" s="18" t="s">
        <v>964</v>
      </c>
      <c r="D6" s="18" t="s">
        <v>965</v>
      </c>
      <c r="E6" s="18" t="s">
        <v>953</v>
      </c>
      <c r="F6" s="18" t="s">
        <v>966</v>
      </c>
      <c r="G6" s="19">
        <v>46029</v>
      </c>
      <c r="H6" s="18" t="s">
        <v>99</v>
      </c>
      <c r="I6" s="18" t="s">
        <v>134</v>
      </c>
      <c r="J6" s="18" t="s">
        <v>588</v>
      </c>
      <c r="K6" s="18" t="s">
        <v>955</v>
      </c>
      <c r="L6" s="18" t="s">
        <v>956</v>
      </c>
    </row>
    <row r="7" spans="1:12">
      <c r="A7" s="18" t="s">
        <v>968</v>
      </c>
      <c r="B7" s="18" t="s">
        <v>125</v>
      </c>
      <c r="C7" s="18" t="s">
        <v>969</v>
      </c>
      <c r="D7" s="18" t="s">
        <v>970</v>
      </c>
      <c r="E7" s="18" t="s">
        <v>971</v>
      </c>
      <c r="F7" s="18" t="s">
        <v>972</v>
      </c>
      <c r="G7" s="19">
        <v>46060</v>
      </c>
      <c r="H7" s="18" t="s">
        <v>577</v>
      </c>
      <c r="I7" s="18" t="s">
        <v>134</v>
      </c>
      <c r="J7" s="18" t="s">
        <v>597</v>
      </c>
      <c r="K7" s="18" t="s">
        <v>955</v>
      </c>
      <c r="L7" s="18" t="s">
        <v>961</v>
      </c>
    </row>
    <row r="8" spans="1:12">
      <c r="A8" s="18" t="s">
        <v>973</v>
      </c>
      <c r="B8" s="18" t="s">
        <v>141</v>
      </c>
      <c r="C8" s="18" t="s">
        <v>969</v>
      </c>
      <c r="D8" s="18" t="s">
        <v>970</v>
      </c>
      <c r="E8" s="18" t="s">
        <v>971</v>
      </c>
      <c r="F8" s="18" t="s">
        <v>972</v>
      </c>
      <c r="G8" s="19">
        <v>46030</v>
      </c>
      <c r="H8" s="18" t="s">
        <v>99</v>
      </c>
      <c r="I8" s="18" t="s">
        <v>149</v>
      </c>
      <c r="J8" s="18" t="s">
        <v>597</v>
      </c>
      <c r="K8" s="18" t="s">
        <v>955</v>
      </c>
      <c r="L8" s="18" t="s">
        <v>956</v>
      </c>
    </row>
    <row r="9" spans="1:12">
      <c r="A9" s="18" t="s">
        <v>974</v>
      </c>
      <c r="B9" s="18" t="s">
        <v>141</v>
      </c>
      <c r="C9" s="18" t="s">
        <v>975</v>
      </c>
      <c r="D9" s="18" t="s">
        <v>976</v>
      </c>
      <c r="E9" s="18" t="s">
        <v>953</v>
      </c>
      <c r="F9" s="18" t="s">
        <v>977</v>
      </c>
      <c r="G9" s="19">
        <v>46061</v>
      </c>
      <c r="H9" s="18" t="s">
        <v>577</v>
      </c>
      <c r="I9" s="18" t="s">
        <v>149</v>
      </c>
      <c r="J9" s="18" t="s">
        <v>628</v>
      </c>
      <c r="K9" s="18" t="s">
        <v>955</v>
      </c>
      <c r="L9" s="18" t="s">
        <v>961</v>
      </c>
    </row>
    <row r="10" spans="1:12">
      <c r="A10" s="18" t="s">
        <v>978</v>
      </c>
      <c r="B10" s="18" t="s">
        <v>155</v>
      </c>
      <c r="C10" s="18" t="s">
        <v>975</v>
      </c>
      <c r="D10" s="18" t="s">
        <v>976</v>
      </c>
      <c r="E10" s="18" t="s">
        <v>953</v>
      </c>
      <c r="F10" s="18" t="s">
        <v>977</v>
      </c>
      <c r="G10" s="19">
        <v>46031</v>
      </c>
      <c r="H10" s="18" t="s">
        <v>99</v>
      </c>
      <c r="I10" s="18" t="s">
        <v>162</v>
      </c>
      <c r="J10" s="18" t="s">
        <v>628</v>
      </c>
      <c r="K10" s="18" t="s">
        <v>955</v>
      </c>
      <c r="L10" s="18" t="s">
        <v>956</v>
      </c>
    </row>
    <row r="11" spans="1:12">
      <c r="A11" s="18" t="s">
        <v>979</v>
      </c>
      <c r="B11" s="18" t="s">
        <v>155</v>
      </c>
      <c r="C11" s="18" t="s">
        <v>980</v>
      </c>
      <c r="D11" s="18" t="s">
        <v>965</v>
      </c>
      <c r="E11" s="18" t="s">
        <v>953</v>
      </c>
      <c r="F11" s="18" t="s">
        <v>954</v>
      </c>
      <c r="G11" s="19">
        <v>46062</v>
      </c>
      <c r="H11" s="18" t="s">
        <v>577</v>
      </c>
      <c r="I11" s="18" t="s">
        <v>162</v>
      </c>
      <c r="J11" s="18" t="s">
        <v>623</v>
      </c>
      <c r="K11" s="18" t="s">
        <v>955</v>
      </c>
      <c r="L11" s="18" t="s">
        <v>961</v>
      </c>
    </row>
    <row r="12" spans="1:12">
      <c r="A12" s="18" t="s">
        <v>981</v>
      </c>
      <c r="B12" s="18" t="s">
        <v>169</v>
      </c>
      <c r="C12" s="18" t="s">
        <v>980</v>
      </c>
      <c r="D12" s="18" t="s">
        <v>965</v>
      </c>
      <c r="E12" s="18" t="s">
        <v>953</v>
      </c>
      <c r="F12" s="18" t="s">
        <v>954</v>
      </c>
      <c r="G12" s="19">
        <v>46032</v>
      </c>
      <c r="H12" s="18" t="s">
        <v>99</v>
      </c>
      <c r="I12" s="18" t="s">
        <v>176</v>
      </c>
      <c r="J12" s="18" t="s">
        <v>623</v>
      </c>
      <c r="K12" s="18" t="s">
        <v>955</v>
      </c>
      <c r="L12" s="18" t="s">
        <v>956</v>
      </c>
    </row>
    <row r="13" spans="1:12">
      <c r="A13" s="18" t="s">
        <v>982</v>
      </c>
      <c r="B13" s="18" t="s">
        <v>169</v>
      </c>
      <c r="C13" s="18" t="s">
        <v>951</v>
      </c>
      <c r="D13" s="18" t="s">
        <v>952</v>
      </c>
      <c r="E13" s="18" t="s">
        <v>953</v>
      </c>
      <c r="F13" s="18" t="s">
        <v>954</v>
      </c>
      <c r="G13" s="19">
        <v>46063</v>
      </c>
      <c r="H13" s="18" t="s">
        <v>577</v>
      </c>
      <c r="I13" s="18" t="s">
        <v>176</v>
      </c>
      <c r="J13" s="18" t="s">
        <v>578</v>
      </c>
      <c r="K13" s="18" t="s">
        <v>955</v>
      </c>
      <c r="L13" s="18" t="s">
        <v>961</v>
      </c>
    </row>
    <row r="14" spans="1:12">
      <c r="A14" s="18" t="s">
        <v>983</v>
      </c>
      <c r="B14" s="18" t="s">
        <v>183</v>
      </c>
      <c r="C14" s="18" t="s">
        <v>951</v>
      </c>
      <c r="D14" s="18" t="s">
        <v>952</v>
      </c>
      <c r="E14" s="18" t="s">
        <v>953</v>
      </c>
      <c r="F14" s="18" t="s">
        <v>954</v>
      </c>
      <c r="G14" s="19">
        <v>46033</v>
      </c>
      <c r="H14" s="18" t="s">
        <v>99</v>
      </c>
      <c r="I14" s="18" t="s">
        <v>98</v>
      </c>
      <c r="J14" s="18" t="s">
        <v>578</v>
      </c>
      <c r="K14" s="18" t="s">
        <v>955</v>
      </c>
      <c r="L14" s="18" t="s">
        <v>956</v>
      </c>
    </row>
    <row r="15" spans="1:12">
      <c r="A15" s="18" t="s">
        <v>984</v>
      </c>
      <c r="B15" s="18" t="s">
        <v>183</v>
      </c>
      <c r="C15" s="18" t="s">
        <v>958</v>
      </c>
      <c r="D15" s="18" t="s">
        <v>959</v>
      </c>
      <c r="E15" s="18" t="s">
        <v>953</v>
      </c>
      <c r="F15" s="18" t="s">
        <v>960</v>
      </c>
      <c r="G15" s="19">
        <v>46064</v>
      </c>
      <c r="H15" s="18" t="s">
        <v>577</v>
      </c>
      <c r="I15" s="18" t="s">
        <v>98</v>
      </c>
      <c r="J15" s="18" t="s">
        <v>584</v>
      </c>
      <c r="K15" s="18" t="s">
        <v>955</v>
      </c>
      <c r="L15" s="18" t="s">
        <v>961</v>
      </c>
    </row>
    <row r="16" spans="1:12">
      <c r="A16" s="18" t="s">
        <v>985</v>
      </c>
      <c r="B16" s="18" t="s">
        <v>194</v>
      </c>
      <c r="C16" s="18" t="s">
        <v>958</v>
      </c>
      <c r="D16" s="18" t="s">
        <v>959</v>
      </c>
      <c r="E16" s="18" t="s">
        <v>953</v>
      </c>
      <c r="F16" s="18" t="s">
        <v>960</v>
      </c>
      <c r="G16" s="19">
        <v>46034</v>
      </c>
      <c r="H16" s="18" t="s">
        <v>99</v>
      </c>
      <c r="I16" s="18" t="s">
        <v>118</v>
      </c>
      <c r="J16" s="18" t="s">
        <v>584</v>
      </c>
      <c r="K16" s="18" t="s">
        <v>955</v>
      </c>
      <c r="L16" s="18" t="s">
        <v>956</v>
      </c>
    </row>
    <row r="17" spans="1:12">
      <c r="A17" s="18" t="s">
        <v>986</v>
      </c>
      <c r="B17" s="18" t="s">
        <v>194</v>
      </c>
      <c r="C17" s="18" t="s">
        <v>964</v>
      </c>
      <c r="D17" s="18" t="s">
        <v>965</v>
      </c>
      <c r="E17" s="18" t="s">
        <v>953</v>
      </c>
      <c r="F17" s="18" t="s">
        <v>966</v>
      </c>
      <c r="G17" s="19">
        <v>46065</v>
      </c>
      <c r="H17" s="18" t="s">
        <v>577</v>
      </c>
      <c r="I17" s="18" t="s">
        <v>118</v>
      </c>
      <c r="J17" s="18" t="s">
        <v>588</v>
      </c>
      <c r="K17" s="18" t="s">
        <v>955</v>
      </c>
      <c r="L17" s="18" t="s">
        <v>961</v>
      </c>
    </row>
    <row r="18" spans="1:12">
      <c r="A18" s="18" t="s">
        <v>987</v>
      </c>
      <c r="B18" s="18" t="s">
        <v>204</v>
      </c>
      <c r="C18" s="18" t="s">
        <v>964</v>
      </c>
      <c r="D18" s="18" t="s">
        <v>965</v>
      </c>
      <c r="E18" s="18" t="s">
        <v>953</v>
      </c>
      <c r="F18" s="18" t="s">
        <v>966</v>
      </c>
      <c r="G18" s="19">
        <v>46035</v>
      </c>
      <c r="H18" s="18" t="s">
        <v>99</v>
      </c>
      <c r="I18" s="18" t="s">
        <v>134</v>
      </c>
      <c r="J18" s="18" t="s">
        <v>588</v>
      </c>
      <c r="K18" s="18" t="s">
        <v>955</v>
      </c>
      <c r="L18" s="18" t="s">
        <v>956</v>
      </c>
    </row>
    <row r="19" spans="1:12">
      <c r="A19" s="18" t="s">
        <v>988</v>
      </c>
      <c r="B19" s="18" t="s">
        <v>204</v>
      </c>
      <c r="C19" s="18" t="s">
        <v>969</v>
      </c>
      <c r="D19" s="18" t="s">
        <v>970</v>
      </c>
      <c r="E19" s="18" t="s">
        <v>971</v>
      </c>
      <c r="F19" s="18" t="s">
        <v>972</v>
      </c>
      <c r="G19" s="19">
        <v>46066</v>
      </c>
      <c r="H19" s="18" t="s">
        <v>577</v>
      </c>
      <c r="I19" s="18" t="s">
        <v>134</v>
      </c>
      <c r="J19" s="18" t="s">
        <v>597</v>
      </c>
      <c r="K19" s="18" t="s">
        <v>955</v>
      </c>
      <c r="L19" s="18" t="s">
        <v>961</v>
      </c>
    </row>
    <row r="20" spans="1:12">
      <c r="A20" s="18" t="s">
        <v>989</v>
      </c>
      <c r="B20" s="18" t="s">
        <v>215</v>
      </c>
      <c r="C20" s="18" t="s">
        <v>969</v>
      </c>
      <c r="D20" s="18" t="s">
        <v>970</v>
      </c>
      <c r="E20" s="18" t="s">
        <v>971</v>
      </c>
      <c r="F20" s="18" t="s">
        <v>972</v>
      </c>
      <c r="G20" s="19">
        <v>46036</v>
      </c>
      <c r="H20" s="18" t="s">
        <v>99</v>
      </c>
      <c r="I20" s="18" t="s">
        <v>149</v>
      </c>
      <c r="J20" s="18" t="s">
        <v>597</v>
      </c>
      <c r="K20" s="18" t="s">
        <v>955</v>
      </c>
      <c r="L20" s="18" t="s">
        <v>956</v>
      </c>
    </row>
    <row r="21" spans="1:12">
      <c r="A21" s="18" t="s">
        <v>990</v>
      </c>
      <c r="B21" s="18" t="s">
        <v>215</v>
      </c>
      <c r="C21" s="18" t="s">
        <v>975</v>
      </c>
      <c r="D21" s="18" t="s">
        <v>976</v>
      </c>
      <c r="E21" s="18" t="s">
        <v>953</v>
      </c>
      <c r="F21" s="18" t="s">
        <v>977</v>
      </c>
      <c r="G21" s="19">
        <v>46067</v>
      </c>
      <c r="H21" s="18" t="s">
        <v>577</v>
      </c>
      <c r="I21" s="18" t="s">
        <v>149</v>
      </c>
      <c r="J21" s="18" t="s">
        <v>628</v>
      </c>
      <c r="K21" s="18" t="s">
        <v>955</v>
      </c>
      <c r="L21" s="18" t="s">
        <v>961</v>
      </c>
    </row>
    <row r="22" spans="1:12">
      <c r="A22" s="18" t="s">
        <v>991</v>
      </c>
      <c r="B22" s="18" t="s">
        <v>226</v>
      </c>
      <c r="C22" s="18" t="s">
        <v>975</v>
      </c>
      <c r="D22" s="18" t="s">
        <v>976</v>
      </c>
      <c r="E22" s="18" t="s">
        <v>953</v>
      </c>
      <c r="F22" s="18" t="s">
        <v>977</v>
      </c>
      <c r="G22" s="19">
        <v>46037</v>
      </c>
      <c r="H22" s="18" t="s">
        <v>99</v>
      </c>
      <c r="I22" s="18" t="s">
        <v>162</v>
      </c>
      <c r="J22" s="18" t="s">
        <v>628</v>
      </c>
      <c r="K22" s="18" t="s">
        <v>955</v>
      </c>
      <c r="L22" s="18" t="s">
        <v>956</v>
      </c>
    </row>
    <row r="23" spans="1:12">
      <c r="A23" s="18" t="s">
        <v>992</v>
      </c>
      <c r="B23" s="18" t="s">
        <v>226</v>
      </c>
      <c r="C23" s="18" t="s">
        <v>980</v>
      </c>
      <c r="D23" s="18" t="s">
        <v>965</v>
      </c>
      <c r="E23" s="18" t="s">
        <v>953</v>
      </c>
      <c r="F23" s="18" t="s">
        <v>954</v>
      </c>
      <c r="G23" s="19">
        <v>46068</v>
      </c>
      <c r="H23" s="18" t="s">
        <v>577</v>
      </c>
      <c r="I23" s="18" t="s">
        <v>162</v>
      </c>
      <c r="J23" s="18" t="s">
        <v>623</v>
      </c>
      <c r="K23" s="18" t="s">
        <v>955</v>
      </c>
      <c r="L23" s="18" t="s">
        <v>961</v>
      </c>
    </row>
    <row r="24" spans="1:12">
      <c r="A24" s="18" t="s">
        <v>993</v>
      </c>
      <c r="B24" s="18" t="s">
        <v>237</v>
      </c>
      <c r="C24" s="18" t="s">
        <v>980</v>
      </c>
      <c r="D24" s="18" t="s">
        <v>965</v>
      </c>
      <c r="E24" s="18" t="s">
        <v>953</v>
      </c>
      <c r="F24" s="18" t="s">
        <v>954</v>
      </c>
      <c r="G24" s="19">
        <v>46038</v>
      </c>
      <c r="H24" s="18" t="s">
        <v>99</v>
      </c>
      <c r="I24" s="18" t="s">
        <v>176</v>
      </c>
      <c r="J24" s="18" t="s">
        <v>623</v>
      </c>
      <c r="K24" s="18" t="s">
        <v>955</v>
      </c>
      <c r="L24" s="18" t="s">
        <v>956</v>
      </c>
    </row>
    <row r="25" spans="1:12">
      <c r="A25" s="18" t="s">
        <v>994</v>
      </c>
      <c r="B25" s="18" t="s">
        <v>237</v>
      </c>
      <c r="C25" s="18" t="s">
        <v>951</v>
      </c>
      <c r="D25" s="18" t="s">
        <v>952</v>
      </c>
      <c r="E25" s="18" t="s">
        <v>953</v>
      </c>
      <c r="F25" s="18" t="s">
        <v>954</v>
      </c>
      <c r="G25" s="19">
        <v>46069</v>
      </c>
      <c r="H25" s="18" t="s">
        <v>577</v>
      </c>
      <c r="I25" s="18" t="s">
        <v>176</v>
      </c>
      <c r="J25" s="18" t="s">
        <v>578</v>
      </c>
      <c r="K25" s="18" t="s">
        <v>955</v>
      </c>
      <c r="L25" s="18" t="s">
        <v>961</v>
      </c>
    </row>
    <row r="26" spans="1:12">
      <c r="A26" s="18" t="s">
        <v>995</v>
      </c>
      <c r="B26" s="18" t="s">
        <v>248</v>
      </c>
      <c r="C26" s="18" t="s">
        <v>951</v>
      </c>
      <c r="D26" s="18" t="s">
        <v>952</v>
      </c>
      <c r="E26" s="18" t="s">
        <v>953</v>
      </c>
      <c r="F26" s="18" t="s">
        <v>954</v>
      </c>
      <c r="G26" s="19">
        <v>46039</v>
      </c>
      <c r="H26" s="18" t="s">
        <v>99</v>
      </c>
      <c r="I26" s="18" t="s">
        <v>98</v>
      </c>
      <c r="J26" s="18" t="s">
        <v>578</v>
      </c>
      <c r="K26" s="18" t="s">
        <v>955</v>
      </c>
      <c r="L26" s="18" t="s">
        <v>956</v>
      </c>
    </row>
    <row r="27" spans="1:12">
      <c r="A27" s="18" t="s">
        <v>996</v>
      </c>
      <c r="B27" s="18" t="s">
        <v>248</v>
      </c>
      <c r="C27" s="18" t="s">
        <v>958</v>
      </c>
      <c r="D27" s="18" t="s">
        <v>959</v>
      </c>
      <c r="E27" s="18" t="s">
        <v>953</v>
      </c>
      <c r="F27" s="18" t="s">
        <v>960</v>
      </c>
      <c r="G27" s="19">
        <v>46070</v>
      </c>
      <c r="H27" s="18" t="s">
        <v>577</v>
      </c>
      <c r="I27" s="18" t="s">
        <v>98</v>
      </c>
      <c r="J27" s="18" t="s">
        <v>584</v>
      </c>
      <c r="K27" s="18" t="s">
        <v>955</v>
      </c>
      <c r="L27" s="18" t="s">
        <v>961</v>
      </c>
    </row>
    <row r="28" spans="1:12">
      <c r="A28" s="18" t="s">
        <v>997</v>
      </c>
      <c r="B28" s="18" t="s">
        <v>259</v>
      </c>
      <c r="C28" s="18" t="s">
        <v>958</v>
      </c>
      <c r="D28" s="18" t="s">
        <v>959</v>
      </c>
      <c r="E28" s="18" t="s">
        <v>953</v>
      </c>
      <c r="F28" s="18" t="s">
        <v>960</v>
      </c>
      <c r="G28" s="19">
        <v>46040</v>
      </c>
      <c r="H28" s="18" t="s">
        <v>99</v>
      </c>
      <c r="I28" s="18" t="s">
        <v>118</v>
      </c>
      <c r="J28" s="18" t="s">
        <v>584</v>
      </c>
      <c r="K28" s="18" t="s">
        <v>955</v>
      </c>
      <c r="L28" s="18" t="s">
        <v>956</v>
      </c>
    </row>
    <row r="29" spans="1:12">
      <c r="A29" s="18" t="s">
        <v>998</v>
      </c>
      <c r="B29" s="18" t="s">
        <v>259</v>
      </c>
      <c r="C29" s="18" t="s">
        <v>964</v>
      </c>
      <c r="D29" s="18" t="s">
        <v>965</v>
      </c>
      <c r="E29" s="18" t="s">
        <v>953</v>
      </c>
      <c r="F29" s="18" t="s">
        <v>966</v>
      </c>
      <c r="G29" s="19">
        <v>46071</v>
      </c>
      <c r="H29" s="18" t="s">
        <v>577</v>
      </c>
      <c r="I29" s="18" t="s">
        <v>118</v>
      </c>
      <c r="J29" s="18" t="s">
        <v>588</v>
      </c>
      <c r="K29" s="18" t="s">
        <v>955</v>
      </c>
      <c r="L29" s="18" t="s">
        <v>961</v>
      </c>
    </row>
    <row r="30" spans="1:12">
      <c r="A30" s="18" t="s">
        <v>999</v>
      </c>
      <c r="B30" s="18" t="s">
        <v>270</v>
      </c>
      <c r="C30" s="18" t="s">
        <v>964</v>
      </c>
      <c r="D30" s="18" t="s">
        <v>965</v>
      </c>
      <c r="E30" s="18" t="s">
        <v>953</v>
      </c>
      <c r="F30" s="18" t="s">
        <v>966</v>
      </c>
      <c r="G30" s="19">
        <v>46041</v>
      </c>
      <c r="H30" s="18" t="s">
        <v>99</v>
      </c>
      <c r="I30" s="18" t="s">
        <v>134</v>
      </c>
      <c r="J30" s="18" t="s">
        <v>588</v>
      </c>
      <c r="K30" s="18" t="s">
        <v>955</v>
      </c>
      <c r="L30" s="18" t="s">
        <v>956</v>
      </c>
    </row>
    <row r="31" spans="1:12">
      <c r="A31" s="18" t="s">
        <v>1000</v>
      </c>
      <c r="B31" s="18" t="s">
        <v>270</v>
      </c>
      <c r="C31" s="18" t="s">
        <v>969</v>
      </c>
      <c r="D31" s="18" t="s">
        <v>970</v>
      </c>
      <c r="E31" s="18" t="s">
        <v>971</v>
      </c>
      <c r="F31" s="18" t="s">
        <v>972</v>
      </c>
      <c r="G31" s="19">
        <v>46072</v>
      </c>
      <c r="H31" s="18" t="s">
        <v>577</v>
      </c>
      <c r="I31" s="18" t="s">
        <v>134</v>
      </c>
      <c r="J31" s="18" t="s">
        <v>597</v>
      </c>
      <c r="K31" s="18" t="s">
        <v>955</v>
      </c>
      <c r="L31" s="18" t="s">
        <v>961</v>
      </c>
    </row>
    <row r="32" spans="1:12">
      <c r="A32" s="18" t="s">
        <v>1001</v>
      </c>
      <c r="B32" s="18" t="s">
        <v>281</v>
      </c>
      <c r="C32" s="18" t="s">
        <v>969</v>
      </c>
      <c r="D32" s="18" t="s">
        <v>970</v>
      </c>
      <c r="E32" s="18" t="s">
        <v>971</v>
      </c>
      <c r="F32" s="18" t="s">
        <v>972</v>
      </c>
      <c r="G32" s="19">
        <v>46042</v>
      </c>
      <c r="H32" s="18" t="s">
        <v>99</v>
      </c>
      <c r="I32" s="18" t="s">
        <v>149</v>
      </c>
      <c r="J32" s="18" t="s">
        <v>597</v>
      </c>
      <c r="K32" s="18" t="s">
        <v>955</v>
      </c>
      <c r="L32" s="18" t="s">
        <v>956</v>
      </c>
    </row>
    <row r="33" spans="1:12">
      <c r="A33" s="18" t="s">
        <v>1002</v>
      </c>
      <c r="B33" s="18" t="s">
        <v>281</v>
      </c>
      <c r="C33" s="18" t="s">
        <v>975</v>
      </c>
      <c r="D33" s="18" t="s">
        <v>976</v>
      </c>
      <c r="E33" s="18" t="s">
        <v>953</v>
      </c>
      <c r="F33" s="18" t="s">
        <v>977</v>
      </c>
      <c r="G33" s="19">
        <v>46073</v>
      </c>
      <c r="H33" s="18" t="s">
        <v>577</v>
      </c>
      <c r="I33" s="18" t="s">
        <v>149</v>
      </c>
      <c r="J33" s="18" t="s">
        <v>628</v>
      </c>
      <c r="K33" s="18" t="s">
        <v>955</v>
      </c>
      <c r="L33" s="18" t="s">
        <v>961</v>
      </c>
    </row>
    <row r="34" spans="1:12">
      <c r="A34" s="18" t="s">
        <v>1003</v>
      </c>
      <c r="B34" s="18" t="s">
        <v>292</v>
      </c>
      <c r="C34" s="18" t="s">
        <v>975</v>
      </c>
      <c r="D34" s="18" t="s">
        <v>976</v>
      </c>
      <c r="E34" s="18" t="s">
        <v>953</v>
      </c>
      <c r="F34" s="18" t="s">
        <v>977</v>
      </c>
      <c r="G34" s="19">
        <v>46043</v>
      </c>
      <c r="H34" s="18" t="s">
        <v>99</v>
      </c>
      <c r="I34" s="18" t="s">
        <v>162</v>
      </c>
      <c r="J34" s="18" t="s">
        <v>628</v>
      </c>
      <c r="K34" s="18" t="s">
        <v>955</v>
      </c>
      <c r="L34" s="18" t="s">
        <v>956</v>
      </c>
    </row>
    <row r="35" spans="1:12">
      <c r="A35" s="18" t="s">
        <v>1004</v>
      </c>
      <c r="B35" s="18" t="s">
        <v>292</v>
      </c>
      <c r="C35" s="18" t="s">
        <v>980</v>
      </c>
      <c r="D35" s="18" t="s">
        <v>965</v>
      </c>
      <c r="E35" s="18" t="s">
        <v>953</v>
      </c>
      <c r="F35" s="18" t="s">
        <v>954</v>
      </c>
      <c r="G35" s="19">
        <v>46074</v>
      </c>
      <c r="H35" s="18" t="s">
        <v>577</v>
      </c>
      <c r="I35" s="18" t="s">
        <v>162</v>
      </c>
      <c r="J35" s="18" t="s">
        <v>623</v>
      </c>
      <c r="K35" s="18" t="s">
        <v>955</v>
      </c>
      <c r="L35" s="18" t="s">
        <v>961</v>
      </c>
    </row>
    <row r="36" spans="1:12">
      <c r="A36" s="18" t="s">
        <v>1005</v>
      </c>
      <c r="B36" s="18" t="s">
        <v>303</v>
      </c>
      <c r="C36" s="18" t="s">
        <v>980</v>
      </c>
      <c r="D36" s="18" t="s">
        <v>965</v>
      </c>
      <c r="E36" s="18" t="s">
        <v>953</v>
      </c>
      <c r="F36" s="18" t="s">
        <v>954</v>
      </c>
      <c r="G36" s="19">
        <v>46044</v>
      </c>
      <c r="H36" s="18" t="s">
        <v>99</v>
      </c>
      <c r="I36" s="18" t="s">
        <v>176</v>
      </c>
      <c r="J36" s="18" t="s">
        <v>623</v>
      </c>
      <c r="K36" s="18" t="s">
        <v>955</v>
      </c>
      <c r="L36" s="18" t="s">
        <v>956</v>
      </c>
    </row>
    <row r="37" spans="1:12">
      <c r="A37" s="18" t="s">
        <v>1006</v>
      </c>
      <c r="B37" s="18" t="s">
        <v>303</v>
      </c>
      <c r="C37" s="18" t="s">
        <v>951</v>
      </c>
      <c r="D37" s="18" t="s">
        <v>952</v>
      </c>
      <c r="E37" s="18" t="s">
        <v>953</v>
      </c>
      <c r="F37" s="18" t="s">
        <v>954</v>
      </c>
      <c r="G37" s="19">
        <v>46075</v>
      </c>
      <c r="H37" s="18" t="s">
        <v>577</v>
      </c>
      <c r="I37" s="18" t="s">
        <v>176</v>
      </c>
      <c r="J37" s="18" t="s">
        <v>578</v>
      </c>
      <c r="K37" s="18" t="s">
        <v>955</v>
      </c>
      <c r="L37" s="18" t="s">
        <v>961</v>
      </c>
    </row>
    <row r="38" spans="1:12">
      <c r="A38" s="18" t="s">
        <v>1007</v>
      </c>
      <c r="B38" s="18" t="s">
        <v>313</v>
      </c>
      <c r="C38" s="18" t="s">
        <v>951</v>
      </c>
      <c r="D38" s="18" t="s">
        <v>952</v>
      </c>
      <c r="E38" s="18" t="s">
        <v>953</v>
      </c>
      <c r="F38" s="18" t="s">
        <v>954</v>
      </c>
      <c r="G38" s="19">
        <v>46045</v>
      </c>
      <c r="H38" s="18" t="s">
        <v>99</v>
      </c>
      <c r="I38" s="18" t="s">
        <v>98</v>
      </c>
      <c r="J38" s="18" t="s">
        <v>578</v>
      </c>
      <c r="K38" s="18" t="s">
        <v>955</v>
      </c>
      <c r="L38" s="18" t="s">
        <v>956</v>
      </c>
    </row>
    <row r="39" spans="1:12">
      <c r="A39" s="18" t="s">
        <v>1008</v>
      </c>
      <c r="B39" s="18" t="s">
        <v>313</v>
      </c>
      <c r="C39" s="18" t="s">
        <v>958</v>
      </c>
      <c r="D39" s="18" t="s">
        <v>959</v>
      </c>
      <c r="E39" s="18" t="s">
        <v>953</v>
      </c>
      <c r="F39" s="18" t="s">
        <v>960</v>
      </c>
      <c r="G39" s="19">
        <v>46076</v>
      </c>
      <c r="H39" s="18" t="s">
        <v>577</v>
      </c>
      <c r="I39" s="18" t="s">
        <v>98</v>
      </c>
      <c r="J39" s="18" t="s">
        <v>584</v>
      </c>
      <c r="K39" s="18" t="s">
        <v>955</v>
      </c>
      <c r="L39" s="18" t="s">
        <v>961</v>
      </c>
    </row>
    <row r="40" spans="1:12">
      <c r="A40" s="18" t="s">
        <v>1009</v>
      </c>
      <c r="B40" s="18" t="s">
        <v>324</v>
      </c>
      <c r="C40" s="18" t="s">
        <v>958</v>
      </c>
      <c r="D40" s="18" t="s">
        <v>959</v>
      </c>
      <c r="E40" s="18" t="s">
        <v>953</v>
      </c>
      <c r="F40" s="18" t="s">
        <v>960</v>
      </c>
      <c r="G40" s="19">
        <v>46046</v>
      </c>
      <c r="H40" s="18" t="s">
        <v>99</v>
      </c>
      <c r="I40" s="18" t="s">
        <v>118</v>
      </c>
      <c r="J40" s="18" t="s">
        <v>584</v>
      </c>
      <c r="K40" s="18" t="s">
        <v>955</v>
      </c>
      <c r="L40" s="18" t="s">
        <v>956</v>
      </c>
    </row>
    <row r="41" spans="1:12">
      <c r="A41" s="18" t="s">
        <v>1010</v>
      </c>
      <c r="B41" s="18" t="s">
        <v>324</v>
      </c>
      <c r="C41" s="18" t="s">
        <v>964</v>
      </c>
      <c r="D41" s="18" t="s">
        <v>965</v>
      </c>
      <c r="E41" s="18" t="s">
        <v>953</v>
      </c>
      <c r="F41" s="18" t="s">
        <v>966</v>
      </c>
      <c r="G41" s="19">
        <v>46077</v>
      </c>
      <c r="H41" s="18" t="s">
        <v>577</v>
      </c>
      <c r="I41" s="18" t="s">
        <v>118</v>
      </c>
      <c r="J41" s="18" t="s">
        <v>588</v>
      </c>
      <c r="K41" s="18" t="s">
        <v>955</v>
      </c>
      <c r="L41" s="18" t="s">
        <v>961</v>
      </c>
    </row>
    <row r="42" spans="1:12">
      <c r="A42" s="18" t="s">
        <v>1011</v>
      </c>
      <c r="B42" s="18" t="s">
        <v>335</v>
      </c>
      <c r="C42" s="18" t="s">
        <v>964</v>
      </c>
      <c r="D42" s="18" t="s">
        <v>965</v>
      </c>
      <c r="E42" s="18" t="s">
        <v>953</v>
      </c>
      <c r="F42" s="18" t="s">
        <v>966</v>
      </c>
      <c r="G42" s="19">
        <v>46027</v>
      </c>
      <c r="H42" s="18" t="s">
        <v>99</v>
      </c>
      <c r="I42" s="18" t="s">
        <v>134</v>
      </c>
      <c r="J42" s="18" t="s">
        <v>588</v>
      </c>
      <c r="K42" s="18" t="s">
        <v>955</v>
      </c>
      <c r="L42" s="18" t="s">
        <v>956</v>
      </c>
    </row>
    <row r="43" spans="1:12">
      <c r="A43" s="18" t="s">
        <v>1012</v>
      </c>
      <c r="B43" s="18" t="s">
        <v>335</v>
      </c>
      <c r="C43" s="18" t="s">
        <v>969</v>
      </c>
      <c r="D43" s="18" t="s">
        <v>970</v>
      </c>
      <c r="E43" s="18" t="s">
        <v>971</v>
      </c>
      <c r="F43" s="18" t="s">
        <v>972</v>
      </c>
      <c r="G43" s="19">
        <v>46058</v>
      </c>
      <c r="H43" s="18" t="s">
        <v>577</v>
      </c>
      <c r="I43" s="18" t="s">
        <v>134</v>
      </c>
      <c r="J43" s="18" t="s">
        <v>597</v>
      </c>
      <c r="K43" s="18" t="s">
        <v>955</v>
      </c>
      <c r="L43" s="18" t="s">
        <v>961</v>
      </c>
    </row>
    <row r="44" spans="1:12">
      <c r="A44" s="18" t="s">
        <v>1013</v>
      </c>
      <c r="B44" s="18" t="s">
        <v>342</v>
      </c>
      <c r="C44" s="18" t="s">
        <v>969</v>
      </c>
      <c r="D44" s="18" t="s">
        <v>970</v>
      </c>
      <c r="E44" s="18" t="s">
        <v>971</v>
      </c>
      <c r="F44" s="18" t="s">
        <v>972</v>
      </c>
      <c r="G44" s="19">
        <v>46028</v>
      </c>
      <c r="H44" s="18" t="s">
        <v>99</v>
      </c>
      <c r="I44" s="18" t="s">
        <v>149</v>
      </c>
      <c r="J44" s="18" t="s">
        <v>597</v>
      </c>
      <c r="K44" s="18" t="s">
        <v>955</v>
      </c>
      <c r="L44" s="18" t="s">
        <v>956</v>
      </c>
    </row>
    <row r="45" spans="1:12">
      <c r="A45" s="18" t="s">
        <v>1014</v>
      </c>
      <c r="B45" s="18" t="s">
        <v>342</v>
      </c>
      <c r="C45" s="18" t="s">
        <v>975</v>
      </c>
      <c r="D45" s="18" t="s">
        <v>976</v>
      </c>
      <c r="E45" s="18" t="s">
        <v>953</v>
      </c>
      <c r="F45" s="18" t="s">
        <v>977</v>
      </c>
      <c r="G45" s="19">
        <v>46059</v>
      </c>
      <c r="H45" s="18" t="s">
        <v>577</v>
      </c>
      <c r="I45" s="18" t="s">
        <v>149</v>
      </c>
      <c r="J45" s="18" t="s">
        <v>628</v>
      </c>
      <c r="K45" s="18" t="s">
        <v>955</v>
      </c>
      <c r="L45" s="18" t="s">
        <v>961</v>
      </c>
    </row>
    <row r="46" spans="1:12">
      <c r="A46" s="18" t="s">
        <v>1015</v>
      </c>
      <c r="B46" s="18" t="s">
        <v>350</v>
      </c>
      <c r="C46" s="18" t="s">
        <v>975</v>
      </c>
      <c r="D46" s="18" t="s">
        <v>976</v>
      </c>
      <c r="E46" s="18" t="s">
        <v>953</v>
      </c>
      <c r="F46" s="18" t="s">
        <v>977</v>
      </c>
      <c r="G46" s="19">
        <v>46029</v>
      </c>
      <c r="H46" s="18" t="s">
        <v>99</v>
      </c>
      <c r="I46" s="18" t="s">
        <v>162</v>
      </c>
      <c r="J46" s="18" t="s">
        <v>628</v>
      </c>
      <c r="K46" s="18" t="s">
        <v>955</v>
      </c>
      <c r="L46" s="18" t="s">
        <v>956</v>
      </c>
    </row>
    <row r="47" spans="1:12">
      <c r="A47" s="18" t="s">
        <v>1016</v>
      </c>
      <c r="B47" s="18" t="s">
        <v>350</v>
      </c>
      <c r="C47" s="18" t="s">
        <v>980</v>
      </c>
      <c r="D47" s="18" t="s">
        <v>965</v>
      </c>
      <c r="E47" s="18" t="s">
        <v>953</v>
      </c>
      <c r="F47" s="18" t="s">
        <v>954</v>
      </c>
      <c r="G47" s="19">
        <v>46060</v>
      </c>
      <c r="H47" s="18" t="s">
        <v>577</v>
      </c>
      <c r="I47" s="18" t="s">
        <v>162</v>
      </c>
      <c r="J47" s="18" t="s">
        <v>623</v>
      </c>
      <c r="K47" s="18" t="s">
        <v>955</v>
      </c>
      <c r="L47" s="18" t="s">
        <v>961</v>
      </c>
    </row>
    <row r="48" spans="1:12">
      <c r="A48" s="18" t="s">
        <v>1017</v>
      </c>
      <c r="B48" s="18" t="s">
        <v>356</v>
      </c>
      <c r="C48" s="18" t="s">
        <v>980</v>
      </c>
      <c r="D48" s="18" t="s">
        <v>965</v>
      </c>
      <c r="E48" s="18" t="s">
        <v>953</v>
      </c>
      <c r="F48" s="18" t="s">
        <v>954</v>
      </c>
      <c r="G48" s="19">
        <v>46030</v>
      </c>
      <c r="H48" s="18" t="s">
        <v>99</v>
      </c>
      <c r="I48" s="18" t="s">
        <v>176</v>
      </c>
      <c r="J48" s="18" t="s">
        <v>623</v>
      </c>
      <c r="K48" s="18" t="s">
        <v>955</v>
      </c>
      <c r="L48" s="18" t="s">
        <v>956</v>
      </c>
    </row>
    <row r="49" spans="1:12">
      <c r="A49" s="18" t="s">
        <v>1018</v>
      </c>
      <c r="B49" s="18" t="s">
        <v>356</v>
      </c>
      <c r="C49" s="18" t="s">
        <v>951</v>
      </c>
      <c r="D49" s="18" t="s">
        <v>952</v>
      </c>
      <c r="E49" s="18" t="s">
        <v>953</v>
      </c>
      <c r="F49" s="18" t="s">
        <v>954</v>
      </c>
      <c r="G49" s="19">
        <v>46061</v>
      </c>
      <c r="H49" s="18" t="s">
        <v>577</v>
      </c>
      <c r="I49" s="18" t="s">
        <v>176</v>
      </c>
      <c r="J49" s="18" t="s">
        <v>578</v>
      </c>
      <c r="K49" s="18" t="s">
        <v>955</v>
      </c>
      <c r="L49" s="18" t="s">
        <v>961</v>
      </c>
    </row>
    <row r="50" spans="1:12">
      <c r="A50" s="18" t="s">
        <v>1019</v>
      </c>
      <c r="B50" s="18" t="s">
        <v>364</v>
      </c>
      <c r="C50" s="18" t="s">
        <v>951</v>
      </c>
      <c r="D50" s="18" t="s">
        <v>952</v>
      </c>
      <c r="E50" s="18" t="s">
        <v>953</v>
      </c>
      <c r="F50" s="18" t="s">
        <v>954</v>
      </c>
      <c r="G50" s="19">
        <v>46031</v>
      </c>
      <c r="H50" s="18" t="s">
        <v>99</v>
      </c>
      <c r="I50" s="18" t="s">
        <v>98</v>
      </c>
      <c r="J50" s="18" t="s">
        <v>578</v>
      </c>
      <c r="K50" s="18" t="s">
        <v>955</v>
      </c>
      <c r="L50" s="18" t="s">
        <v>956</v>
      </c>
    </row>
    <row r="51" spans="1:12">
      <c r="A51" s="18" t="s">
        <v>1020</v>
      </c>
      <c r="B51" s="18" t="s">
        <v>364</v>
      </c>
      <c r="C51" s="18" t="s">
        <v>958</v>
      </c>
      <c r="D51" s="18" t="s">
        <v>959</v>
      </c>
      <c r="E51" s="18" t="s">
        <v>953</v>
      </c>
      <c r="F51" s="18" t="s">
        <v>960</v>
      </c>
      <c r="G51" s="19">
        <v>46062</v>
      </c>
      <c r="H51" s="18" t="s">
        <v>577</v>
      </c>
      <c r="I51" s="18" t="s">
        <v>98</v>
      </c>
      <c r="J51" s="18" t="s">
        <v>584</v>
      </c>
      <c r="K51" s="18" t="s">
        <v>955</v>
      </c>
      <c r="L51" s="18" t="s">
        <v>961</v>
      </c>
    </row>
    <row r="52" spans="1:12">
      <c r="A52" s="18" t="s">
        <v>1021</v>
      </c>
      <c r="B52" s="18" t="s">
        <v>371</v>
      </c>
      <c r="C52" s="18" t="s">
        <v>958</v>
      </c>
      <c r="D52" s="18" t="s">
        <v>959</v>
      </c>
      <c r="E52" s="18" t="s">
        <v>953</v>
      </c>
      <c r="F52" s="18" t="s">
        <v>960</v>
      </c>
      <c r="G52" s="19">
        <v>46032</v>
      </c>
      <c r="H52" s="18" t="s">
        <v>99</v>
      </c>
      <c r="I52" s="18" t="s">
        <v>118</v>
      </c>
      <c r="J52" s="18" t="s">
        <v>584</v>
      </c>
      <c r="K52" s="18" t="s">
        <v>955</v>
      </c>
      <c r="L52" s="18" t="s">
        <v>956</v>
      </c>
    </row>
    <row r="53" spans="1:12">
      <c r="A53" s="18" t="s">
        <v>1022</v>
      </c>
      <c r="B53" s="18" t="s">
        <v>371</v>
      </c>
      <c r="C53" s="18" t="s">
        <v>964</v>
      </c>
      <c r="D53" s="18" t="s">
        <v>965</v>
      </c>
      <c r="E53" s="18" t="s">
        <v>953</v>
      </c>
      <c r="F53" s="18" t="s">
        <v>966</v>
      </c>
      <c r="G53" s="19">
        <v>46063</v>
      </c>
      <c r="H53" s="18" t="s">
        <v>577</v>
      </c>
      <c r="I53" s="18" t="s">
        <v>118</v>
      </c>
      <c r="J53" s="18" t="s">
        <v>588</v>
      </c>
      <c r="K53" s="18" t="s">
        <v>955</v>
      </c>
      <c r="L53" s="18" t="s">
        <v>961</v>
      </c>
    </row>
    <row r="54" spans="1:12">
      <c r="A54" s="18" t="s">
        <v>1023</v>
      </c>
      <c r="B54" s="18" t="s">
        <v>379</v>
      </c>
      <c r="C54" s="18" t="s">
        <v>964</v>
      </c>
      <c r="D54" s="18" t="s">
        <v>965</v>
      </c>
      <c r="E54" s="18" t="s">
        <v>953</v>
      </c>
      <c r="F54" s="18" t="s">
        <v>966</v>
      </c>
      <c r="G54" s="19">
        <v>46033</v>
      </c>
      <c r="H54" s="18" t="s">
        <v>99</v>
      </c>
      <c r="I54" s="18" t="s">
        <v>134</v>
      </c>
      <c r="J54" s="18" t="s">
        <v>588</v>
      </c>
      <c r="K54" s="18" t="s">
        <v>955</v>
      </c>
      <c r="L54" s="18" t="s">
        <v>956</v>
      </c>
    </row>
    <row r="55" spans="1:12">
      <c r="A55" s="18" t="s">
        <v>1024</v>
      </c>
      <c r="B55" s="18" t="s">
        <v>379</v>
      </c>
      <c r="C55" s="18" t="s">
        <v>969</v>
      </c>
      <c r="D55" s="18" t="s">
        <v>970</v>
      </c>
      <c r="E55" s="18" t="s">
        <v>971</v>
      </c>
      <c r="F55" s="18" t="s">
        <v>972</v>
      </c>
      <c r="G55" s="19">
        <v>46064</v>
      </c>
      <c r="H55" s="18" t="s">
        <v>577</v>
      </c>
      <c r="I55" s="18" t="s">
        <v>134</v>
      </c>
      <c r="J55" s="18" t="s">
        <v>597</v>
      </c>
      <c r="K55" s="18" t="s">
        <v>955</v>
      </c>
      <c r="L55" s="18" t="s">
        <v>961</v>
      </c>
    </row>
    <row r="56" spans="1:12">
      <c r="A56" s="18" t="s">
        <v>1025</v>
      </c>
      <c r="B56" s="18" t="s">
        <v>386</v>
      </c>
      <c r="C56" s="18" t="s">
        <v>969</v>
      </c>
      <c r="D56" s="18" t="s">
        <v>970</v>
      </c>
      <c r="E56" s="18" t="s">
        <v>971</v>
      </c>
      <c r="F56" s="18" t="s">
        <v>972</v>
      </c>
      <c r="G56" s="19">
        <v>46034</v>
      </c>
      <c r="H56" s="18" t="s">
        <v>99</v>
      </c>
      <c r="I56" s="18" t="s">
        <v>149</v>
      </c>
      <c r="J56" s="18" t="s">
        <v>597</v>
      </c>
      <c r="K56" s="18" t="s">
        <v>955</v>
      </c>
      <c r="L56" s="18" t="s">
        <v>956</v>
      </c>
    </row>
    <row r="57" spans="1:12">
      <c r="A57" s="18" t="s">
        <v>1026</v>
      </c>
      <c r="B57" s="18" t="s">
        <v>386</v>
      </c>
      <c r="C57" s="18" t="s">
        <v>975</v>
      </c>
      <c r="D57" s="18" t="s">
        <v>976</v>
      </c>
      <c r="E57" s="18" t="s">
        <v>953</v>
      </c>
      <c r="F57" s="18" t="s">
        <v>977</v>
      </c>
      <c r="G57" s="19">
        <v>46065</v>
      </c>
      <c r="H57" s="18" t="s">
        <v>577</v>
      </c>
      <c r="I57" s="18" t="s">
        <v>149</v>
      </c>
      <c r="J57" s="18" t="s">
        <v>628</v>
      </c>
      <c r="K57" s="18" t="s">
        <v>955</v>
      </c>
      <c r="L57" s="18" t="s">
        <v>961</v>
      </c>
    </row>
    <row r="58" spans="1:12">
      <c r="A58" s="18" t="s">
        <v>1027</v>
      </c>
      <c r="B58" s="18" t="s">
        <v>393</v>
      </c>
      <c r="C58" s="18" t="s">
        <v>975</v>
      </c>
      <c r="D58" s="18" t="s">
        <v>976</v>
      </c>
      <c r="E58" s="18" t="s">
        <v>953</v>
      </c>
      <c r="F58" s="18" t="s">
        <v>977</v>
      </c>
      <c r="G58" s="19">
        <v>46035</v>
      </c>
      <c r="H58" s="18" t="s">
        <v>99</v>
      </c>
      <c r="I58" s="18" t="s">
        <v>162</v>
      </c>
      <c r="J58" s="18" t="s">
        <v>628</v>
      </c>
      <c r="K58" s="18" t="s">
        <v>955</v>
      </c>
      <c r="L58" s="18" t="s">
        <v>956</v>
      </c>
    </row>
    <row r="59" spans="1:12">
      <c r="A59" s="18" t="s">
        <v>1028</v>
      </c>
      <c r="B59" s="18" t="s">
        <v>393</v>
      </c>
      <c r="C59" s="18" t="s">
        <v>980</v>
      </c>
      <c r="D59" s="18" t="s">
        <v>965</v>
      </c>
      <c r="E59" s="18" t="s">
        <v>953</v>
      </c>
      <c r="F59" s="18" t="s">
        <v>954</v>
      </c>
      <c r="G59" s="19">
        <v>46066</v>
      </c>
      <c r="H59" s="18" t="s">
        <v>577</v>
      </c>
      <c r="I59" s="18" t="s">
        <v>162</v>
      </c>
      <c r="J59" s="18" t="s">
        <v>623</v>
      </c>
      <c r="K59" s="18" t="s">
        <v>955</v>
      </c>
      <c r="L59" s="18" t="s">
        <v>961</v>
      </c>
    </row>
    <row r="60" spans="1:12">
      <c r="A60" s="18" t="s">
        <v>1029</v>
      </c>
      <c r="B60" s="18" t="s">
        <v>400</v>
      </c>
      <c r="C60" s="18" t="s">
        <v>980</v>
      </c>
      <c r="D60" s="18" t="s">
        <v>965</v>
      </c>
      <c r="E60" s="18" t="s">
        <v>953</v>
      </c>
      <c r="F60" s="18" t="s">
        <v>954</v>
      </c>
      <c r="G60" s="19">
        <v>46036</v>
      </c>
      <c r="H60" s="18" t="s">
        <v>99</v>
      </c>
      <c r="I60" s="18" t="s">
        <v>176</v>
      </c>
      <c r="J60" s="18" t="s">
        <v>623</v>
      </c>
      <c r="K60" s="18" t="s">
        <v>955</v>
      </c>
      <c r="L60" s="18" t="s">
        <v>956</v>
      </c>
    </row>
    <row r="61" spans="1:12">
      <c r="A61" s="18" t="s">
        <v>1030</v>
      </c>
      <c r="B61" s="18" t="s">
        <v>400</v>
      </c>
      <c r="C61" s="18" t="s">
        <v>951</v>
      </c>
      <c r="D61" s="18" t="s">
        <v>952</v>
      </c>
      <c r="E61" s="18" t="s">
        <v>953</v>
      </c>
      <c r="F61" s="18" t="s">
        <v>954</v>
      </c>
      <c r="G61" s="19">
        <v>46067</v>
      </c>
      <c r="H61" s="18" t="s">
        <v>577</v>
      </c>
      <c r="I61" s="18" t="s">
        <v>176</v>
      </c>
      <c r="J61" s="18" t="s">
        <v>578</v>
      </c>
      <c r="K61" s="18" t="s">
        <v>955</v>
      </c>
      <c r="L61" s="18" t="s">
        <v>961</v>
      </c>
    </row>
    <row r="62" spans="1:12">
      <c r="A62" s="18" t="s">
        <v>1031</v>
      </c>
      <c r="B62" s="18" t="s">
        <v>408</v>
      </c>
      <c r="C62" s="18" t="s">
        <v>951</v>
      </c>
      <c r="D62" s="18" t="s">
        <v>952</v>
      </c>
      <c r="E62" s="18" t="s">
        <v>953</v>
      </c>
      <c r="F62" s="18" t="s">
        <v>954</v>
      </c>
      <c r="G62" s="19">
        <v>46037</v>
      </c>
      <c r="H62" s="18" t="s">
        <v>99</v>
      </c>
      <c r="I62" s="18" t="s">
        <v>98</v>
      </c>
      <c r="J62" s="18" t="s">
        <v>578</v>
      </c>
      <c r="K62" s="18" t="s">
        <v>955</v>
      </c>
      <c r="L62" s="18" t="s">
        <v>956</v>
      </c>
    </row>
    <row r="63" spans="1:12">
      <c r="A63" s="18" t="s">
        <v>1032</v>
      </c>
      <c r="B63" s="18" t="s">
        <v>408</v>
      </c>
      <c r="C63" s="18" t="s">
        <v>958</v>
      </c>
      <c r="D63" s="18" t="s">
        <v>959</v>
      </c>
      <c r="E63" s="18" t="s">
        <v>953</v>
      </c>
      <c r="F63" s="18" t="s">
        <v>960</v>
      </c>
      <c r="G63" s="19">
        <v>46068</v>
      </c>
      <c r="H63" s="18" t="s">
        <v>577</v>
      </c>
      <c r="I63" s="18" t="s">
        <v>98</v>
      </c>
      <c r="J63" s="18" t="s">
        <v>584</v>
      </c>
      <c r="K63" s="18" t="s">
        <v>955</v>
      </c>
      <c r="L63" s="18" t="s">
        <v>961</v>
      </c>
    </row>
    <row r="64" spans="1:12">
      <c r="A64" s="18" t="s">
        <v>1033</v>
      </c>
      <c r="B64" s="18" t="s">
        <v>415</v>
      </c>
      <c r="C64" s="18" t="s">
        <v>958</v>
      </c>
      <c r="D64" s="18" t="s">
        <v>959</v>
      </c>
      <c r="E64" s="18" t="s">
        <v>953</v>
      </c>
      <c r="F64" s="18" t="s">
        <v>960</v>
      </c>
      <c r="G64" s="19">
        <v>46038</v>
      </c>
      <c r="H64" s="18" t="s">
        <v>99</v>
      </c>
      <c r="I64" s="18" t="s">
        <v>118</v>
      </c>
      <c r="J64" s="18" t="s">
        <v>584</v>
      </c>
      <c r="K64" s="18" t="s">
        <v>955</v>
      </c>
      <c r="L64" s="18" t="s">
        <v>956</v>
      </c>
    </row>
    <row r="65" spans="1:12">
      <c r="A65" s="18" t="s">
        <v>1034</v>
      </c>
      <c r="B65" s="18" t="s">
        <v>415</v>
      </c>
      <c r="C65" s="18" t="s">
        <v>964</v>
      </c>
      <c r="D65" s="18" t="s">
        <v>965</v>
      </c>
      <c r="E65" s="18" t="s">
        <v>953</v>
      </c>
      <c r="F65" s="18" t="s">
        <v>966</v>
      </c>
      <c r="G65" s="19">
        <v>46069</v>
      </c>
      <c r="H65" s="18" t="s">
        <v>577</v>
      </c>
      <c r="I65" s="18" t="s">
        <v>118</v>
      </c>
      <c r="J65" s="18" t="s">
        <v>588</v>
      </c>
      <c r="K65" s="18" t="s">
        <v>955</v>
      </c>
      <c r="L65" s="18" t="s">
        <v>961</v>
      </c>
    </row>
    <row r="66" spans="1:12">
      <c r="A66" s="18" t="s">
        <v>1035</v>
      </c>
      <c r="B66" s="18" t="s">
        <v>423</v>
      </c>
      <c r="C66" s="18" t="s">
        <v>964</v>
      </c>
      <c r="D66" s="18" t="s">
        <v>965</v>
      </c>
      <c r="E66" s="18" t="s">
        <v>953</v>
      </c>
      <c r="F66" s="18" t="s">
        <v>966</v>
      </c>
      <c r="G66" s="19">
        <v>46039</v>
      </c>
      <c r="H66" s="18" t="s">
        <v>99</v>
      </c>
      <c r="I66" s="18" t="s">
        <v>134</v>
      </c>
      <c r="J66" s="18" t="s">
        <v>588</v>
      </c>
      <c r="K66" s="18" t="s">
        <v>955</v>
      </c>
      <c r="L66" s="18" t="s">
        <v>956</v>
      </c>
    </row>
    <row r="67" spans="1:12">
      <c r="A67" s="18" t="s">
        <v>1036</v>
      </c>
      <c r="B67" s="18" t="s">
        <v>423</v>
      </c>
      <c r="C67" s="18" t="s">
        <v>969</v>
      </c>
      <c r="D67" s="18" t="s">
        <v>970</v>
      </c>
      <c r="E67" s="18" t="s">
        <v>971</v>
      </c>
      <c r="F67" s="18" t="s">
        <v>972</v>
      </c>
      <c r="G67" s="19">
        <v>46070</v>
      </c>
      <c r="H67" s="18" t="s">
        <v>577</v>
      </c>
      <c r="I67" s="18" t="s">
        <v>134</v>
      </c>
      <c r="J67" s="18" t="s">
        <v>597</v>
      </c>
      <c r="K67" s="18" t="s">
        <v>955</v>
      </c>
      <c r="L67" s="18" t="s">
        <v>961</v>
      </c>
    </row>
    <row r="68" spans="1:12">
      <c r="A68" s="18" t="s">
        <v>1037</v>
      </c>
      <c r="B68" s="18" t="s">
        <v>430</v>
      </c>
      <c r="C68" s="18" t="s">
        <v>969</v>
      </c>
      <c r="D68" s="18" t="s">
        <v>970</v>
      </c>
      <c r="E68" s="18" t="s">
        <v>971</v>
      </c>
      <c r="F68" s="18" t="s">
        <v>972</v>
      </c>
      <c r="G68" s="19">
        <v>46040</v>
      </c>
      <c r="H68" s="18" t="s">
        <v>99</v>
      </c>
      <c r="I68" s="18" t="s">
        <v>149</v>
      </c>
      <c r="J68" s="18" t="s">
        <v>597</v>
      </c>
      <c r="K68" s="18" t="s">
        <v>955</v>
      </c>
      <c r="L68" s="18" t="s">
        <v>956</v>
      </c>
    </row>
    <row r="69" spans="1:12">
      <c r="A69" s="18" t="s">
        <v>1038</v>
      </c>
      <c r="B69" s="18" t="s">
        <v>430</v>
      </c>
      <c r="C69" s="18" t="s">
        <v>975</v>
      </c>
      <c r="D69" s="18" t="s">
        <v>976</v>
      </c>
      <c r="E69" s="18" t="s">
        <v>953</v>
      </c>
      <c r="F69" s="18" t="s">
        <v>977</v>
      </c>
      <c r="G69" s="19">
        <v>46071</v>
      </c>
      <c r="H69" s="18" t="s">
        <v>577</v>
      </c>
      <c r="I69" s="18" t="s">
        <v>149</v>
      </c>
      <c r="J69" s="18" t="s">
        <v>628</v>
      </c>
      <c r="K69" s="18" t="s">
        <v>955</v>
      </c>
      <c r="L69" s="18" t="s">
        <v>961</v>
      </c>
    </row>
    <row r="70" spans="1:12">
      <c r="A70" s="18" t="s">
        <v>1039</v>
      </c>
      <c r="B70" s="18" t="s">
        <v>438</v>
      </c>
      <c r="C70" s="18" t="s">
        <v>975</v>
      </c>
      <c r="D70" s="18" t="s">
        <v>976</v>
      </c>
      <c r="E70" s="18" t="s">
        <v>953</v>
      </c>
      <c r="F70" s="18" t="s">
        <v>977</v>
      </c>
      <c r="G70" s="19">
        <v>46041</v>
      </c>
      <c r="H70" s="18" t="s">
        <v>99</v>
      </c>
      <c r="I70" s="18" t="s">
        <v>162</v>
      </c>
      <c r="J70" s="18" t="s">
        <v>628</v>
      </c>
      <c r="K70" s="18" t="s">
        <v>955</v>
      </c>
      <c r="L70" s="18" t="s">
        <v>956</v>
      </c>
    </row>
    <row r="71" spans="1:12">
      <c r="A71" s="18" t="s">
        <v>1040</v>
      </c>
      <c r="B71" s="18" t="s">
        <v>438</v>
      </c>
      <c r="C71" s="18" t="s">
        <v>980</v>
      </c>
      <c r="D71" s="18" t="s">
        <v>965</v>
      </c>
      <c r="E71" s="18" t="s">
        <v>953</v>
      </c>
      <c r="F71" s="18" t="s">
        <v>954</v>
      </c>
      <c r="G71" s="19">
        <v>46072</v>
      </c>
      <c r="H71" s="18" t="s">
        <v>577</v>
      </c>
      <c r="I71" s="18" t="s">
        <v>162</v>
      </c>
      <c r="J71" s="18" t="s">
        <v>623</v>
      </c>
      <c r="K71" s="18" t="s">
        <v>955</v>
      </c>
      <c r="L71" s="18" t="s">
        <v>961</v>
      </c>
    </row>
    <row r="72" spans="1:12">
      <c r="A72" s="18" t="s">
        <v>1041</v>
      </c>
      <c r="B72" s="18" t="s">
        <v>445</v>
      </c>
      <c r="C72" s="18" t="s">
        <v>980</v>
      </c>
      <c r="D72" s="18" t="s">
        <v>965</v>
      </c>
      <c r="E72" s="18" t="s">
        <v>953</v>
      </c>
      <c r="F72" s="18" t="s">
        <v>954</v>
      </c>
      <c r="G72" s="19">
        <v>46042</v>
      </c>
      <c r="H72" s="18" t="s">
        <v>99</v>
      </c>
      <c r="I72" s="18" t="s">
        <v>176</v>
      </c>
      <c r="J72" s="18" t="s">
        <v>623</v>
      </c>
      <c r="K72" s="18" t="s">
        <v>955</v>
      </c>
      <c r="L72" s="18" t="s">
        <v>956</v>
      </c>
    </row>
    <row r="73" spans="1:12">
      <c r="A73" s="18" t="s">
        <v>1042</v>
      </c>
      <c r="B73" s="18" t="s">
        <v>445</v>
      </c>
      <c r="C73" s="18" t="s">
        <v>951</v>
      </c>
      <c r="D73" s="18" t="s">
        <v>952</v>
      </c>
      <c r="E73" s="18" t="s">
        <v>953</v>
      </c>
      <c r="F73" s="18" t="s">
        <v>954</v>
      </c>
      <c r="G73" s="19">
        <v>46073</v>
      </c>
      <c r="H73" s="18" t="s">
        <v>577</v>
      </c>
      <c r="I73" s="18" t="s">
        <v>176</v>
      </c>
      <c r="J73" s="18" t="s">
        <v>578</v>
      </c>
      <c r="K73" s="18" t="s">
        <v>955</v>
      </c>
      <c r="L73" s="18" t="s">
        <v>961</v>
      </c>
    </row>
    <row r="74" spans="1:12">
      <c r="A74" s="18" t="s">
        <v>1043</v>
      </c>
      <c r="B74" s="18" t="s">
        <v>453</v>
      </c>
      <c r="C74" s="18" t="s">
        <v>951</v>
      </c>
      <c r="D74" s="18" t="s">
        <v>952</v>
      </c>
      <c r="E74" s="18" t="s">
        <v>953</v>
      </c>
      <c r="F74" s="18" t="s">
        <v>954</v>
      </c>
      <c r="G74" s="19">
        <v>46043</v>
      </c>
      <c r="H74" s="18" t="s">
        <v>99</v>
      </c>
      <c r="I74" s="18" t="s">
        <v>98</v>
      </c>
      <c r="J74" s="18" t="s">
        <v>578</v>
      </c>
      <c r="K74" s="18" t="s">
        <v>955</v>
      </c>
      <c r="L74" s="18" t="s">
        <v>956</v>
      </c>
    </row>
    <row r="75" spans="1:12">
      <c r="A75" s="18" t="s">
        <v>1044</v>
      </c>
      <c r="B75" s="18" t="s">
        <v>453</v>
      </c>
      <c r="C75" s="18" t="s">
        <v>958</v>
      </c>
      <c r="D75" s="18" t="s">
        <v>959</v>
      </c>
      <c r="E75" s="18" t="s">
        <v>953</v>
      </c>
      <c r="F75" s="18" t="s">
        <v>960</v>
      </c>
      <c r="G75" s="19">
        <v>46074</v>
      </c>
      <c r="H75" s="18" t="s">
        <v>577</v>
      </c>
      <c r="I75" s="18" t="s">
        <v>98</v>
      </c>
      <c r="J75" s="18" t="s">
        <v>584</v>
      </c>
      <c r="K75" s="18" t="s">
        <v>955</v>
      </c>
      <c r="L75" s="18" t="s">
        <v>961</v>
      </c>
    </row>
    <row r="76" spans="1:12">
      <c r="A76" s="18" t="s">
        <v>1045</v>
      </c>
      <c r="B76" s="18" t="s">
        <v>460</v>
      </c>
      <c r="C76" s="18" t="s">
        <v>958</v>
      </c>
      <c r="D76" s="18" t="s">
        <v>959</v>
      </c>
      <c r="E76" s="18" t="s">
        <v>953</v>
      </c>
      <c r="F76" s="18" t="s">
        <v>960</v>
      </c>
      <c r="G76" s="19">
        <v>46044</v>
      </c>
      <c r="H76" s="18" t="s">
        <v>99</v>
      </c>
      <c r="I76" s="18" t="s">
        <v>118</v>
      </c>
      <c r="J76" s="18" t="s">
        <v>584</v>
      </c>
      <c r="K76" s="18" t="s">
        <v>955</v>
      </c>
      <c r="L76" s="18" t="s">
        <v>956</v>
      </c>
    </row>
    <row r="77" spans="1:12">
      <c r="A77" s="18" t="s">
        <v>1046</v>
      </c>
      <c r="B77" s="18" t="s">
        <v>460</v>
      </c>
      <c r="C77" s="18" t="s">
        <v>964</v>
      </c>
      <c r="D77" s="18" t="s">
        <v>965</v>
      </c>
      <c r="E77" s="18" t="s">
        <v>953</v>
      </c>
      <c r="F77" s="18" t="s">
        <v>966</v>
      </c>
      <c r="G77" s="19">
        <v>46075</v>
      </c>
      <c r="H77" s="18" t="s">
        <v>577</v>
      </c>
      <c r="I77" s="18" t="s">
        <v>118</v>
      </c>
      <c r="J77" s="18" t="s">
        <v>588</v>
      </c>
      <c r="K77" s="18" t="s">
        <v>955</v>
      </c>
      <c r="L77" s="18" t="s">
        <v>961</v>
      </c>
    </row>
    <row r="78" spans="1:12">
      <c r="A78" s="18" t="s">
        <v>1047</v>
      </c>
      <c r="B78" s="18" t="s">
        <v>468</v>
      </c>
      <c r="C78" s="18" t="s">
        <v>964</v>
      </c>
      <c r="D78" s="18" t="s">
        <v>965</v>
      </c>
      <c r="E78" s="18" t="s">
        <v>953</v>
      </c>
      <c r="F78" s="18" t="s">
        <v>966</v>
      </c>
      <c r="G78" s="19">
        <v>46045</v>
      </c>
      <c r="H78" s="18" t="s">
        <v>99</v>
      </c>
      <c r="I78" s="18" t="s">
        <v>134</v>
      </c>
      <c r="J78" s="18" t="s">
        <v>588</v>
      </c>
      <c r="K78" s="18" t="s">
        <v>955</v>
      </c>
      <c r="L78" s="18" t="s">
        <v>956</v>
      </c>
    </row>
    <row r="79" spans="1:12">
      <c r="A79" s="18" t="s">
        <v>1048</v>
      </c>
      <c r="B79" s="18" t="s">
        <v>468</v>
      </c>
      <c r="C79" s="18" t="s">
        <v>969</v>
      </c>
      <c r="D79" s="18" t="s">
        <v>970</v>
      </c>
      <c r="E79" s="18" t="s">
        <v>971</v>
      </c>
      <c r="F79" s="18" t="s">
        <v>972</v>
      </c>
      <c r="G79" s="19">
        <v>46076</v>
      </c>
      <c r="H79" s="18" t="s">
        <v>577</v>
      </c>
      <c r="I79" s="18" t="s">
        <v>134</v>
      </c>
      <c r="J79" s="18" t="s">
        <v>597</v>
      </c>
      <c r="K79" s="18" t="s">
        <v>955</v>
      </c>
      <c r="L79" s="18" t="s">
        <v>961</v>
      </c>
    </row>
    <row r="80" spans="1:12">
      <c r="A80" s="18" t="s">
        <v>1049</v>
      </c>
      <c r="B80" s="18" t="s">
        <v>475</v>
      </c>
      <c r="C80" s="18" t="s">
        <v>969</v>
      </c>
      <c r="D80" s="18" t="s">
        <v>970</v>
      </c>
      <c r="E80" s="18" t="s">
        <v>971</v>
      </c>
      <c r="F80" s="18" t="s">
        <v>972</v>
      </c>
      <c r="G80" s="19">
        <v>46046</v>
      </c>
      <c r="H80" s="18" t="s">
        <v>99</v>
      </c>
      <c r="I80" s="18" t="s">
        <v>149</v>
      </c>
      <c r="J80" s="18" t="s">
        <v>597</v>
      </c>
      <c r="K80" s="18" t="s">
        <v>955</v>
      </c>
      <c r="L80" s="18" t="s">
        <v>956</v>
      </c>
    </row>
    <row r="81" spans="1:12">
      <c r="A81" s="18" t="s">
        <v>1050</v>
      </c>
      <c r="B81" s="18" t="s">
        <v>475</v>
      </c>
      <c r="C81" s="18" t="s">
        <v>975</v>
      </c>
      <c r="D81" s="18" t="s">
        <v>976</v>
      </c>
      <c r="E81" s="18" t="s">
        <v>953</v>
      </c>
      <c r="F81" s="18" t="s">
        <v>977</v>
      </c>
      <c r="G81" s="19">
        <v>46077</v>
      </c>
      <c r="H81" s="18" t="s">
        <v>577</v>
      </c>
      <c r="I81" s="18" t="s">
        <v>149</v>
      </c>
      <c r="J81" s="18" t="s">
        <v>628</v>
      </c>
      <c r="K81" s="18" t="s">
        <v>955</v>
      </c>
      <c r="L81" s="18" t="s">
        <v>961</v>
      </c>
    </row>
    <row r="82" spans="1:12">
      <c r="A82" s="18" t="s">
        <v>1051</v>
      </c>
      <c r="B82" s="18" t="s">
        <v>483</v>
      </c>
      <c r="C82" s="18" t="s">
        <v>975</v>
      </c>
      <c r="D82" s="18" t="s">
        <v>976</v>
      </c>
      <c r="E82" s="18" t="s">
        <v>953</v>
      </c>
      <c r="F82" s="18" t="s">
        <v>977</v>
      </c>
      <c r="G82" s="19">
        <v>46027</v>
      </c>
      <c r="H82" s="18" t="s">
        <v>99</v>
      </c>
      <c r="I82" s="18" t="s">
        <v>162</v>
      </c>
      <c r="J82" s="18" t="s">
        <v>628</v>
      </c>
      <c r="K82" s="18" t="s">
        <v>955</v>
      </c>
      <c r="L82" s="18" t="s">
        <v>956</v>
      </c>
    </row>
    <row r="83" spans="1:12">
      <c r="A83" s="18" t="s">
        <v>1052</v>
      </c>
      <c r="B83" s="18" t="s">
        <v>483</v>
      </c>
      <c r="C83" s="18" t="s">
        <v>980</v>
      </c>
      <c r="D83" s="18" t="s">
        <v>965</v>
      </c>
      <c r="E83" s="18" t="s">
        <v>953</v>
      </c>
      <c r="F83" s="18" t="s">
        <v>954</v>
      </c>
      <c r="G83" s="19">
        <v>46058</v>
      </c>
      <c r="H83" s="18" t="s">
        <v>577</v>
      </c>
      <c r="I83" s="18" t="s">
        <v>162</v>
      </c>
      <c r="J83" s="18" t="s">
        <v>623</v>
      </c>
      <c r="K83" s="18" t="s">
        <v>955</v>
      </c>
      <c r="L83" s="18" t="s">
        <v>961</v>
      </c>
    </row>
    <row r="84" spans="1:12">
      <c r="A84" s="18" t="s">
        <v>1053</v>
      </c>
      <c r="B84" s="18" t="s">
        <v>491</v>
      </c>
      <c r="C84" s="18" t="s">
        <v>980</v>
      </c>
      <c r="D84" s="18" t="s">
        <v>965</v>
      </c>
      <c r="E84" s="18" t="s">
        <v>953</v>
      </c>
      <c r="F84" s="18" t="s">
        <v>954</v>
      </c>
      <c r="G84" s="19">
        <v>46028</v>
      </c>
      <c r="H84" s="18" t="s">
        <v>99</v>
      </c>
      <c r="I84" s="18" t="s">
        <v>176</v>
      </c>
      <c r="J84" s="18" t="s">
        <v>623</v>
      </c>
      <c r="K84" s="18" t="s">
        <v>955</v>
      </c>
      <c r="L84" s="18" t="s">
        <v>956</v>
      </c>
    </row>
    <row r="85" spans="1:12">
      <c r="A85" s="18" t="s">
        <v>1054</v>
      </c>
      <c r="B85" s="18" t="s">
        <v>491</v>
      </c>
      <c r="C85" s="18" t="s">
        <v>951</v>
      </c>
      <c r="D85" s="18" t="s">
        <v>952</v>
      </c>
      <c r="E85" s="18" t="s">
        <v>953</v>
      </c>
      <c r="F85" s="18" t="s">
        <v>954</v>
      </c>
      <c r="G85" s="19">
        <v>46059</v>
      </c>
      <c r="H85" s="18" t="s">
        <v>577</v>
      </c>
      <c r="I85" s="18" t="s">
        <v>176</v>
      </c>
      <c r="J85" s="18" t="s">
        <v>578</v>
      </c>
      <c r="K85" s="18" t="s">
        <v>955</v>
      </c>
      <c r="L85" s="18" t="s">
        <v>961</v>
      </c>
    </row>
    <row r="86" spans="1:12">
      <c r="A86" s="18" t="s">
        <v>1055</v>
      </c>
      <c r="B86" s="18" t="s">
        <v>499</v>
      </c>
      <c r="C86" s="18" t="s">
        <v>951</v>
      </c>
      <c r="D86" s="18" t="s">
        <v>952</v>
      </c>
      <c r="E86" s="18" t="s">
        <v>953</v>
      </c>
      <c r="F86" s="18" t="s">
        <v>954</v>
      </c>
      <c r="G86" s="19">
        <v>46029</v>
      </c>
      <c r="H86" s="18" t="s">
        <v>99</v>
      </c>
      <c r="I86" s="18" t="s">
        <v>98</v>
      </c>
      <c r="J86" s="18" t="s">
        <v>578</v>
      </c>
      <c r="K86" s="18" t="s">
        <v>955</v>
      </c>
      <c r="L86" s="18" t="s">
        <v>956</v>
      </c>
    </row>
    <row r="87" spans="1:12">
      <c r="A87" s="18" t="s">
        <v>1056</v>
      </c>
      <c r="B87" s="18" t="s">
        <v>499</v>
      </c>
      <c r="C87" s="18" t="s">
        <v>958</v>
      </c>
      <c r="D87" s="18" t="s">
        <v>959</v>
      </c>
      <c r="E87" s="18" t="s">
        <v>953</v>
      </c>
      <c r="F87" s="18" t="s">
        <v>960</v>
      </c>
      <c r="G87" s="19">
        <v>46060</v>
      </c>
      <c r="H87" s="18" t="s">
        <v>577</v>
      </c>
      <c r="I87" s="18" t="s">
        <v>98</v>
      </c>
      <c r="J87" s="18" t="s">
        <v>584</v>
      </c>
      <c r="K87" s="18" t="s">
        <v>955</v>
      </c>
      <c r="L87" s="18" t="s">
        <v>961</v>
      </c>
    </row>
    <row r="88" spans="1:12">
      <c r="A88" s="18" t="s">
        <v>1057</v>
      </c>
      <c r="B88" s="18" t="s">
        <v>507</v>
      </c>
      <c r="C88" s="18" t="s">
        <v>958</v>
      </c>
      <c r="D88" s="18" t="s">
        <v>959</v>
      </c>
      <c r="E88" s="18" t="s">
        <v>953</v>
      </c>
      <c r="F88" s="18" t="s">
        <v>960</v>
      </c>
      <c r="G88" s="19">
        <v>46030</v>
      </c>
      <c r="H88" s="18" t="s">
        <v>99</v>
      </c>
      <c r="I88" s="18" t="s">
        <v>118</v>
      </c>
      <c r="J88" s="18" t="s">
        <v>584</v>
      </c>
      <c r="K88" s="18" t="s">
        <v>955</v>
      </c>
      <c r="L88" s="18" t="s">
        <v>956</v>
      </c>
    </row>
    <row r="89" spans="1:12">
      <c r="A89" s="18" t="s">
        <v>1058</v>
      </c>
      <c r="B89" s="18" t="s">
        <v>507</v>
      </c>
      <c r="C89" s="18" t="s">
        <v>964</v>
      </c>
      <c r="D89" s="18" t="s">
        <v>965</v>
      </c>
      <c r="E89" s="18" t="s">
        <v>953</v>
      </c>
      <c r="F89" s="18" t="s">
        <v>966</v>
      </c>
      <c r="G89" s="19">
        <v>46061</v>
      </c>
      <c r="H89" s="18" t="s">
        <v>577</v>
      </c>
      <c r="I89" s="18" t="s">
        <v>118</v>
      </c>
      <c r="J89" s="18" t="s">
        <v>588</v>
      </c>
      <c r="K89" s="18" t="s">
        <v>955</v>
      </c>
      <c r="L89" s="18" t="s">
        <v>961</v>
      </c>
    </row>
    <row r="90" spans="1:12">
      <c r="A90" s="18" t="s">
        <v>1059</v>
      </c>
      <c r="B90" s="18" t="s">
        <v>515</v>
      </c>
      <c r="C90" s="18" t="s">
        <v>964</v>
      </c>
      <c r="D90" s="18" t="s">
        <v>965</v>
      </c>
      <c r="E90" s="18" t="s">
        <v>953</v>
      </c>
      <c r="F90" s="18" t="s">
        <v>966</v>
      </c>
      <c r="G90" s="19">
        <v>46031</v>
      </c>
      <c r="H90" s="18" t="s">
        <v>99</v>
      </c>
      <c r="I90" s="18" t="s">
        <v>134</v>
      </c>
      <c r="J90" s="18" t="s">
        <v>588</v>
      </c>
      <c r="K90" s="18" t="s">
        <v>955</v>
      </c>
      <c r="L90" s="18" t="s">
        <v>956</v>
      </c>
    </row>
    <row r="91" spans="1:12">
      <c r="A91" s="18" t="s">
        <v>1060</v>
      </c>
      <c r="B91" s="18" t="s">
        <v>515</v>
      </c>
      <c r="C91" s="18" t="s">
        <v>969</v>
      </c>
      <c r="D91" s="18" t="s">
        <v>970</v>
      </c>
      <c r="E91" s="18" t="s">
        <v>971</v>
      </c>
      <c r="F91" s="18" t="s">
        <v>972</v>
      </c>
      <c r="G91" s="19">
        <v>46062</v>
      </c>
      <c r="H91" s="18" t="s">
        <v>577</v>
      </c>
      <c r="I91" s="18" t="s">
        <v>134</v>
      </c>
      <c r="J91" s="18" t="s">
        <v>597</v>
      </c>
      <c r="K91" s="18" t="s">
        <v>955</v>
      </c>
      <c r="L91" s="18" t="s">
        <v>961</v>
      </c>
    </row>
    <row r="92" spans="1:12">
      <c r="A92" s="18" t="s">
        <v>1061</v>
      </c>
      <c r="B92" s="18" t="s">
        <v>523</v>
      </c>
      <c r="C92" s="18" t="s">
        <v>969</v>
      </c>
      <c r="D92" s="18" t="s">
        <v>970</v>
      </c>
      <c r="E92" s="18" t="s">
        <v>971</v>
      </c>
      <c r="F92" s="18" t="s">
        <v>972</v>
      </c>
      <c r="G92" s="19">
        <v>46032</v>
      </c>
      <c r="H92" s="18" t="s">
        <v>99</v>
      </c>
      <c r="I92" s="18" t="s">
        <v>149</v>
      </c>
      <c r="J92" s="18" t="s">
        <v>597</v>
      </c>
      <c r="K92" s="18" t="s">
        <v>955</v>
      </c>
      <c r="L92" s="18" t="s">
        <v>956</v>
      </c>
    </row>
    <row r="93" spans="1:12">
      <c r="A93" s="18" t="s">
        <v>1062</v>
      </c>
      <c r="B93" s="18" t="s">
        <v>523</v>
      </c>
      <c r="C93" s="18" t="s">
        <v>975</v>
      </c>
      <c r="D93" s="18" t="s">
        <v>976</v>
      </c>
      <c r="E93" s="18" t="s">
        <v>953</v>
      </c>
      <c r="F93" s="18" t="s">
        <v>977</v>
      </c>
      <c r="G93" s="19">
        <v>46063</v>
      </c>
      <c r="H93" s="18" t="s">
        <v>577</v>
      </c>
      <c r="I93" s="18" t="s">
        <v>149</v>
      </c>
      <c r="J93" s="18" t="s">
        <v>628</v>
      </c>
      <c r="K93" s="18" t="s">
        <v>955</v>
      </c>
      <c r="L93" s="18" t="s">
        <v>961</v>
      </c>
    </row>
    <row r="94" spans="1:12">
      <c r="A94" s="18" t="s">
        <v>1063</v>
      </c>
      <c r="B94" s="18" t="s">
        <v>531</v>
      </c>
      <c r="C94" s="18" t="s">
        <v>975</v>
      </c>
      <c r="D94" s="18" t="s">
        <v>976</v>
      </c>
      <c r="E94" s="18" t="s">
        <v>953</v>
      </c>
      <c r="F94" s="18" t="s">
        <v>977</v>
      </c>
      <c r="G94" s="19">
        <v>46033</v>
      </c>
      <c r="H94" s="18" t="s">
        <v>99</v>
      </c>
      <c r="I94" s="18" t="s">
        <v>162</v>
      </c>
      <c r="J94" s="18" t="s">
        <v>628</v>
      </c>
      <c r="K94" s="18" t="s">
        <v>955</v>
      </c>
      <c r="L94" s="18" t="s">
        <v>956</v>
      </c>
    </row>
    <row r="95" spans="1:12">
      <c r="A95" s="18" t="s">
        <v>1064</v>
      </c>
      <c r="B95" s="18" t="s">
        <v>531</v>
      </c>
      <c r="C95" s="18" t="s">
        <v>980</v>
      </c>
      <c r="D95" s="18" t="s">
        <v>965</v>
      </c>
      <c r="E95" s="18" t="s">
        <v>953</v>
      </c>
      <c r="F95" s="18" t="s">
        <v>954</v>
      </c>
      <c r="G95" s="19">
        <v>46064</v>
      </c>
      <c r="H95" s="18" t="s">
        <v>577</v>
      </c>
      <c r="I95" s="18" t="s">
        <v>162</v>
      </c>
      <c r="J95" s="18" t="s">
        <v>623</v>
      </c>
      <c r="K95" s="18" t="s">
        <v>955</v>
      </c>
      <c r="L95" s="18" t="s">
        <v>961</v>
      </c>
    </row>
    <row r="96" spans="1:12">
      <c r="A96" s="18" t="s">
        <v>1065</v>
      </c>
      <c r="B96" s="18" t="s">
        <v>539</v>
      </c>
      <c r="C96" s="18" t="s">
        <v>980</v>
      </c>
      <c r="D96" s="18" t="s">
        <v>965</v>
      </c>
      <c r="E96" s="18" t="s">
        <v>953</v>
      </c>
      <c r="F96" s="18" t="s">
        <v>954</v>
      </c>
      <c r="G96" s="19">
        <v>46034</v>
      </c>
      <c r="H96" s="18" t="s">
        <v>99</v>
      </c>
      <c r="I96" s="18" t="s">
        <v>176</v>
      </c>
      <c r="J96" s="18" t="s">
        <v>623</v>
      </c>
      <c r="K96" s="18" t="s">
        <v>955</v>
      </c>
      <c r="L96" s="18" t="s">
        <v>956</v>
      </c>
    </row>
    <row r="97" spans="1:12">
      <c r="A97" s="18" t="s">
        <v>1066</v>
      </c>
      <c r="B97" s="18" t="s">
        <v>539</v>
      </c>
      <c r="C97" s="18" t="s">
        <v>951</v>
      </c>
      <c r="D97" s="18" t="s">
        <v>952</v>
      </c>
      <c r="E97" s="18" t="s">
        <v>953</v>
      </c>
      <c r="F97" s="18" t="s">
        <v>954</v>
      </c>
      <c r="G97" s="19">
        <v>46065</v>
      </c>
      <c r="H97" s="18" t="s">
        <v>577</v>
      </c>
      <c r="I97" s="18" t="s">
        <v>176</v>
      </c>
      <c r="J97" s="18" t="s">
        <v>578</v>
      </c>
      <c r="K97" s="18" t="s">
        <v>955</v>
      </c>
      <c r="L97" s="18" t="s">
        <v>961</v>
      </c>
    </row>
    <row r="98" spans="1:12">
      <c r="A98" s="18" t="s">
        <v>1067</v>
      </c>
      <c r="B98" s="18" t="s">
        <v>547</v>
      </c>
      <c r="C98" s="18" t="s">
        <v>951</v>
      </c>
      <c r="D98" s="18" t="s">
        <v>952</v>
      </c>
      <c r="E98" s="18" t="s">
        <v>953</v>
      </c>
      <c r="F98" s="18" t="s">
        <v>954</v>
      </c>
      <c r="G98" s="19">
        <v>46035</v>
      </c>
      <c r="H98" s="18" t="s">
        <v>99</v>
      </c>
      <c r="I98" s="18" t="s">
        <v>98</v>
      </c>
      <c r="J98" s="18" t="s">
        <v>578</v>
      </c>
      <c r="K98" s="18" t="s">
        <v>955</v>
      </c>
      <c r="L98" s="18" t="s">
        <v>956</v>
      </c>
    </row>
    <row r="99" spans="1:12">
      <c r="A99" s="18" t="s">
        <v>1068</v>
      </c>
      <c r="B99" s="18" t="s">
        <v>547</v>
      </c>
      <c r="C99" s="18" t="s">
        <v>958</v>
      </c>
      <c r="D99" s="18" t="s">
        <v>959</v>
      </c>
      <c r="E99" s="18" t="s">
        <v>953</v>
      </c>
      <c r="F99" s="18" t="s">
        <v>960</v>
      </c>
      <c r="G99" s="19">
        <v>46066</v>
      </c>
      <c r="H99" s="18" t="s">
        <v>577</v>
      </c>
      <c r="I99" s="18" t="s">
        <v>98</v>
      </c>
      <c r="J99" s="18" t="s">
        <v>584</v>
      </c>
      <c r="K99" s="18" t="s">
        <v>955</v>
      </c>
      <c r="L99" s="18" t="s">
        <v>961</v>
      </c>
    </row>
    <row r="100" spans="1:12">
      <c r="A100" s="18" t="s">
        <v>1069</v>
      </c>
      <c r="B100" s="18" t="s">
        <v>555</v>
      </c>
      <c r="C100" s="18" t="s">
        <v>958</v>
      </c>
      <c r="D100" s="18" t="s">
        <v>959</v>
      </c>
      <c r="E100" s="18" t="s">
        <v>953</v>
      </c>
      <c r="F100" s="18" t="s">
        <v>960</v>
      </c>
      <c r="G100" s="19">
        <v>46036</v>
      </c>
      <c r="H100" s="18" t="s">
        <v>99</v>
      </c>
      <c r="I100" s="18" t="s">
        <v>118</v>
      </c>
      <c r="J100" s="18" t="s">
        <v>584</v>
      </c>
      <c r="K100" s="18" t="s">
        <v>955</v>
      </c>
      <c r="L100" s="18" t="s">
        <v>956</v>
      </c>
    </row>
    <row r="101" spans="1:12">
      <c r="A101" s="18" t="s">
        <v>1070</v>
      </c>
      <c r="B101" s="18" t="s">
        <v>555</v>
      </c>
      <c r="C101" s="18" t="s">
        <v>964</v>
      </c>
      <c r="D101" s="18" t="s">
        <v>965</v>
      </c>
      <c r="E101" s="18" t="s">
        <v>953</v>
      </c>
      <c r="F101" s="18" t="s">
        <v>966</v>
      </c>
      <c r="G101" s="19">
        <v>46067</v>
      </c>
      <c r="H101" s="18" t="s">
        <v>577</v>
      </c>
      <c r="I101" s="18" t="s">
        <v>118</v>
      </c>
      <c r="J101" s="18" t="s">
        <v>588</v>
      </c>
      <c r="K101" s="18" t="s">
        <v>955</v>
      </c>
      <c r="L101" s="18" t="s">
        <v>961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A9D8F"/>
  </sheetPr>
  <dimension ref="A1:N1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6" customWidth="1"/>
    <col min="4" max="7" width="18" customWidth="1"/>
    <col min="8" max="8" width="16" customWidth="1"/>
    <col min="9" max="9" width="18" customWidth="1"/>
    <col min="10" max="11" width="14" customWidth="1"/>
    <col min="12" max="12" width="10" customWidth="1"/>
    <col min="13" max="13" width="24" customWidth="1"/>
    <col min="14" max="14" width="14" customWidth="1"/>
  </cols>
  <sheetData>
    <row r="1" spans="1:14" ht="30" customHeight="1">
      <c r="A1" s="17" t="s">
        <v>1071</v>
      </c>
      <c r="B1" s="17" t="s">
        <v>66</v>
      </c>
      <c r="C1" s="17" t="s">
        <v>1072</v>
      </c>
      <c r="D1" s="17" t="s">
        <v>1073</v>
      </c>
      <c r="E1" s="17" t="s">
        <v>1074</v>
      </c>
      <c r="F1" s="17" t="s">
        <v>1075</v>
      </c>
      <c r="G1" s="17" t="s">
        <v>1076</v>
      </c>
      <c r="H1" s="17" t="s">
        <v>1077</v>
      </c>
      <c r="I1" s="17" t="s">
        <v>1078</v>
      </c>
      <c r="J1" s="17" t="s">
        <v>79</v>
      </c>
      <c r="K1" s="17" t="s">
        <v>78</v>
      </c>
      <c r="L1" s="17" t="s">
        <v>80</v>
      </c>
      <c r="M1" s="17" t="s">
        <v>1079</v>
      </c>
      <c r="N1" s="17" t="s">
        <v>1080</v>
      </c>
    </row>
    <row r="2" spans="1:14">
      <c r="A2" s="18" t="s">
        <v>1081</v>
      </c>
      <c r="B2" s="18" t="s">
        <v>35</v>
      </c>
      <c r="C2" s="19">
        <v>46280</v>
      </c>
      <c r="D2" s="18">
        <v>110</v>
      </c>
      <c r="E2" s="18">
        <v>68</v>
      </c>
      <c r="F2" s="18">
        <v>62</v>
      </c>
      <c r="G2" s="18">
        <v>14</v>
      </c>
      <c r="H2" s="18">
        <v>96</v>
      </c>
      <c r="I2" s="18">
        <v>97.6</v>
      </c>
      <c r="J2" s="18">
        <v>53.9</v>
      </c>
      <c r="K2" s="18">
        <v>158</v>
      </c>
      <c r="L2" s="18">
        <v>21.6</v>
      </c>
      <c r="M2" s="18" t="s">
        <v>98</v>
      </c>
      <c r="N2" s="18" t="s">
        <v>1082</v>
      </c>
    </row>
    <row r="3" spans="1:14">
      <c r="A3" s="18" t="s">
        <v>1083</v>
      </c>
      <c r="B3" s="18" t="s">
        <v>35</v>
      </c>
      <c r="C3" s="19">
        <v>46190</v>
      </c>
      <c r="D3" s="18">
        <v>111</v>
      </c>
      <c r="E3" s="18">
        <v>68</v>
      </c>
      <c r="F3" s="18">
        <v>62</v>
      </c>
      <c r="G3" s="18">
        <v>14</v>
      </c>
      <c r="H3" s="18">
        <v>96</v>
      </c>
      <c r="I3" s="18">
        <v>97.6</v>
      </c>
      <c r="J3" s="18">
        <v>55</v>
      </c>
      <c r="K3" s="18">
        <v>158</v>
      </c>
      <c r="L3" s="18">
        <v>22</v>
      </c>
      <c r="M3" s="18" t="s">
        <v>98</v>
      </c>
      <c r="N3" s="18" t="s">
        <v>1082</v>
      </c>
    </row>
    <row r="4" spans="1:14">
      <c r="A4" s="18" t="s">
        <v>1084</v>
      </c>
      <c r="B4" s="18" t="s">
        <v>35</v>
      </c>
      <c r="C4" s="19">
        <v>46100</v>
      </c>
      <c r="D4" s="18">
        <v>112</v>
      </c>
      <c r="E4" s="18">
        <v>68</v>
      </c>
      <c r="F4" s="18">
        <v>62</v>
      </c>
      <c r="G4" s="18">
        <v>14</v>
      </c>
      <c r="H4" s="18">
        <v>96</v>
      </c>
      <c r="I4" s="18">
        <v>97.6</v>
      </c>
      <c r="J4" s="18">
        <v>56.1</v>
      </c>
      <c r="K4" s="18">
        <v>158</v>
      </c>
      <c r="L4" s="18">
        <v>22.5</v>
      </c>
      <c r="M4" s="18" t="s">
        <v>98</v>
      </c>
      <c r="N4" s="18" t="s">
        <v>1082</v>
      </c>
    </row>
    <row r="5" spans="1:14">
      <c r="A5" s="18" t="s">
        <v>1085</v>
      </c>
      <c r="B5" s="18" t="s">
        <v>107</v>
      </c>
      <c r="C5" s="19">
        <v>46279</v>
      </c>
      <c r="D5" s="18">
        <v>113</v>
      </c>
      <c r="E5" s="18">
        <v>70</v>
      </c>
      <c r="F5" s="18">
        <v>63</v>
      </c>
      <c r="G5" s="18">
        <v>15</v>
      </c>
      <c r="H5" s="18">
        <v>97</v>
      </c>
      <c r="I5" s="18">
        <v>97.8</v>
      </c>
      <c r="J5" s="18">
        <v>60.9</v>
      </c>
      <c r="K5" s="18">
        <v>172</v>
      </c>
      <c r="L5" s="18">
        <v>20.6</v>
      </c>
      <c r="M5" s="18" t="s">
        <v>118</v>
      </c>
      <c r="N5" s="18" t="s">
        <v>1082</v>
      </c>
    </row>
    <row r="6" spans="1:14">
      <c r="A6" s="18" t="s">
        <v>1086</v>
      </c>
      <c r="B6" s="18" t="s">
        <v>107</v>
      </c>
      <c r="C6" s="19">
        <v>46189</v>
      </c>
      <c r="D6" s="18">
        <v>114</v>
      </c>
      <c r="E6" s="18">
        <v>70</v>
      </c>
      <c r="F6" s="18">
        <v>63</v>
      </c>
      <c r="G6" s="18">
        <v>15</v>
      </c>
      <c r="H6" s="18">
        <v>97</v>
      </c>
      <c r="I6" s="18">
        <v>97.8</v>
      </c>
      <c r="J6" s="18">
        <v>62</v>
      </c>
      <c r="K6" s="18">
        <v>172</v>
      </c>
      <c r="L6" s="18">
        <v>21</v>
      </c>
      <c r="M6" s="18" t="s">
        <v>118</v>
      </c>
      <c r="N6" s="18" t="s">
        <v>1082</v>
      </c>
    </row>
    <row r="7" spans="1:14">
      <c r="A7" s="18" t="s">
        <v>1087</v>
      </c>
      <c r="B7" s="18" t="s">
        <v>107</v>
      </c>
      <c r="C7" s="19">
        <v>46099</v>
      </c>
      <c r="D7" s="18">
        <v>115</v>
      </c>
      <c r="E7" s="18">
        <v>70</v>
      </c>
      <c r="F7" s="18">
        <v>63</v>
      </c>
      <c r="G7" s="18">
        <v>15</v>
      </c>
      <c r="H7" s="18">
        <v>97</v>
      </c>
      <c r="I7" s="18">
        <v>97.8</v>
      </c>
      <c r="J7" s="18">
        <v>63.1</v>
      </c>
      <c r="K7" s="18">
        <v>172</v>
      </c>
      <c r="L7" s="18">
        <v>21.3</v>
      </c>
      <c r="M7" s="18" t="s">
        <v>118</v>
      </c>
      <c r="N7" s="18" t="s">
        <v>1082</v>
      </c>
    </row>
    <row r="8" spans="1:14">
      <c r="A8" s="18" t="s">
        <v>1088</v>
      </c>
      <c r="B8" s="18" t="s">
        <v>125</v>
      </c>
      <c r="C8" s="19">
        <v>46278</v>
      </c>
      <c r="D8" s="18">
        <v>116</v>
      </c>
      <c r="E8" s="18">
        <v>72</v>
      </c>
      <c r="F8" s="18">
        <v>64</v>
      </c>
      <c r="G8" s="18">
        <v>16</v>
      </c>
      <c r="H8" s="18">
        <v>98</v>
      </c>
      <c r="I8" s="18">
        <v>98</v>
      </c>
      <c r="J8" s="18">
        <v>67.900000000000006</v>
      </c>
      <c r="K8" s="18">
        <v>164</v>
      </c>
      <c r="L8" s="18">
        <v>25.2</v>
      </c>
      <c r="M8" s="18" t="s">
        <v>134</v>
      </c>
      <c r="N8" s="18" t="s">
        <v>1082</v>
      </c>
    </row>
    <row r="9" spans="1:14">
      <c r="A9" s="18" t="s">
        <v>1089</v>
      </c>
      <c r="B9" s="18" t="s">
        <v>125</v>
      </c>
      <c r="C9" s="19">
        <v>46188</v>
      </c>
      <c r="D9" s="18">
        <v>117</v>
      </c>
      <c r="E9" s="18">
        <v>72</v>
      </c>
      <c r="F9" s="18">
        <v>64</v>
      </c>
      <c r="G9" s="18">
        <v>16</v>
      </c>
      <c r="H9" s="18">
        <v>98</v>
      </c>
      <c r="I9" s="18">
        <v>98</v>
      </c>
      <c r="J9" s="18">
        <v>69</v>
      </c>
      <c r="K9" s="18">
        <v>164</v>
      </c>
      <c r="L9" s="18">
        <v>25.7</v>
      </c>
      <c r="M9" s="18" t="s">
        <v>134</v>
      </c>
      <c r="N9" s="18" t="s">
        <v>1082</v>
      </c>
    </row>
    <row r="10" spans="1:14">
      <c r="A10" s="18" t="s">
        <v>1090</v>
      </c>
      <c r="B10" s="18" t="s">
        <v>125</v>
      </c>
      <c r="C10" s="19">
        <v>46098</v>
      </c>
      <c r="D10" s="18">
        <v>118</v>
      </c>
      <c r="E10" s="18">
        <v>72</v>
      </c>
      <c r="F10" s="18">
        <v>64</v>
      </c>
      <c r="G10" s="18">
        <v>16</v>
      </c>
      <c r="H10" s="18">
        <v>98</v>
      </c>
      <c r="I10" s="18">
        <v>98</v>
      </c>
      <c r="J10" s="18">
        <v>70.099999999999994</v>
      </c>
      <c r="K10" s="18">
        <v>164</v>
      </c>
      <c r="L10" s="18">
        <v>26.1</v>
      </c>
      <c r="M10" s="18" t="s">
        <v>134</v>
      </c>
      <c r="N10" s="18" t="s">
        <v>1082</v>
      </c>
    </row>
    <row r="11" spans="1:14">
      <c r="A11" s="18" t="s">
        <v>1091</v>
      </c>
      <c r="B11" s="18" t="s">
        <v>141</v>
      </c>
      <c r="C11" s="19">
        <v>46277</v>
      </c>
      <c r="D11" s="18">
        <v>119</v>
      </c>
      <c r="E11" s="18">
        <v>74</v>
      </c>
      <c r="F11" s="18">
        <v>65</v>
      </c>
      <c r="G11" s="18">
        <v>17</v>
      </c>
      <c r="H11" s="18">
        <v>99</v>
      </c>
      <c r="I11" s="18">
        <v>98.2</v>
      </c>
      <c r="J11" s="18">
        <v>74.900000000000006</v>
      </c>
      <c r="K11" s="18">
        <v>180</v>
      </c>
      <c r="L11" s="18">
        <v>23.1</v>
      </c>
      <c r="M11" s="18" t="s">
        <v>149</v>
      </c>
      <c r="N11" s="18" t="s">
        <v>1082</v>
      </c>
    </row>
    <row r="12" spans="1:14">
      <c r="A12" s="18" t="s">
        <v>1092</v>
      </c>
      <c r="B12" s="18" t="s">
        <v>141</v>
      </c>
      <c r="C12" s="19">
        <v>46187</v>
      </c>
      <c r="D12" s="18">
        <v>120</v>
      </c>
      <c r="E12" s="18">
        <v>74</v>
      </c>
      <c r="F12" s="18">
        <v>65</v>
      </c>
      <c r="G12" s="18">
        <v>17</v>
      </c>
      <c r="H12" s="18">
        <v>99</v>
      </c>
      <c r="I12" s="18">
        <v>98.2</v>
      </c>
      <c r="J12" s="18">
        <v>76</v>
      </c>
      <c r="K12" s="18">
        <v>180</v>
      </c>
      <c r="L12" s="18">
        <v>23.5</v>
      </c>
      <c r="M12" s="18" t="s">
        <v>149</v>
      </c>
      <c r="N12" s="18" t="s">
        <v>1082</v>
      </c>
    </row>
    <row r="13" spans="1:14">
      <c r="A13" s="18" t="s">
        <v>1093</v>
      </c>
      <c r="B13" s="18" t="s">
        <v>141</v>
      </c>
      <c r="C13" s="19">
        <v>46097</v>
      </c>
      <c r="D13" s="18">
        <v>121</v>
      </c>
      <c r="E13" s="18">
        <v>74</v>
      </c>
      <c r="F13" s="18">
        <v>65</v>
      </c>
      <c r="G13" s="18">
        <v>17</v>
      </c>
      <c r="H13" s="18">
        <v>99</v>
      </c>
      <c r="I13" s="18">
        <v>98.2</v>
      </c>
      <c r="J13" s="18">
        <v>77.099999999999994</v>
      </c>
      <c r="K13" s="18">
        <v>180</v>
      </c>
      <c r="L13" s="18">
        <v>23.8</v>
      </c>
      <c r="M13" s="18" t="s">
        <v>149</v>
      </c>
      <c r="N13" s="18" t="s">
        <v>1082</v>
      </c>
    </row>
    <row r="14" spans="1:14">
      <c r="A14" s="18" t="s">
        <v>1094</v>
      </c>
      <c r="B14" s="18" t="s">
        <v>155</v>
      </c>
      <c r="C14" s="19">
        <v>46276</v>
      </c>
      <c r="D14" s="18">
        <v>122</v>
      </c>
      <c r="E14" s="18">
        <v>76</v>
      </c>
      <c r="F14" s="18">
        <v>66</v>
      </c>
      <c r="G14" s="18">
        <v>18</v>
      </c>
      <c r="H14" s="18">
        <v>96</v>
      </c>
      <c r="I14" s="18">
        <v>98.4</v>
      </c>
      <c r="J14" s="18">
        <v>81.900000000000006</v>
      </c>
      <c r="K14" s="18">
        <v>170</v>
      </c>
      <c r="L14" s="18">
        <v>28.3</v>
      </c>
      <c r="M14" s="18" t="s">
        <v>162</v>
      </c>
      <c r="N14" s="18" t="s">
        <v>1082</v>
      </c>
    </row>
    <row r="15" spans="1:14">
      <c r="A15" s="18" t="s">
        <v>1095</v>
      </c>
      <c r="B15" s="18" t="s">
        <v>155</v>
      </c>
      <c r="C15" s="19">
        <v>46186</v>
      </c>
      <c r="D15" s="18">
        <v>123</v>
      </c>
      <c r="E15" s="18">
        <v>76</v>
      </c>
      <c r="F15" s="18">
        <v>66</v>
      </c>
      <c r="G15" s="18">
        <v>18</v>
      </c>
      <c r="H15" s="18">
        <v>96</v>
      </c>
      <c r="I15" s="18">
        <v>98.4</v>
      </c>
      <c r="J15" s="18">
        <v>83</v>
      </c>
      <c r="K15" s="18">
        <v>170</v>
      </c>
      <c r="L15" s="18">
        <v>28.7</v>
      </c>
      <c r="M15" s="18" t="s">
        <v>162</v>
      </c>
      <c r="N15" s="18" t="s">
        <v>1082</v>
      </c>
    </row>
    <row r="16" spans="1:14">
      <c r="A16" s="18" t="s">
        <v>1096</v>
      </c>
      <c r="B16" s="18" t="s">
        <v>155</v>
      </c>
      <c r="C16" s="19">
        <v>46096</v>
      </c>
      <c r="D16" s="18">
        <v>124</v>
      </c>
      <c r="E16" s="18">
        <v>76</v>
      </c>
      <c r="F16" s="18">
        <v>66</v>
      </c>
      <c r="G16" s="18">
        <v>18</v>
      </c>
      <c r="H16" s="18">
        <v>96</v>
      </c>
      <c r="I16" s="18">
        <v>98.4</v>
      </c>
      <c r="J16" s="18">
        <v>84.1</v>
      </c>
      <c r="K16" s="18">
        <v>170</v>
      </c>
      <c r="L16" s="18">
        <v>29.1</v>
      </c>
      <c r="M16" s="18" t="s">
        <v>162</v>
      </c>
      <c r="N16" s="18" t="s">
        <v>1082</v>
      </c>
    </row>
    <row r="17" spans="1:14">
      <c r="A17" s="18" t="s">
        <v>1097</v>
      </c>
      <c r="B17" s="18" t="s">
        <v>169</v>
      </c>
      <c r="C17" s="19">
        <v>46275</v>
      </c>
      <c r="D17" s="18">
        <v>125</v>
      </c>
      <c r="E17" s="18">
        <v>78</v>
      </c>
      <c r="F17" s="18">
        <v>67</v>
      </c>
      <c r="G17" s="18">
        <v>14</v>
      </c>
      <c r="H17" s="18">
        <v>97</v>
      </c>
      <c r="I17" s="18">
        <v>97.6</v>
      </c>
      <c r="J17" s="18">
        <v>88.9</v>
      </c>
      <c r="K17" s="18">
        <v>188</v>
      </c>
      <c r="L17" s="18">
        <v>25.2</v>
      </c>
      <c r="M17" s="18" t="s">
        <v>176</v>
      </c>
      <c r="N17" s="18" t="s">
        <v>1082</v>
      </c>
    </row>
    <row r="18" spans="1:14">
      <c r="A18" s="18" t="s">
        <v>1098</v>
      </c>
      <c r="B18" s="18" t="s">
        <v>169</v>
      </c>
      <c r="C18" s="19">
        <v>46185</v>
      </c>
      <c r="D18" s="18">
        <v>126</v>
      </c>
      <c r="E18" s="18">
        <v>78</v>
      </c>
      <c r="F18" s="18">
        <v>67</v>
      </c>
      <c r="G18" s="18">
        <v>14</v>
      </c>
      <c r="H18" s="18">
        <v>97</v>
      </c>
      <c r="I18" s="18">
        <v>97.6</v>
      </c>
      <c r="J18" s="18">
        <v>90</v>
      </c>
      <c r="K18" s="18">
        <v>188</v>
      </c>
      <c r="L18" s="18">
        <v>25.5</v>
      </c>
      <c r="M18" s="18" t="s">
        <v>176</v>
      </c>
      <c r="N18" s="18" t="s">
        <v>1082</v>
      </c>
    </row>
    <row r="19" spans="1:14">
      <c r="A19" s="18" t="s">
        <v>1099</v>
      </c>
      <c r="B19" s="18" t="s">
        <v>169</v>
      </c>
      <c r="C19" s="19">
        <v>46095</v>
      </c>
      <c r="D19" s="18">
        <v>127</v>
      </c>
      <c r="E19" s="18">
        <v>78</v>
      </c>
      <c r="F19" s="18">
        <v>67</v>
      </c>
      <c r="G19" s="18">
        <v>14</v>
      </c>
      <c r="H19" s="18">
        <v>97</v>
      </c>
      <c r="I19" s="18">
        <v>97.6</v>
      </c>
      <c r="J19" s="18">
        <v>91.1</v>
      </c>
      <c r="K19" s="18">
        <v>188</v>
      </c>
      <c r="L19" s="18">
        <v>25.8</v>
      </c>
      <c r="M19" s="18" t="s">
        <v>176</v>
      </c>
      <c r="N19" s="18" t="s">
        <v>1082</v>
      </c>
    </row>
    <row r="20" spans="1:14">
      <c r="A20" s="18" t="s">
        <v>1100</v>
      </c>
      <c r="B20" s="18" t="s">
        <v>183</v>
      </c>
      <c r="C20" s="19">
        <v>46274</v>
      </c>
      <c r="D20" s="18">
        <v>128</v>
      </c>
      <c r="E20" s="18">
        <v>80</v>
      </c>
      <c r="F20" s="18">
        <v>68</v>
      </c>
      <c r="G20" s="18">
        <v>15</v>
      </c>
      <c r="H20" s="18">
        <v>98</v>
      </c>
      <c r="I20" s="18">
        <v>97.8</v>
      </c>
      <c r="J20" s="18">
        <v>95.9</v>
      </c>
      <c r="K20" s="18">
        <v>176</v>
      </c>
      <c r="L20" s="18">
        <v>31</v>
      </c>
      <c r="M20" s="18" t="s">
        <v>98</v>
      </c>
      <c r="N20" s="18" t="s">
        <v>1082</v>
      </c>
    </row>
    <row r="21" spans="1:14">
      <c r="A21" s="18" t="s">
        <v>1101</v>
      </c>
      <c r="B21" s="18" t="s">
        <v>183</v>
      </c>
      <c r="C21" s="19">
        <v>46184</v>
      </c>
      <c r="D21" s="18">
        <v>129</v>
      </c>
      <c r="E21" s="18">
        <v>80</v>
      </c>
      <c r="F21" s="18">
        <v>68</v>
      </c>
      <c r="G21" s="18">
        <v>15</v>
      </c>
      <c r="H21" s="18">
        <v>98</v>
      </c>
      <c r="I21" s="18">
        <v>97.8</v>
      </c>
      <c r="J21" s="18">
        <v>97</v>
      </c>
      <c r="K21" s="18">
        <v>176</v>
      </c>
      <c r="L21" s="18">
        <v>31.3</v>
      </c>
      <c r="M21" s="18" t="s">
        <v>98</v>
      </c>
      <c r="N21" s="18" t="s">
        <v>1082</v>
      </c>
    </row>
    <row r="22" spans="1:14">
      <c r="A22" s="18" t="s">
        <v>1102</v>
      </c>
      <c r="B22" s="18" t="s">
        <v>183</v>
      </c>
      <c r="C22" s="19">
        <v>46094</v>
      </c>
      <c r="D22" s="18">
        <v>130</v>
      </c>
      <c r="E22" s="18">
        <v>80</v>
      </c>
      <c r="F22" s="18">
        <v>68</v>
      </c>
      <c r="G22" s="18">
        <v>15</v>
      </c>
      <c r="H22" s="18">
        <v>98</v>
      </c>
      <c r="I22" s="18">
        <v>97.8</v>
      </c>
      <c r="J22" s="18">
        <v>98.1</v>
      </c>
      <c r="K22" s="18">
        <v>176</v>
      </c>
      <c r="L22" s="18">
        <v>31.7</v>
      </c>
      <c r="M22" s="18" t="s">
        <v>98</v>
      </c>
      <c r="N22" s="18" t="s">
        <v>1082</v>
      </c>
    </row>
    <row r="23" spans="1:14">
      <c r="A23" s="18" t="s">
        <v>1103</v>
      </c>
      <c r="B23" s="18" t="s">
        <v>194</v>
      </c>
      <c r="C23" s="19">
        <v>46273</v>
      </c>
      <c r="D23" s="18">
        <v>131</v>
      </c>
      <c r="E23" s="18">
        <v>82</v>
      </c>
      <c r="F23" s="18">
        <v>69</v>
      </c>
      <c r="G23" s="18">
        <v>16</v>
      </c>
      <c r="H23" s="18">
        <v>99</v>
      </c>
      <c r="I23" s="18">
        <v>98</v>
      </c>
      <c r="J23" s="18">
        <v>102.9</v>
      </c>
      <c r="K23" s="18">
        <v>171</v>
      </c>
      <c r="L23" s="18">
        <v>35.200000000000003</v>
      </c>
      <c r="M23" s="18" t="s">
        <v>118</v>
      </c>
      <c r="N23" s="18" t="s">
        <v>1082</v>
      </c>
    </row>
    <row r="24" spans="1:14">
      <c r="A24" s="18" t="s">
        <v>1104</v>
      </c>
      <c r="B24" s="18" t="s">
        <v>194</v>
      </c>
      <c r="C24" s="19">
        <v>46183</v>
      </c>
      <c r="D24" s="18">
        <v>132</v>
      </c>
      <c r="E24" s="18">
        <v>82</v>
      </c>
      <c r="F24" s="18">
        <v>69</v>
      </c>
      <c r="G24" s="18">
        <v>16</v>
      </c>
      <c r="H24" s="18">
        <v>99</v>
      </c>
      <c r="I24" s="18">
        <v>98</v>
      </c>
      <c r="J24" s="18">
        <v>104</v>
      </c>
      <c r="K24" s="18">
        <v>171</v>
      </c>
      <c r="L24" s="18">
        <v>35.6</v>
      </c>
      <c r="M24" s="18" t="s">
        <v>118</v>
      </c>
      <c r="N24" s="18" t="s">
        <v>1082</v>
      </c>
    </row>
    <row r="25" spans="1:14">
      <c r="A25" s="18" t="s">
        <v>1105</v>
      </c>
      <c r="B25" s="18" t="s">
        <v>194</v>
      </c>
      <c r="C25" s="19">
        <v>46093</v>
      </c>
      <c r="D25" s="18">
        <v>133</v>
      </c>
      <c r="E25" s="18">
        <v>82</v>
      </c>
      <c r="F25" s="18">
        <v>69</v>
      </c>
      <c r="G25" s="18">
        <v>16</v>
      </c>
      <c r="H25" s="18">
        <v>99</v>
      </c>
      <c r="I25" s="18">
        <v>98</v>
      </c>
      <c r="J25" s="18">
        <v>105.1</v>
      </c>
      <c r="K25" s="18">
        <v>171</v>
      </c>
      <c r="L25" s="18">
        <v>35.9</v>
      </c>
      <c r="M25" s="18" t="s">
        <v>118</v>
      </c>
      <c r="N25" s="18" t="s">
        <v>1082</v>
      </c>
    </row>
    <row r="26" spans="1:14">
      <c r="A26" s="18" t="s">
        <v>1106</v>
      </c>
      <c r="B26" s="18" t="s">
        <v>204</v>
      </c>
      <c r="C26" s="19">
        <v>46272</v>
      </c>
      <c r="D26" s="18">
        <v>134</v>
      </c>
      <c r="E26" s="18">
        <v>84</v>
      </c>
      <c r="F26" s="18">
        <v>70</v>
      </c>
      <c r="G26" s="18">
        <v>17</v>
      </c>
      <c r="H26" s="18">
        <v>96</v>
      </c>
      <c r="I26" s="18">
        <v>98.2</v>
      </c>
      <c r="J26" s="18">
        <v>109.9</v>
      </c>
      <c r="K26" s="18">
        <v>182</v>
      </c>
      <c r="L26" s="18">
        <v>33.200000000000003</v>
      </c>
      <c r="M26" s="18" t="s">
        <v>134</v>
      </c>
      <c r="N26" s="18" t="s">
        <v>1082</v>
      </c>
    </row>
    <row r="27" spans="1:14">
      <c r="A27" s="18" t="s">
        <v>1107</v>
      </c>
      <c r="B27" s="18" t="s">
        <v>204</v>
      </c>
      <c r="C27" s="19">
        <v>46182</v>
      </c>
      <c r="D27" s="18">
        <v>135</v>
      </c>
      <c r="E27" s="18">
        <v>84</v>
      </c>
      <c r="F27" s="18">
        <v>70</v>
      </c>
      <c r="G27" s="18">
        <v>17</v>
      </c>
      <c r="H27" s="18">
        <v>96</v>
      </c>
      <c r="I27" s="18">
        <v>98.2</v>
      </c>
      <c r="J27" s="18">
        <v>111</v>
      </c>
      <c r="K27" s="18">
        <v>182</v>
      </c>
      <c r="L27" s="18">
        <v>33.5</v>
      </c>
      <c r="M27" s="18" t="s">
        <v>134</v>
      </c>
      <c r="N27" s="18" t="s">
        <v>1082</v>
      </c>
    </row>
    <row r="28" spans="1:14">
      <c r="A28" s="18" t="s">
        <v>1108</v>
      </c>
      <c r="B28" s="18" t="s">
        <v>204</v>
      </c>
      <c r="C28" s="19">
        <v>46092</v>
      </c>
      <c r="D28" s="18">
        <v>136</v>
      </c>
      <c r="E28" s="18">
        <v>84</v>
      </c>
      <c r="F28" s="18">
        <v>70</v>
      </c>
      <c r="G28" s="18">
        <v>17</v>
      </c>
      <c r="H28" s="18">
        <v>96</v>
      </c>
      <c r="I28" s="18">
        <v>98.2</v>
      </c>
      <c r="J28" s="18">
        <v>112.1</v>
      </c>
      <c r="K28" s="18">
        <v>182</v>
      </c>
      <c r="L28" s="18">
        <v>33.799999999999997</v>
      </c>
      <c r="M28" s="18" t="s">
        <v>134</v>
      </c>
      <c r="N28" s="18" t="s">
        <v>1082</v>
      </c>
    </row>
    <row r="29" spans="1:14">
      <c r="A29" s="18" t="s">
        <v>1109</v>
      </c>
      <c r="B29" s="18" t="s">
        <v>215</v>
      </c>
      <c r="C29" s="19">
        <v>46271</v>
      </c>
      <c r="D29" s="18">
        <v>137</v>
      </c>
      <c r="E29" s="18">
        <v>86</v>
      </c>
      <c r="F29" s="18">
        <v>71</v>
      </c>
      <c r="G29" s="18">
        <v>18</v>
      </c>
      <c r="H29" s="18">
        <v>97</v>
      </c>
      <c r="I29" s="18">
        <v>98.4</v>
      </c>
      <c r="J29" s="18">
        <v>58.9</v>
      </c>
      <c r="K29" s="18">
        <v>179</v>
      </c>
      <c r="L29" s="18">
        <v>18.399999999999999</v>
      </c>
      <c r="M29" s="18" t="s">
        <v>149</v>
      </c>
      <c r="N29" s="18" t="s">
        <v>1082</v>
      </c>
    </row>
    <row r="30" spans="1:14">
      <c r="A30" s="18" t="s">
        <v>1110</v>
      </c>
      <c r="B30" s="18" t="s">
        <v>215</v>
      </c>
      <c r="C30" s="19">
        <v>46181</v>
      </c>
      <c r="D30" s="18">
        <v>138</v>
      </c>
      <c r="E30" s="18">
        <v>86</v>
      </c>
      <c r="F30" s="18">
        <v>71</v>
      </c>
      <c r="G30" s="18">
        <v>18</v>
      </c>
      <c r="H30" s="18">
        <v>97</v>
      </c>
      <c r="I30" s="18">
        <v>98.4</v>
      </c>
      <c r="J30" s="18">
        <v>60</v>
      </c>
      <c r="K30" s="18">
        <v>179</v>
      </c>
      <c r="L30" s="18">
        <v>18.7</v>
      </c>
      <c r="M30" s="18" t="s">
        <v>149</v>
      </c>
      <c r="N30" s="18" t="s">
        <v>1082</v>
      </c>
    </row>
    <row r="31" spans="1:14">
      <c r="A31" s="18" t="s">
        <v>1111</v>
      </c>
      <c r="B31" s="18" t="s">
        <v>215</v>
      </c>
      <c r="C31" s="19">
        <v>46091</v>
      </c>
      <c r="D31" s="18">
        <v>139</v>
      </c>
      <c r="E31" s="18">
        <v>86</v>
      </c>
      <c r="F31" s="18">
        <v>71</v>
      </c>
      <c r="G31" s="18">
        <v>18</v>
      </c>
      <c r="H31" s="18">
        <v>97</v>
      </c>
      <c r="I31" s="18">
        <v>98.4</v>
      </c>
      <c r="J31" s="18">
        <v>61.1</v>
      </c>
      <c r="K31" s="18">
        <v>179</v>
      </c>
      <c r="L31" s="18">
        <v>19.100000000000001</v>
      </c>
      <c r="M31" s="18" t="s">
        <v>149</v>
      </c>
      <c r="N31" s="18" t="s">
        <v>1082</v>
      </c>
    </row>
    <row r="32" spans="1:14">
      <c r="A32" s="18" t="s">
        <v>1112</v>
      </c>
      <c r="B32" s="18" t="s">
        <v>226</v>
      </c>
      <c r="C32" s="19">
        <v>46270</v>
      </c>
      <c r="D32" s="18">
        <v>140</v>
      </c>
      <c r="E32" s="18">
        <v>88</v>
      </c>
      <c r="F32" s="18">
        <v>72</v>
      </c>
      <c r="G32" s="18">
        <v>14</v>
      </c>
      <c r="H32" s="18">
        <v>98</v>
      </c>
      <c r="I32" s="18">
        <v>97.6</v>
      </c>
      <c r="J32" s="18">
        <v>65.900000000000006</v>
      </c>
      <c r="K32" s="18">
        <v>160</v>
      </c>
      <c r="L32" s="18">
        <v>25.7</v>
      </c>
      <c r="M32" s="18" t="s">
        <v>162</v>
      </c>
      <c r="N32" s="18" t="s">
        <v>1082</v>
      </c>
    </row>
    <row r="33" spans="1:14">
      <c r="A33" s="18" t="s">
        <v>1113</v>
      </c>
      <c r="B33" s="18" t="s">
        <v>226</v>
      </c>
      <c r="C33" s="19">
        <v>46180</v>
      </c>
      <c r="D33" s="18">
        <v>141</v>
      </c>
      <c r="E33" s="18">
        <v>88</v>
      </c>
      <c r="F33" s="18">
        <v>72</v>
      </c>
      <c r="G33" s="18">
        <v>14</v>
      </c>
      <c r="H33" s="18">
        <v>98</v>
      </c>
      <c r="I33" s="18">
        <v>97.6</v>
      </c>
      <c r="J33" s="18">
        <v>67</v>
      </c>
      <c r="K33" s="18">
        <v>160</v>
      </c>
      <c r="L33" s="18">
        <v>26.2</v>
      </c>
      <c r="M33" s="18" t="s">
        <v>162</v>
      </c>
      <c r="N33" s="18" t="s">
        <v>1082</v>
      </c>
    </row>
    <row r="34" spans="1:14">
      <c r="A34" s="18" t="s">
        <v>1114</v>
      </c>
      <c r="B34" s="18" t="s">
        <v>226</v>
      </c>
      <c r="C34" s="19">
        <v>46090</v>
      </c>
      <c r="D34" s="18">
        <v>142</v>
      </c>
      <c r="E34" s="18">
        <v>88</v>
      </c>
      <c r="F34" s="18">
        <v>72</v>
      </c>
      <c r="G34" s="18">
        <v>14</v>
      </c>
      <c r="H34" s="18">
        <v>98</v>
      </c>
      <c r="I34" s="18">
        <v>97.6</v>
      </c>
      <c r="J34" s="18">
        <v>68.099999999999994</v>
      </c>
      <c r="K34" s="18">
        <v>160</v>
      </c>
      <c r="L34" s="18">
        <v>26.6</v>
      </c>
      <c r="M34" s="18" t="s">
        <v>162</v>
      </c>
      <c r="N34" s="18" t="s">
        <v>1082</v>
      </c>
    </row>
    <row r="35" spans="1:14">
      <c r="A35" s="18" t="s">
        <v>1115</v>
      </c>
      <c r="B35" s="18" t="s">
        <v>237</v>
      </c>
      <c r="C35" s="19">
        <v>46269</v>
      </c>
      <c r="D35" s="18">
        <v>143</v>
      </c>
      <c r="E35" s="18">
        <v>90</v>
      </c>
      <c r="F35" s="18">
        <v>73</v>
      </c>
      <c r="G35" s="18">
        <v>15</v>
      </c>
      <c r="H35" s="18">
        <v>99</v>
      </c>
      <c r="I35" s="18">
        <v>97.8</v>
      </c>
      <c r="J35" s="18">
        <v>72.900000000000006</v>
      </c>
      <c r="K35" s="18">
        <v>187</v>
      </c>
      <c r="L35" s="18">
        <v>20.8</v>
      </c>
      <c r="M35" s="18" t="s">
        <v>176</v>
      </c>
      <c r="N35" s="18" t="s">
        <v>1082</v>
      </c>
    </row>
    <row r="36" spans="1:14">
      <c r="A36" s="18" t="s">
        <v>1116</v>
      </c>
      <c r="B36" s="18" t="s">
        <v>237</v>
      </c>
      <c r="C36" s="19">
        <v>46179</v>
      </c>
      <c r="D36" s="18">
        <v>144</v>
      </c>
      <c r="E36" s="18">
        <v>90</v>
      </c>
      <c r="F36" s="18">
        <v>73</v>
      </c>
      <c r="G36" s="18">
        <v>15</v>
      </c>
      <c r="H36" s="18">
        <v>99</v>
      </c>
      <c r="I36" s="18">
        <v>97.8</v>
      </c>
      <c r="J36" s="18">
        <v>74</v>
      </c>
      <c r="K36" s="18">
        <v>187</v>
      </c>
      <c r="L36" s="18">
        <v>21.2</v>
      </c>
      <c r="M36" s="18" t="s">
        <v>176</v>
      </c>
      <c r="N36" s="18" t="s">
        <v>1082</v>
      </c>
    </row>
    <row r="37" spans="1:14">
      <c r="A37" s="18" t="s">
        <v>1117</v>
      </c>
      <c r="B37" s="18" t="s">
        <v>237</v>
      </c>
      <c r="C37" s="19">
        <v>46089</v>
      </c>
      <c r="D37" s="18">
        <v>145</v>
      </c>
      <c r="E37" s="18">
        <v>90</v>
      </c>
      <c r="F37" s="18">
        <v>73</v>
      </c>
      <c r="G37" s="18">
        <v>15</v>
      </c>
      <c r="H37" s="18">
        <v>99</v>
      </c>
      <c r="I37" s="18">
        <v>97.8</v>
      </c>
      <c r="J37" s="18">
        <v>75.099999999999994</v>
      </c>
      <c r="K37" s="18">
        <v>187</v>
      </c>
      <c r="L37" s="18">
        <v>21.5</v>
      </c>
      <c r="M37" s="18" t="s">
        <v>176</v>
      </c>
      <c r="N37" s="18" t="s">
        <v>1082</v>
      </c>
    </row>
    <row r="38" spans="1:14">
      <c r="A38" s="18" t="s">
        <v>1118</v>
      </c>
      <c r="B38" s="18" t="s">
        <v>248</v>
      </c>
      <c r="C38" s="19">
        <v>46268</v>
      </c>
      <c r="D38" s="18">
        <v>146</v>
      </c>
      <c r="E38" s="18">
        <v>68</v>
      </c>
      <c r="F38" s="18">
        <v>74</v>
      </c>
      <c r="G38" s="18">
        <v>16</v>
      </c>
      <c r="H38" s="18">
        <v>96</v>
      </c>
      <c r="I38" s="18">
        <v>98</v>
      </c>
      <c r="J38" s="18">
        <v>79.900000000000006</v>
      </c>
      <c r="K38" s="18">
        <v>166</v>
      </c>
      <c r="L38" s="18">
        <v>29</v>
      </c>
      <c r="M38" s="18" t="s">
        <v>98</v>
      </c>
      <c r="N38" s="18" t="s">
        <v>1082</v>
      </c>
    </row>
    <row r="39" spans="1:14">
      <c r="A39" s="18" t="s">
        <v>1119</v>
      </c>
      <c r="B39" s="18" t="s">
        <v>248</v>
      </c>
      <c r="C39" s="19">
        <v>46178</v>
      </c>
      <c r="D39" s="18">
        <v>147</v>
      </c>
      <c r="E39" s="18">
        <v>68</v>
      </c>
      <c r="F39" s="18">
        <v>74</v>
      </c>
      <c r="G39" s="18">
        <v>16</v>
      </c>
      <c r="H39" s="18">
        <v>96</v>
      </c>
      <c r="I39" s="18">
        <v>98</v>
      </c>
      <c r="J39" s="18">
        <v>81</v>
      </c>
      <c r="K39" s="18">
        <v>166</v>
      </c>
      <c r="L39" s="18">
        <v>29.4</v>
      </c>
      <c r="M39" s="18" t="s">
        <v>98</v>
      </c>
      <c r="N39" s="18" t="s">
        <v>1082</v>
      </c>
    </row>
    <row r="40" spans="1:14">
      <c r="A40" s="18" t="s">
        <v>1120</v>
      </c>
      <c r="B40" s="18" t="s">
        <v>248</v>
      </c>
      <c r="C40" s="19">
        <v>46088</v>
      </c>
      <c r="D40" s="18">
        <v>148</v>
      </c>
      <c r="E40" s="18">
        <v>68</v>
      </c>
      <c r="F40" s="18">
        <v>74</v>
      </c>
      <c r="G40" s="18">
        <v>16</v>
      </c>
      <c r="H40" s="18">
        <v>96</v>
      </c>
      <c r="I40" s="18">
        <v>98</v>
      </c>
      <c r="J40" s="18">
        <v>82.1</v>
      </c>
      <c r="K40" s="18">
        <v>166</v>
      </c>
      <c r="L40" s="18">
        <v>29.8</v>
      </c>
      <c r="M40" s="18" t="s">
        <v>98</v>
      </c>
      <c r="N40" s="18" t="s">
        <v>1082</v>
      </c>
    </row>
    <row r="41" spans="1:14">
      <c r="A41" s="18" t="s">
        <v>1121</v>
      </c>
      <c r="B41" s="18" t="s">
        <v>259</v>
      </c>
      <c r="C41" s="19">
        <v>46267</v>
      </c>
      <c r="D41" s="18">
        <v>149</v>
      </c>
      <c r="E41" s="18">
        <v>70</v>
      </c>
      <c r="F41" s="18">
        <v>75</v>
      </c>
      <c r="G41" s="18">
        <v>17</v>
      </c>
      <c r="H41" s="18">
        <v>97</v>
      </c>
      <c r="I41" s="18">
        <v>98.2</v>
      </c>
      <c r="J41" s="18">
        <v>86.9</v>
      </c>
      <c r="K41" s="18">
        <v>170</v>
      </c>
      <c r="L41" s="18">
        <v>30.1</v>
      </c>
      <c r="M41" s="18" t="s">
        <v>118</v>
      </c>
      <c r="N41" s="18" t="s">
        <v>1082</v>
      </c>
    </row>
    <row r="42" spans="1:14">
      <c r="A42" s="18" t="s">
        <v>1122</v>
      </c>
      <c r="B42" s="18" t="s">
        <v>259</v>
      </c>
      <c r="C42" s="19">
        <v>46177</v>
      </c>
      <c r="D42" s="18">
        <v>150</v>
      </c>
      <c r="E42" s="18">
        <v>70</v>
      </c>
      <c r="F42" s="18">
        <v>75</v>
      </c>
      <c r="G42" s="18">
        <v>17</v>
      </c>
      <c r="H42" s="18">
        <v>97</v>
      </c>
      <c r="I42" s="18">
        <v>98.2</v>
      </c>
      <c r="J42" s="18">
        <v>88</v>
      </c>
      <c r="K42" s="18">
        <v>170</v>
      </c>
      <c r="L42" s="18">
        <v>30.4</v>
      </c>
      <c r="M42" s="18" t="s">
        <v>118</v>
      </c>
      <c r="N42" s="18" t="s">
        <v>1082</v>
      </c>
    </row>
    <row r="43" spans="1:14">
      <c r="A43" s="18" t="s">
        <v>1123</v>
      </c>
      <c r="B43" s="18" t="s">
        <v>259</v>
      </c>
      <c r="C43" s="19">
        <v>46087</v>
      </c>
      <c r="D43" s="18">
        <v>151</v>
      </c>
      <c r="E43" s="18">
        <v>70</v>
      </c>
      <c r="F43" s="18">
        <v>75</v>
      </c>
      <c r="G43" s="18">
        <v>17</v>
      </c>
      <c r="H43" s="18">
        <v>97</v>
      </c>
      <c r="I43" s="18">
        <v>98.2</v>
      </c>
      <c r="J43" s="18">
        <v>89.1</v>
      </c>
      <c r="K43" s="18">
        <v>170</v>
      </c>
      <c r="L43" s="18">
        <v>30.8</v>
      </c>
      <c r="M43" s="18" t="s">
        <v>118</v>
      </c>
      <c r="N43" s="18" t="s">
        <v>1082</v>
      </c>
    </row>
    <row r="44" spans="1:14">
      <c r="A44" s="18" t="s">
        <v>1124</v>
      </c>
      <c r="B44" s="18" t="s">
        <v>270</v>
      </c>
      <c r="C44" s="19">
        <v>46266</v>
      </c>
      <c r="D44" s="18">
        <v>152</v>
      </c>
      <c r="E44" s="18">
        <v>72</v>
      </c>
      <c r="F44" s="18">
        <v>76</v>
      </c>
      <c r="G44" s="18">
        <v>18</v>
      </c>
      <c r="H44" s="18">
        <v>98</v>
      </c>
      <c r="I44" s="18">
        <v>98.4</v>
      </c>
      <c r="J44" s="18">
        <v>93.9</v>
      </c>
      <c r="K44" s="18">
        <v>172</v>
      </c>
      <c r="L44" s="18">
        <v>31.7</v>
      </c>
      <c r="M44" s="18" t="s">
        <v>134</v>
      </c>
      <c r="N44" s="18" t="s">
        <v>1082</v>
      </c>
    </row>
    <row r="45" spans="1:14">
      <c r="A45" s="18" t="s">
        <v>1125</v>
      </c>
      <c r="B45" s="18" t="s">
        <v>270</v>
      </c>
      <c r="C45" s="19">
        <v>46176</v>
      </c>
      <c r="D45" s="18">
        <v>153</v>
      </c>
      <c r="E45" s="18">
        <v>72</v>
      </c>
      <c r="F45" s="18">
        <v>76</v>
      </c>
      <c r="G45" s="18">
        <v>18</v>
      </c>
      <c r="H45" s="18">
        <v>98</v>
      </c>
      <c r="I45" s="18">
        <v>98.4</v>
      </c>
      <c r="J45" s="18">
        <v>95</v>
      </c>
      <c r="K45" s="18">
        <v>172</v>
      </c>
      <c r="L45" s="18">
        <v>32.1</v>
      </c>
      <c r="M45" s="18" t="s">
        <v>134</v>
      </c>
      <c r="N45" s="18" t="s">
        <v>1082</v>
      </c>
    </row>
    <row r="46" spans="1:14">
      <c r="A46" s="18" t="s">
        <v>1126</v>
      </c>
      <c r="B46" s="18" t="s">
        <v>270</v>
      </c>
      <c r="C46" s="19">
        <v>46086</v>
      </c>
      <c r="D46" s="18">
        <v>154</v>
      </c>
      <c r="E46" s="18">
        <v>72</v>
      </c>
      <c r="F46" s="18">
        <v>76</v>
      </c>
      <c r="G46" s="18">
        <v>18</v>
      </c>
      <c r="H46" s="18">
        <v>98</v>
      </c>
      <c r="I46" s="18">
        <v>98.4</v>
      </c>
      <c r="J46" s="18">
        <v>96.1</v>
      </c>
      <c r="K46" s="18">
        <v>172</v>
      </c>
      <c r="L46" s="18">
        <v>32.5</v>
      </c>
      <c r="M46" s="18" t="s">
        <v>134</v>
      </c>
      <c r="N46" s="18" t="s">
        <v>1082</v>
      </c>
    </row>
    <row r="47" spans="1:14">
      <c r="A47" s="18" t="s">
        <v>1127</v>
      </c>
      <c r="B47" s="18" t="s">
        <v>281</v>
      </c>
      <c r="C47" s="19">
        <v>46265</v>
      </c>
      <c r="D47" s="18">
        <v>155</v>
      </c>
      <c r="E47" s="18">
        <v>74</v>
      </c>
      <c r="F47" s="18">
        <v>77</v>
      </c>
      <c r="G47" s="18">
        <v>14</v>
      </c>
      <c r="H47" s="18">
        <v>99</v>
      </c>
      <c r="I47" s="18">
        <v>97.6</v>
      </c>
      <c r="J47" s="18">
        <v>100.9</v>
      </c>
      <c r="K47" s="18">
        <v>178</v>
      </c>
      <c r="L47" s="18">
        <v>31.8</v>
      </c>
      <c r="M47" s="18" t="s">
        <v>149</v>
      </c>
      <c r="N47" s="18" t="s">
        <v>1082</v>
      </c>
    </row>
    <row r="48" spans="1:14">
      <c r="A48" s="18" t="s">
        <v>1128</v>
      </c>
      <c r="B48" s="18" t="s">
        <v>281</v>
      </c>
      <c r="C48" s="19">
        <v>46175</v>
      </c>
      <c r="D48" s="18">
        <v>156</v>
      </c>
      <c r="E48" s="18">
        <v>74</v>
      </c>
      <c r="F48" s="18">
        <v>77</v>
      </c>
      <c r="G48" s="18">
        <v>14</v>
      </c>
      <c r="H48" s="18">
        <v>99</v>
      </c>
      <c r="I48" s="18">
        <v>97.6</v>
      </c>
      <c r="J48" s="18">
        <v>102</v>
      </c>
      <c r="K48" s="18">
        <v>178</v>
      </c>
      <c r="L48" s="18">
        <v>32.200000000000003</v>
      </c>
      <c r="M48" s="18" t="s">
        <v>149</v>
      </c>
      <c r="N48" s="18" t="s">
        <v>1082</v>
      </c>
    </row>
    <row r="49" spans="1:14">
      <c r="A49" s="18" t="s">
        <v>1129</v>
      </c>
      <c r="B49" s="18" t="s">
        <v>281</v>
      </c>
      <c r="C49" s="19">
        <v>46085</v>
      </c>
      <c r="D49" s="18">
        <v>157</v>
      </c>
      <c r="E49" s="18">
        <v>74</v>
      </c>
      <c r="F49" s="18">
        <v>77</v>
      </c>
      <c r="G49" s="18">
        <v>14</v>
      </c>
      <c r="H49" s="18">
        <v>99</v>
      </c>
      <c r="I49" s="18">
        <v>97.6</v>
      </c>
      <c r="J49" s="18">
        <v>103.1</v>
      </c>
      <c r="K49" s="18">
        <v>178</v>
      </c>
      <c r="L49" s="18">
        <v>32.5</v>
      </c>
      <c r="M49" s="18" t="s">
        <v>149</v>
      </c>
      <c r="N49" s="18" t="s">
        <v>1082</v>
      </c>
    </row>
    <row r="50" spans="1:14">
      <c r="A50" s="18" t="s">
        <v>1130</v>
      </c>
      <c r="B50" s="18" t="s">
        <v>292</v>
      </c>
      <c r="C50" s="19">
        <v>46264</v>
      </c>
      <c r="D50" s="18">
        <v>110</v>
      </c>
      <c r="E50" s="18">
        <v>76</v>
      </c>
      <c r="F50" s="18">
        <v>78</v>
      </c>
      <c r="G50" s="18">
        <v>15</v>
      </c>
      <c r="H50" s="18">
        <v>96</v>
      </c>
      <c r="I50" s="18">
        <v>97.8</v>
      </c>
      <c r="J50" s="18">
        <v>107.9</v>
      </c>
      <c r="K50" s="18">
        <v>178</v>
      </c>
      <c r="L50" s="18">
        <v>34.1</v>
      </c>
      <c r="M50" s="18" t="s">
        <v>162</v>
      </c>
      <c r="N50" s="18" t="s">
        <v>1082</v>
      </c>
    </row>
    <row r="51" spans="1:14">
      <c r="A51" s="18" t="s">
        <v>1131</v>
      </c>
      <c r="B51" s="18" t="s">
        <v>292</v>
      </c>
      <c r="C51" s="19">
        <v>46174</v>
      </c>
      <c r="D51" s="18">
        <v>111</v>
      </c>
      <c r="E51" s="18">
        <v>76</v>
      </c>
      <c r="F51" s="18">
        <v>78</v>
      </c>
      <c r="G51" s="18">
        <v>15</v>
      </c>
      <c r="H51" s="18">
        <v>96</v>
      </c>
      <c r="I51" s="18">
        <v>97.8</v>
      </c>
      <c r="J51" s="18">
        <v>109</v>
      </c>
      <c r="K51" s="18">
        <v>178</v>
      </c>
      <c r="L51" s="18">
        <v>34.4</v>
      </c>
      <c r="M51" s="18" t="s">
        <v>162</v>
      </c>
      <c r="N51" s="18" t="s">
        <v>1082</v>
      </c>
    </row>
    <row r="52" spans="1:14">
      <c r="A52" s="18" t="s">
        <v>1132</v>
      </c>
      <c r="B52" s="18" t="s">
        <v>292</v>
      </c>
      <c r="C52" s="19">
        <v>46084</v>
      </c>
      <c r="D52" s="18">
        <v>112</v>
      </c>
      <c r="E52" s="18">
        <v>76</v>
      </c>
      <c r="F52" s="18">
        <v>78</v>
      </c>
      <c r="G52" s="18">
        <v>15</v>
      </c>
      <c r="H52" s="18">
        <v>96</v>
      </c>
      <c r="I52" s="18">
        <v>97.8</v>
      </c>
      <c r="J52" s="18">
        <v>110.1</v>
      </c>
      <c r="K52" s="18">
        <v>178</v>
      </c>
      <c r="L52" s="18">
        <v>34.700000000000003</v>
      </c>
      <c r="M52" s="18" t="s">
        <v>162</v>
      </c>
      <c r="N52" s="18" t="s">
        <v>1082</v>
      </c>
    </row>
    <row r="53" spans="1:14">
      <c r="A53" s="18" t="s">
        <v>1133</v>
      </c>
      <c r="B53" s="18" t="s">
        <v>303</v>
      </c>
      <c r="C53" s="19">
        <v>46263</v>
      </c>
      <c r="D53" s="18">
        <v>113</v>
      </c>
      <c r="E53" s="18">
        <v>78</v>
      </c>
      <c r="F53" s="18">
        <v>79</v>
      </c>
      <c r="G53" s="18">
        <v>16</v>
      </c>
      <c r="H53" s="18">
        <v>97</v>
      </c>
      <c r="I53" s="18">
        <v>98</v>
      </c>
      <c r="J53" s="18">
        <v>56.9</v>
      </c>
      <c r="K53" s="18">
        <v>186</v>
      </c>
      <c r="L53" s="18">
        <v>16.399999999999999</v>
      </c>
      <c r="M53" s="18" t="s">
        <v>176</v>
      </c>
      <c r="N53" s="18" t="s">
        <v>1082</v>
      </c>
    </row>
    <row r="54" spans="1:14">
      <c r="A54" s="18" t="s">
        <v>1134</v>
      </c>
      <c r="B54" s="18" t="s">
        <v>303</v>
      </c>
      <c r="C54" s="19">
        <v>46173</v>
      </c>
      <c r="D54" s="18">
        <v>114</v>
      </c>
      <c r="E54" s="18">
        <v>78</v>
      </c>
      <c r="F54" s="18">
        <v>79</v>
      </c>
      <c r="G54" s="18">
        <v>16</v>
      </c>
      <c r="H54" s="18">
        <v>97</v>
      </c>
      <c r="I54" s="18">
        <v>98</v>
      </c>
      <c r="J54" s="18">
        <v>58</v>
      </c>
      <c r="K54" s="18">
        <v>186</v>
      </c>
      <c r="L54" s="18">
        <v>16.8</v>
      </c>
      <c r="M54" s="18" t="s">
        <v>176</v>
      </c>
      <c r="N54" s="18" t="s">
        <v>1082</v>
      </c>
    </row>
    <row r="55" spans="1:14">
      <c r="A55" s="18" t="s">
        <v>1135</v>
      </c>
      <c r="B55" s="18" t="s">
        <v>303</v>
      </c>
      <c r="C55" s="19">
        <v>46083</v>
      </c>
      <c r="D55" s="18">
        <v>115</v>
      </c>
      <c r="E55" s="18">
        <v>78</v>
      </c>
      <c r="F55" s="18">
        <v>79</v>
      </c>
      <c r="G55" s="18">
        <v>16</v>
      </c>
      <c r="H55" s="18">
        <v>97</v>
      </c>
      <c r="I55" s="18">
        <v>98</v>
      </c>
      <c r="J55" s="18">
        <v>59.1</v>
      </c>
      <c r="K55" s="18">
        <v>186</v>
      </c>
      <c r="L55" s="18">
        <v>17.100000000000001</v>
      </c>
      <c r="M55" s="18" t="s">
        <v>176</v>
      </c>
      <c r="N55" s="18" t="s">
        <v>1082</v>
      </c>
    </row>
    <row r="56" spans="1:14">
      <c r="A56" s="18" t="s">
        <v>1136</v>
      </c>
      <c r="B56" s="18" t="s">
        <v>313</v>
      </c>
      <c r="C56" s="19">
        <v>46262</v>
      </c>
      <c r="D56" s="18">
        <v>116</v>
      </c>
      <c r="E56" s="18">
        <v>80</v>
      </c>
      <c r="F56" s="18">
        <v>80</v>
      </c>
      <c r="G56" s="18">
        <v>17</v>
      </c>
      <c r="H56" s="18">
        <v>98</v>
      </c>
      <c r="I56" s="18">
        <v>98.2</v>
      </c>
      <c r="J56" s="18">
        <v>63.9</v>
      </c>
      <c r="K56" s="18">
        <v>184</v>
      </c>
      <c r="L56" s="18">
        <v>18.899999999999999</v>
      </c>
      <c r="M56" s="18" t="s">
        <v>98</v>
      </c>
      <c r="N56" s="18" t="s">
        <v>1082</v>
      </c>
    </row>
    <row r="57" spans="1:14">
      <c r="A57" s="18" t="s">
        <v>1137</v>
      </c>
      <c r="B57" s="18" t="s">
        <v>313</v>
      </c>
      <c r="C57" s="19">
        <v>46172</v>
      </c>
      <c r="D57" s="18">
        <v>117</v>
      </c>
      <c r="E57" s="18">
        <v>80</v>
      </c>
      <c r="F57" s="18">
        <v>80</v>
      </c>
      <c r="G57" s="18">
        <v>17</v>
      </c>
      <c r="H57" s="18">
        <v>98</v>
      </c>
      <c r="I57" s="18">
        <v>98.2</v>
      </c>
      <c r="J57" s="18">
        <v>65</v>
      </c>
      <c r="K57" s="18">
        <v>184</v>
      </c>
      <c r="L57" s="18">
        <v>19.2</v>
      </c>
      <c r="M57" s="18" t="s">
        <v>98</v>
      </c>
      <c r="N57" s="18" t="s">
        <v>1082</v>
      </c>
    </row>
    <row r="58" spans="1:14">
      <c r="A58" s="18" t="s">
        <v>1138</v>
      </c>
      <c r="B58" s="18" t="s">
        <v>313</v>
      </c>
      <c r="C58" s="19">
        <v>46082</v>
      </c>
      <c r="D58" s="18">
        <v>118</v>
      </c>
      <c r="E58" s="18">
        <v>80</v>
      </c>
      <c r="F58" s="18">
        <v>80</v>
      </c>
      <c r="G58" s="18">
        <v>17</v>
      </c>
      <c r="H58" s="18">
        <v>98</v>
      </c>
      <c r="I58" s="18">
        <v>98.2</v>
      </c>
      <c r="J58" s="18">
        <v>66.099999999999994</v>
      </c>
      <c r="K58" s="18">
        <v>184</v>
      </c>
      <c r="L58" s="18">
        <v>19.5</v>
      </c>
      <c r="M58" s="18" t="s">
        <v>98</v>
      </c>
      <c r="N58" s="18" t="s">
        <v>1082</v>
      </c>
    </row>
    <row r="59" spans="1:14">
      <c r="A59" s="18" t="s">
        <v>1139</v>
      </c>
      <c r="B59" s="18" t="s">
        <v>324</v>
      </c>
      <c r="C59" s="19">
        <v>46261</v>
      </c>
      <c r="D59" s="18">
        <v>119</v>
      </c>
      <c r="E59" s="18">
        <v>82</v>
      </c>
      <c r="F59" s="18">
        <v>81</v>
      </c>
      <c r="G59" s="18">
        <v>18</v>
      </c>
      <c r="H59" s="18">
        <v>99</v>
      </c>
      <c r="I59" s="18">
        <v>98.4</v>
      </c>
      <c r="J59" s="18">
        <v>70.900000000000006</v>
      </c>
      <c r="K59" s="18">
        <v>169</v>
      </c>
      <c r="L59" s="18">
        <v>24.8</v>
      </c>
      <c r="M59" s="18" t="s">
        <v>118</v>
      </c>
      <c r="N59" s="18" t="s">
        <v>1082</v>
      </c>
    </row>
    <row r="60" spans="1:14">
      <c r="A60" s="18" t="s">
        <v>1140</v>
      </c>
      <c r="B60" s="18" t="s">
        <v>324</v>
      </c>
      <c r="C60" s="19">
        <v>46171</v>
      </c>
      <c r="D60" s="18">
        <v>120</v>
      </c>
      <c r="E60" s="18">
        <v>82</v>
      </c>
      <c r="F60" s="18">
        <v>81</v>
      </c>
      <c r="G60" s="18">
        <v>18</v>
      </c>
      <c r="H60" s="18">
        <v>99</v>
      </c>
      <c r="I60" s="18">
        <v>98.4</v>
      </c>
      <c r="J60" s="18">
        <v>72</v>
      </c>
      <c r="K60" s="18">
        <v>169</v>
      </c>
      <c r="L60" s="18">
        <v>25.2</v>
      </c>
      <c r="M60" s="18" t="s">
        <v>118</v>
      </c>
      <c r="N60" s="18" t="s">
        <v>1082</v>
      </c>
    </row>
    <row r="61" spans="1:14">
      <c r="A61" s="18" t="s">
        <v>1141</v>
      </c>
      <c r="B61" s="18" t="s">
        <v>324</v>
      </c>
      <c r="C61" s="19">
        <v>46081</v>
      </c>
      <c r="D61" s="18">
        <v>121</v>
      </c>
      <c r="E61" s="18">
        <v>82</v>
      </c>
      <c r="F61" s="18">
        <v>81</v>
      </c>
      <c r="G61" s="18">
        <v>18</v>
      </c>
      <c r="H61" s="18">
        <v>99</v>
      </c>
      <c r="I61" s="18">
        <v>98.4</v>
      </c>
      <c r="J61" s="18">
        <v>73.099999999999994</v>
      </c>
      <c r="K61" s="18">
        <v>169</v>
      </c>
      <c r="L61" s="18">
        <v>25.6</v>
      </c>
      <c r="M61" s="18" t="s">
        <v>118</v>
      </c>
      <c r="N61" s="18" t="s">
        <v>1082</v>
      </c>
    </row>
    <row r="62" spans="1:14">
      <c r="A62" s="18" t="s">
        <v>1142</v>
      </c>
      <c r="B62" s="18" t="s">
        <v>335</v>
      </c>
      <c r="C62" s="19">
        <v>46260</v>
      </c>
      <c r="D62" s="18">
        <v>122</v>
      </c>
      <c r="E62" s="18">
        <v>84</v>
      </c>
      <c r="F62" s="18">
        <v>62</v>
      </c>
      <c r="G62" s="18">
        <v>14</v>
      </c>
      <c r="H62" s="18">
        <v>96</v>
      </c>
      <c r="I62" s="18">
        <v>97.6</v>
      </c>
      <c r="J62" s="18">
        <v>77.900000000000006</v>
      </c>
      <c r="K62" s="18">
        <v>162</v>
      </c>
      <c r="L62" s="18">
        <v>29.7</v>
      </c>
      <c r="M62" s="18" t="s">
        <v>134</v>
      </c>
      <c r="N62" s="18" t="s">
        <v>1082</v>
      </c>
    </row>
    <row r="63" spans="1:14">
      <c r="A63" s="18" t="s">
        <v>1143</v>
      </c>
      <c r="B63" s="18" t="s">
        <v>335</v>
      </c>
      <c r="C63" s="19">
        <v>46170</v>
      </c>
      <c r="D63" s="18">
        <v>123</v>
      </c>
      <c r="E63" s="18">
        <v>84</v>
      </c>
      <c r="F63" s="18">
        <v>62</v>
      </c>
      <c r="G63" s="18">
        <v>14</v>
      </c>
      <c r="H63" s="18">
        <v>96</v>
      </c>
      <c r="I63" s="18">
        <v>97.6</v>
      </c>
      <c r="J63" s="18">
        <v>79</v>
      </c>
      <c r="K63" s="18">
        <v>162</v>
      </c>
      <c r="L63" s="18">
        <v>30.1</v>
      </c>
      <c r="M63" s="18" t="s">
        <v>134</v>
      </c>
      <c r="N63" s="18" t="s">
        <v>1082</v>
      </c>
    </row>
    <row r="64" spans="1:14">
      <c r="A64" s="18" t="s">
        <v>1144</v>
      </c>
      <c r="B64" s="18" t="s">
        <v>335</v>
      </c>
      <c r="C64" s="19">
        <v>46080</v>
      </c>
      <c r="D64" s="18">
        <v>124</v>
      </c>
      <c r="E64" s="18">
        <v>84</v>
      </c>
      <c r="F64" s="18">
        <v>62</v>
      </c>
      <c r="G64" s="18">
        <v>14</v>
      </c>
      <c r="H64" s="18">
        <v>96</v>
      </c>
      <c r="I64" s="18">
        <v>97.6</v>
      </c>
      <c r="J64" s="18">
        <v>80.099999999999994</v>
      </c>
      <c r="K64" s="18">
        <v>162</v>
      </c>
      <c r="L64" s="18">
        <v>30.5</v>
      </c>
      <c r="M64" s="18" t="s">
        <v>134</v>
      </c>
      <c r="N64" s="18" t="s">
        <v>1082</v>
      </c>
    </row>
    <row r="65" spans="1:14">
      <c r="A65" s="18" t="s">
        <v>1145</v>
      </c>
      <c r="B65" s="18" t="s">
        <v>342</v>
      </c>
      <c r="C65" s="19">
        <v>46259</v>
      </c>
      <c r="D65" s="18">
        <v>125</v>
      </c>
      <c r="E65" s="18">
        <v>86</v>
      </c>
      <c r="F65" s="18">
        <v>63</v>
      </c>
      <c r="G65" s="18">
        <v>15</v>
      </c>
      <c r="H65" s="18">
        <v>97</v>
      </c>
      <c r="I65" s="18">
        <v>97.8</v>
      </c>
      <c r="J65" s="18">
        <v>84.9</v>
      </c>
      <c r="K65" s="18">
        <v>177</v>
      </c>
      <c r="L65" s="18">
        <v>27.1</v>
      </c>
      <c r="M65" s="18" t="s">
        <v>149</v>
      </c>
      <c r="N65" s="18" t="s">
        <v>1082</v>
      </c>
    </row>
    <row r="66" spans="1:14">
      <c r="A66" s="18" t="s">
        <v>1146</v>
      </c>
      <c r="B66" s="18" t="s">
        <v>342</v>
      </c>
      <c r="C66" s="19">
        <v>46169</v>
      </c>
      <c r="D66" s="18">
        <v>126</v>
      </c>
      <c r="E66" s="18">
        <v>86</v>
      </c>
      <c r="F66" s="18">
        <v>63</v>
      </c>
      <c r="G66" s="18">
        <v>15</v>
      </c>
      <c r="H66" s="18">
        <v>97</v>
      </c>
      <c r="I66" s="18">
        <v>97.8</v>
      </c>
      <c r="J66" s="18">
        <v>86</v>
      </c>
      <c r="K66" s="18">
        <v>177</v>
      </c>
      <c r="L66" s="18">
        <v>27.5</v>
      </c>
      <c r="M66" s="18" t="s">
        <v>149</v>
      </c>
      <c r="N66" s="18" t="s">
        <v>1082</v>
      </c>
    </row>
    <row r="67" spans="1:14">
      <c r="A67" s="18" t="s">
        <v>1147</v>
      </c>
      <c r="B67" s="18" t="s">
        <v>342</v>
      </c>
      <c r="C67" s="19">
        <v>46079</v>
      </c>
      <c r="D67" s="18">
        <v>127</v>
      </c>
      <c r="E67" s="18">
        <v>86</v>
      </c>
      <c r="F67" s="18">
        <v>63</v>
      </c>
      <c r="G67" s="18">
        <v>15</v>
      </c>
      <c r="H67" s="18">
        <v>97</v>
      </c>
      <c r="I67" s="18">
        <v>97.8</v>
      </c>
      <c r="J67" s="18">
        <v>87.1</v>
      </c>
      <c r="K67" s="18">
        <v>177</v>
      </c>
      <c r="L67" s="18">
        <v>27.8</v>
      </c>
      <c r="M67" s="18" t="s">
        <v>149</v>
      </c>
      <c r="N67" s="18" t="s">
        <v>1082</v>
      </c>
    </row>
    <row r="68" spans="1:14">
      <c r="A68" s="18" t="s">
        <v>1148</v>
      </c>
      <c r="B68" s="18" t="s">
        <v>350</v>
      </c>
      <c r="C68" s="19">
        <v>46258</v>
      </c>
      <c r="D68" s="18">
        <v>128</v>
      </c>
      <c r="E68" s="18">
        <v>88</v>
      </c>
      <c r="F68" s="18">
        <v>64</v>
      </c>
      <c r="G68" s="18">
        <v>16</v>
      </c>
      <c r="H68" s="18">
        <v>98</v>
      </c>
      <c r="I68" s="18">
        <v>98</v>
      </c>
      <c r="J68" s="18">
        <v>91.9</v>
      </c>
      <c r="K68" s="18">
        <v>168</v>
      </c>
      <c r="L68" s="18">
        <v>32.6</v>
      </c>
      <c r="M68" s="18" t="s">
        <v>162</v>
      </c>
      <c r="N68" s="18" t="s">
        <v>1082</v>
      </c>
    </row>
    <row r="69" spans="1:14">
      <c r="A69" s="18" t="s">
        <v>1149</v>
      </c>
      <c r="B69" s="18" t="s">
        <v>350</v>
      </c>
      <c r="C69" s="19">
        <v>46168</v>
      </c>
      <c r="D69" s="18">
        <v>129</v>
      </c>
      <c r="E69" s="18">
        <v>88</v>
      </c>
      <c r="F69" s="18">
        <v>64</v>
      </c>
      <c r="G69" s="18">
        <v>16</v>
      </c>
      <c r="H69" s="18">
        <v>98</v>
      </c>
      <c r="I69" s="18">
        <v>98</v>
      </c>
      <c r="J69" s="18">
        <v>93</v>
      </c>
      <c r="K69" s="18">
        <v>168</v>
      </c>
      <c r="L69" s="18">
        <v>33</v>
      </c>
      <c r="M69" s="18" t="s">
        <v>162</v>
      </c>
      <c r="N69" s="18" t="s">
        <v>1082</v>
      </c>
    </row>
    <row r="70" spans="1:14">
      <c r="A70" s="18" t="s">
        <v>1150</v>
      </c>
      <c r="B70" s="18" t="s">
        <v>350</v>
      </c>
      <c r="C70" s="19">
        <v>46078</v>
      </c>
      <c r="D70" s="18">
        <v>130</v>
      </c>
      <c r="E70" s="18">
        <v>88</v>
      </c>
      <c r="F70" s="18">
        <v>64</v>
      </c>
      <c r="G70" s="18">
        <v>16</v>
      </c>
      <c r="H70" s="18">
        <v>98</v>
      </c>
      <c r="I70" s="18">
        <v>98</v>
      </c>
      <c r="J70" s="18">
        <v>94.1</v>
      </c>
      <c r="K70" s="18">
        <v>168</v>
      </c>
      <c r="L70" s="18">
        <v>33.299999999999997</v>
      </c>
      <c r="M70" s="18" t="s">
        <v>162</v>
      </c>
      <c r="N70" s="18" t="s">
        <v>1082</v>
      </c>
    </row>
    <row r="71" spans="1:14">
      <c r="A71" s="18" t="s">
        <v>1151</v>
      </c>
      <c r="B71" s="18" t="s">
        <v>356</v>
      </c>
      <c r="C71" s="19">
        <v>46257</v>
      </c>
      <c r="D71" s="18">
        <v>131</v>
      </c>
      <c r="E71" s="18">
        <v>90</v>
      </c>
      <c r="F71" s="18">
        <v>65</v>
      </c>
      <c r="G71" s="18">
        <v>17</v>
      </c>
      <c r="H71" s="18">
        <v>99</v>
      </c>
      <c r="I71" s="18">
        <v>98.2</v>
      </c>
      <c r="J71" s="18">
        <v>98.9</v>
      </c>
      <c r="K71" s="18">
        <v>185</v>
      </c>
      <c r="L71" s="18">
        <v>28.9</v>
      </c>
      <c r="M71" s="18" t="s">
        <v>176</v>
      </c>
      <c r="N71" s="18" t="s">
        <v>1082</v>
      </c>
    </row>
    <row r="72" spans="1:14">
      <c r="A72" s="18" t="s">
        <v>1152</v>
      </c>
      <c r="B72" s="18" t="s">
        <v>356</v>
      </c>
      <c r="C72" s="19">
        <v>46167</v>
      </c>
      <c r="D72" s="18">
        <v>132</v>
      </c>
      <c r="E72" s="18">
        <v>90</v>
      </c>
      <c r="F72" s="18">
        <v>65</v>
      </c>
      <c r="G72" s="18">
        <v>17</v>
      </c>
      <c r="H72" s="18">
        <v>99</v>
      </c>
      <c r="I72" s="18">
        <v>98.2</v>
      </c>
      <c r="J72" s="18">
        <v>100</v>
      </c>
      <c r="K72" s="18">
        <v>185</v>
      </c>
      <c r="L72" s="18">
        <v>29.2</v>
      </c>
      <c r="M72" s="18" t="s">
        <v>176</v>
      </c>
      <c r="N72" s="18" t="s">
        <v>1082</v>
      </c>
    </row>
    <row r="73" spans="1:14">
      <c r="A73" s="18" t="s">
        <v>1153</v>
      </c>
      <c r="B73" s="18" t="s">
        <v>356</v>
      </c>
      <c r="C73" s="19">
        <v>46077</v>
      </c>
      <c r="D73" s="18">
        <v>133</v>
      </c>
      <c r="E73" s="18">
        <v>90</v>
      </c>
      <c r="F73" s="18">
        <v>65</v>
      </c>
      <c r="G73" s="18">
        <v>17</v>
      </c>
      <c r="H73" s="18">
        <v>99</v>
      </c>
      <c r="I73" s="18">
        <v>98.2</v>
      </c>
      <c r="J73" s="18">
        <v>101.1</v>
      </c>
      <c r="K73" s="18">
        <v>185</v>
      </c>
      <c r="L73" s="18">
        <v>29.5</v>
      </c>
      <c r="M73" s="18" t="s">
        <v>176</v>
      </c>
      <c r="N73" s="18" t="s">
        <v>1082</v>
      </c>
    </row>
    <row r="74" spans="1:14">
      <c r="A74" s="18" t="s">
        <v>1154</v>
      </c>
      <c r="B74" s="18" t="s">
        <v>364</v>
      </c>
      <c r="C74" s="19">
        <v>46256</v>
      </c>
      <c r="D74" s="18">
        <v>134</v>
      </c>
      <c r="E74" s="18">
        <v>68</v>
      </c>
      <c r="F74" s="18">
        <v>66</v>
      </c>
      <c r="G74" s="18">
        <v>18</v>
      </c>
      <c r="H74" s="18">
        <v>96</v>
      </c>
      <c r="I74" s="18">
        <v>98.4</v>
      </c>
      <c r="J74" s="18">
        <v>105.9</v>
      </c>
      <c r="K74" s="18">
        <v>174</v>
      </c>
      <c r="L74" s="18">
        <v>35</v>
      </c>
      <c r="M74" s="18" t="s">
        <v>98</v>
      </c>
      <c r="N74" s="18" t="s">
        <v>1082</v>
      </c>
    </row>
    <row r="75" spans="1:14">
      <c r="A75" s="18" t="s">
        <v>1155</v>
      </c>
      <c r="B75" s="18" t="s">
        <v>364</v>
      </c>
      <c r="C75" s="19">
        <v>46166</v>
      </c>
      <c r="D75" s="18">
        <v>135</v>
      </c>
      <c r="E75" s="18">
        <v>68</v>
      </c>
      <c r="F75" s="18">
        <v>66</v>
      </c>
      <c r="G75" s="18">
        <v>18</v>
      </c>
      <c r="H75" s="18">
        <v>96</v>
      </c>
      <c r="I75" s="18">
        <v>98.4</v>
      </c>
      <c r="J75" s="18">
        <v>107</v>
      </c>
      <c r="K75" s="18">
        <v>174</v>
      </c>
      <c r="L75" s="18">
        <v>35.299999999999997</v>
      </c>
      <c r="M75" s="18" t="s">
        <v>98</v>
      </c>
      <c r="N75" s="18" t="s">
        <v>1082</v>
      </c>
    </row>
    <row r="76" spans="1:14">
      <c r="A76" s="18" t="s">
        <v>1156</v>
      </c>
      <c r="B76" s="18" t="s">
        <v>364</v>
      </c>
      <c r="C76" s="19">
        <v>46076</v>
      </c>
      <c r="D76" s="18">
        <v>136</v>
      </c>
      <c r="E76" s="18">
        <v>68</v>
      </c>
      <c r="F76" s="18">
        <v>66</v>
      </c>
      <c r="G76" s="18">
        <v>18</v>
      </c>
      <c r="H76" s="18">
        <v>96</v>
      </c>
      <c r="I76" s="18">
        <v>98.4</v>
      </c>
      <c r="J76" s="18">
        <v>108.1</v>
      </c>
      <c r="K76" s="18">
        <v>174</v>
      </c>
      <c r="L76" s="18">
        <v>35.700000000000003</v>
      </c>
      <c r="M76" s="18" t="s">
        <v>98</v>
      </c>
      <c r="N76" s="18" t="s">
        <v>1082</v>
      </c>
    </row>
    <row r="77" spans="1:14">
      <c r="A77" s="18" t="s">
        <v>1157</v>
      </c>
      <c r="B77" s="18" t="s">
        <v>371</v>
      </c>
      <c r="C77" s="19">
        <v>46255</v>
      </c>
      <c r="D77" s="18">
        <v>137</v>
      </c>
      <c r="E77" s="18">
        <v>70</v>
      </c>
      <c r="F77" s="18">
        <v>67</v>
      </c>
      <c r="G77" s="18">
        <v>14</v>
      </c>
      <c r="H77" s="18">
        <v>97</v>
      </c>
      <c r="I77" s="18">
        <v>97.6</v>
      </c>
      <c r="J77" s="18">
        <v>54.9</v>
      </c>
      <c r="K77" s="18">
        <v>168</v>
      </c>
      <c r="L77" s="18">
        <v>19.5</v>
      </c>
      <c r="M77" s="18" t="s">
        <v>118</v>
      </c>
      <c r="N77" s="18" t="s">
        <v>1082</v>
      </c>
    </row>
    <row r="78" spans="1:14">
      <c r="A78" s="18" t="s">
        <v>1158</v>
      </c>
      <c r="B78" s="18" t="s">
        <v>371</v>
      </c>
      <c r="C78" s="19">
        <v>46165</v>
      </c>
      <c r="D78" s="18">
        <v>138</v>
      </c>
      <c r="E78" s="18">
        <v>70</v>
      </c>
      <c r="F78" s="18">
        <v>67</v>
      </c>
      <c r="G78" s="18">
        <v>14</v>
      </c>
      <c r="H78" s="18">
        <v>97</v>
      </c>
      <c r="I78" s="18">
        <v>97.6</v>
      </c>
      <c r="J78" s="18">
        <v>56</v>
      </c>
      <c r="K78" s="18">
        <v>168</v>
      </c>
      <c r="L78" s="18">
        <v>19.8</v>
      </c>
      <c r="M78" s="18" t="s">
        <v>118</v>
      </c>
      <c r="N78" s="18" t="s">
        <v>1082</v>
      </c>
    </row>
    <row r="79" spans="1:14">
      <c r="A79" s="18" t="s">
        <v>1159</v>
      </c>
      <c r="B79" s="18" t="s">
        <v>371</v>
      </c>
      <c r="C79" s="19">
        <v>46075</v>
      </c>
      <c r="D79" s="18">
        <v>139</v>
      </c>
      <c r="E79" s="18">
        <v>70</v>
      </c>
      <c r="F79" s="18">
        <v>67</v>
      </c>
      <c r="G79" s="18">
        <v>14</v>
      </c>
      <c r="H79" s="18">
        <v>97</v>
      </c>
      <c r="I79" s="18">
        <v>97.6</v>
      </c>
      <c r="J79" s="18">
        <v>57.1</v>
      </c>
      <c r="K79" s="18">
        <v>168</v>
      </c>
      <c r="L79" s="18">
        <v>20.2</v>
      </c>
      <c r="M79" s="18" t="s">
        <v>118</v>
      </c>
      <c r="N79" s="18" t="s">
        <v>1082</v>
      </c>
    </row>
    <row r="80" spans="1:14">
      <c r="A80" s="18" t="s">
        <v>1160</v>
      </c>
      <c r="B80" s="18" t="s">
        <v>379</v>
      </c>
      <c r="C80" s="19">
        <v>46254</v>
      </c>
      <c r="D80" s="18">
        <v>140</v>
      </c>
      <c r="E80" s="18">
        <v>72</v>
      </c>
      <c r="F80" s="18">
        <v>68</v>
      </c>
      <c r="G80" s="18">
        <v>15</v>
      </c>
      <c r="H80" s="18">
        <v>98</v>
      </c>
      <c r="I80" s="18">
        <v>97.8</v>
      </c>
      <c r="J80" s="18">
        <v>61.9</v>
      </c>
      <c r="K80" s="18">
        <v>180</v>
      </c>
      <c r="L80" s="18">
        <v>19.100000000000001</v>
      </c>
      <c r="M80" s="18" t="s">
        <v>134</v>
      </c>
      <c r="N80" s="18" t="s">
        <v>1082</v>
      </c>
    </row>
    <row r="81" spans="1:14">
      <c r="A81" s="18" t="s">
        <v>1161</v>
      </c>
      <c r="B81" s="18" t="s">
        <v>379</v>
      </c>
      <c r="C81" s="19">
        <v>46164</v>
      </c>
      <c r="D81" s="18">
        <v>141</v>
      </c>
      <c r="E81" s="18">
        <v>72</v>
      </c>
      <c r="F81" s="18">
        <v>68</v>
      </c>
      <c r="G81" s="18">
        <v>15</v>
      </c>
      <c r="H81" s="18">
        <v>98</v>
      </c>
      <c r="I81" s="18">
        <v>97.8</v>
      </c>
      <c r="J81" s="18">
        <v>63</v>
      </c>
      <c r="K81" s="18">
        <v>180</v>
      </c>
      <c r="L81" s="18">
        <v>19.399999999999999</v>
      </c>
      <c r="M81" s="18" t="s">
        <v>134</v>
      </c>
      <c r="N81" s="18" t="s">
        <v>1082</v>
      </c>
    </row>
    <row r="82" spans="1:14">
      <c r="A82" s="18" t="s">
        <v>1162</v>
      </c>
      <c r="B82" s="18" t="s">
        <v>379</v>
      </c>
      <c r="C82" s="19">
        <v>46074</v>
      </c>
      <c r="D82" s="18">
        <v>142</v>
      </c>
      <c r="E82" s="18">
        <v>72</v>
      </c>
      <c r="F82" s="18">
        <v>68</v>
      </c>
      <c r="G82" s="18">
        <v>15</v>
      </c>
      <c r="H82" s="18">
        <v>98</v>
      </c>
      <c r="I82" s="18">
        <v>97.8</v>
      </c>
      <c r="J82" s="18">
        <v>64.099999999999994</v>
      </c>
      <c r="K82" s="18">
        <v>180</v>
      </c>
      <c r="L82" s="18">
        <v>19.8</v>
      </c>
      <c r="M82" s="18" t="s">
        <v>134</v>
      </c>
      <c r="N82" s="18" t="s">
        <v>1082</v>
      </c>
    </row>
    <row r="83" spans="1:14">
      <c r="A83" s="18" t="s">
        <v>1163</v>
      </c>
      <c r="B83" s="18" t="s">
        <v>386</v>
      </c>
      <c r="C83" s="19">
        <v>46253</v>
      </c>
      <c r="D83" s="18">
        <v>143</v>
      </c>
      <c r="E83" s="18">
        <v>74</v>
      </c>
      <c r="F83" s="18">
        <v>69</v>
      </c>
      <c r="G83" s="18">
        <v>16</v>
      </c>
      <c r="H83" s="18">
        <v>99</v>
      </c>
      <c r="I83" s="18">
        <v>98</v>
      </c>
      <c r="J83" s="18">
        <v>68.900000000000006</v>
      </c>
      <c r="K83" s="18">
        <v>176</v>
      </c>
      <c r="L83" s="18">
        <v>22.2</v>
      </c>
      <c r="M83" s="18" t="s">
        <v>149</v>
      </c>
      <c r="N83" s="18" t="s">
        <v>1082</v>
      </c>
    </row>
    <row r="84" spans="1:14">
      <c r="A84" s="18" t="s">
        <v>1164</v>
      </c>
      <c r="B84" s="18" t="s">
        <v>386</v>
      </c>
      <c r="C84" s="19">
        <v>46163</v>
      </c>
      <c r="D84" s="18">
        <v>144</v>
      </c>
      <c r="E84" s="18">
        <v>74</v>
      </c>
      <c r="F84" s="18">
        <v>69</v>
      </c>
      <c r="G84" s="18">
        <v>16</v>
      </c>
      <c r="H84" s="18">
        <v>99</v>
      </c>
      <c r="I84" s="18">
        <v>98</v>
      </c>
      <c r="J84" s="18">
        <v>70</v>
      </c>
      <c r="K84" s="18">
        <v>176</v>
      </c>
      <c r="L84" s="18">
        <v>22.6</v>
      </c>
      <c r="M84" s="18" t="s">
        <v>149</v>
      </c>
      <c r="N84" s="18" t="s">
        <v>1082</v>
      </c>
    </row>
    <row r="85" spans="1:14">
      <c r="A85" s="18" t="s">
        <v>1165</v>
      </c>
      <c r="B85" s="18" t="s">
        <v>386</v>
      </c>
      <c r="C85" s="19">
        <v>46073</v>
      </c>
      <c r="D85" s="18">
        <v>145</v>
      </c>
      <c r="E85" s="18">
        <v>74</v>
      </c>
      <c r="F85" s="18">
        <v>69</v>
      </c>
      <c r="G85" s="18">
        <v>16</v>
      </c>
      <c r="H85" s="18">
        <v>99</v>
      </c>
      <c r="I85" s="18">
        <v>98</v>
      </c>
      <c r="J85" s="18">
        <v>71.099999999999994</v>
      </c>
      <c r="K85" s="18">
        <v>176</v>
      </c>
      <c r="L85" s="18">
        <v>23</v>
      </c>
      <c r="M85" s="18" t="s">
        <v>149</v>
      </c>
      <c r="N85" s="18" t="s">
        <v>1082</v>
      </c>
    </row>
    <row r="86" spans="1:14">
      <c r="A86" s="18" t="s">
        <v>1166</v>
      </c>
      <c r="B86" s="18" t="s">
        <v>393</v>
      </c>
      <c r="C86" s="19">
        <v>46252</v>
      </c>
      <c r="D86" s="18">
        <v>146</v>
      </c>
      <c r="E86" s="18">
        <v>76</v>
      </c>
      <c r="F86" s="18">
        <v>70</v>
      </c>
      <c r="G86" s="18">
        <v>17</v>
      </c>
      <c r="H86" s="18">
        <v>96</v>
      </c>
      <c r="I86" s="18">
        <v>98.2</v>
      </c>
      <c r="J86" s="18">
        <v>75.900000000000006</v>
      </c>
      <c r="K86" s="18">
        <v>158</v>
      </c>
      <c r="L86" s="18">
        <v>30.4</v>
      </c>
      <c r="M86" s="18" t="s">
        <v>162</v>
      </c>
      <c r="N86" s="18" t="s">
        <v>1082</v>
      </c>
    </row>
    <row r="87" spans="1:14">
      <c r="A87" s="18" t="s">
        <v>1167</v>
      </c>
      <c r="B87" s="18" t="s">
        <v>393</v>
      </c>
      <c r="C87" s="19">
        <v>46162</v>
      </c>
      <c r="D87" s="18">
        <v>147</v>
      </c>
      <c r="E87" s="18">
        <v>76</v>
      </c>
      <c r="F87" s="18">
        <v>70</v>
      </c>
      <c r="G87" s="18">
        <v>17</v>
      </c>
      <c r="H87" s="18">
        <v>96</v>
      </c>
      <c r="I87" s="18">
        <v>98.2</v>
      </c>
      <c r="J87" s="18">
        <v>77</v>
      </c>
      <c r="K87" s="18">
        <v>158</v>
      </c>
      <c r="L87" s="18">
        <v>30.8</v>
      </c>
      <c r="M87" s="18" t="s">
        <v>162</v>
      </c>
      <c r="N87" s="18" t="s">
        <v>1082</v>
      </c>
    </row>
    <row r="88" spans="1:14">
      <c r="A88" s="18" t="s">
        <v>1168</v>
      </c>
      <c r="B88" s="18" t="s">
        <v>393</v>
      </c>
      <c r="C88" s="19">
        <v>46072</v>
      </c>
      <c r="D88" s="18">
        <v>148</v>
      </c>
      <c r="E88" s="18">
        <v>76</v>
      </c>
      <c r="F88" s="18">
        <v>70</v>
      </c>
      <c r="G88" s="18">
        <v>17</v>
      </c>
      <c r="H88" s="18">
        <v>96</v>
      </c>
      <c r="I88" s="18">
        <v>98.2</v>
      </c>
      <c r="J88" s="18">
        <v>78.099999999999994</v>
      </c>
      <c r="K88" s="18">
        <v>158</v>
      </c>
      <c r="L88" s="18">
        <v>31.3</v>
      </c>
      <c r="M88" s="18" t="s">
        <v>162</v>
      </c>
      <c r="N88" s="18" t="s">
        <v>1082</v>
      </c>
    </row>
    <row r="89" spans="1:14">
      <c r="A89" s="18" t="s">
        <v>1169</v>
      </c>
      <c r="B89" s="18" t="s">
        <v>400</v>
      </c>
      <c r="C89" s="19">
        <v>46251</v>
      </c>
      <c r="D89" s="18">
        <v>149</v>
      </c>
      <c r="E89" s="18">
        <v>78</v>
      </c>
      <c r="F89" s="18">
        <v>71</v>
      </c>
      <c r="G89" s="18">
        <v>18</v>
      </c>
      <c r="H89" s="18">
        <v>97</v>
      </c>
      <c r="I89" s="18">
        <v>98.4</v>
      </c>
      <c r="J89" s="18">
        <v>82.9</v>
      </c>
      <c r="K89" s="18">
        <v>184</v>
      </c>
      <c r="L89" s="18">
        <v>24.5</v>
      </c>
      <c r="M89" s="18" t="s">
        <v>176</v>
      </c>
      <c r="N89" s="18" t="s">
        <v>1082</v>
      </c>
    </row>
    <row r="90" spans="1:14">
      <c r="A90" s="18" t="s">
        <v>1170</v>
      </c>
      <c r="B90" s="18" t="s">
        <v>400</v>
      </c>
      <c r="C90" s="19">
        <v>46161</v>
      </c>
      <c r="D90" s="18">
        <v>150</v>
      </c>
      <c r="E90" s="18">
        <v>78</v>
      </c>
      <c r="F90" s="18">
        <v>71</v>
      </c>
      <c r="G90" s="18">
        <v>18</v>
      </c>
      <c r="H90" s="18">
        <v>97</v>
      </c>
      <c r="I90" s="18">
        <v>98.4</v>
      </c>
      <c r="J90" s="18">
        <v>84</v>
      </c>
      <c r="K90" s="18">
        <v>184</v>
      </c>
      <c r="L90" s="18">
        <v>24.8</v>
      </c>
      <c r="M90" s="18" t="s">
        <v>176</v>
      </c>
      <c r="N90" s="18" t="s">
        <v>1082</v>
      </c>
    </row>
    <row r="91" spans="1:14">
      <c r="A91" s="18" t="s">
        <v>1171</v>
      </c>
      <c r="B91" s="18" t="s">
        <v>400</v>
      </c>
      <c r="C91" s="19">
        <v>46071</v>
      </c>
      <c r="D91" s="18">
        <v>151</v>
      </c>
      <c r="E91" s="18">
        <v>78</v>
      </c>
      <c r="F91" s="18">
        <v>71</v>
      </c>
      <c r="G91" s="18">
        <v>18</v>
      </c>
      <c r="H91" s="18">
        <v>97</v>
      </c>
      <c r="I91" s="18">
        <v>98.4</v>
      </c>
      <c r="J91" s="18">
        <v>85.1</v>
      </c>
      <c r="K91" s="18">
        <v>184</v>
      </c>
      <c r="L91" s="18">
        <v>25.1</v>
      </c>
      <c r="M91" s="18" t="s">
        <v>176</v>
      </c>
      <c r="N91" s="18" t="s">
        <v>1082</v>
      </c>
    </row>
    <row r="92" spans="1:14">
      <c r="A92" s="18" t="s">
        <v>1172</v>
      </c>
      <c r="B92" s="18" t="s">
        <v>408</v>
      </c>
      <c r="C92" s="19">
        <v>46250</v>
      </c>
      <c r="D92" s="18">
        <v>152</v>
      </c>
      <c r="E92" s="18">
        <v>80</v>
      </c>
      <c r="F92" s="18">
        <v>72</v>
      </c>
      <c r="G92" s="18">
        <v>14</v>
      </c>
      <c r="H92" s="18">
        <v>98</v>
      </c>
      <c r="I92" s="18">
        <v>97.6</v>
      </c>
      <c r="J92" s="18">
        <v>89.9</v>
      </c>
      <c r="K92" s="18">
        <v>164</v>
      </c>
      <c r="L92" s="18">
        <v>33.4</v>
      </c>
      <c r="M92" s="18" t="s">
        <v>98</v>
      </c>
      <c r="N92" s="18" t="s">
        <v>1082</v>
      </c>
    </row>
    <row r="93" spans="1:14">
      <c r="A93" s="18" t="s">
        <v>1173</v>
      </c>
      <c r="B93" s="18" t="s">
        <v>408</v>
      </c>
      <c r="C93" s="19">
        <v>46160</v>
      </c>
      <c r="D93" s="18">
        <v>153</v>
      </c>
      <c r="E93" s="18">
        <v>80</v>
      </c>
      <c r="F93" s="18">
        <v>72</v>
      </c>
      <c r="G93" s="18">
        <v>14</v>
      </c>
      <c r="H93" s="18">
        <v>98</v>
      </c>
      <c r="I93" s="18">
        <v>97.6</v>
      </c>
      <c r="J93" s="18">
        <v>91</v>
      </c>
      <c r="K93" s="18">
        <v>164</v>
      </c>
      <c r="L93" s="18">
        <v>33.799999999999997</v>
      </c>
      <c r="M93" s="18" t="s">
        <v>98</v>
      </c>
      <c r="N93" s="18" t="s">
        <v>1082</v>
      </c>
    </row>
    <row r="94" spans="1:14">
      <c r="A94" s="18" t="s">
        <v>1174</v>
      </c>
      <c r="B94" s="18" t="s">
        <v>408</v>
      </c>
      <c r="C94" s="19">
        <v>46070</v>
      </c>
      <c r="D94" s="18">
        <v>154</v>
      </c>
      <c r="E94" s="18">
        <v>80</v>
      </c>
      <c r="F94" s="18">
        <v>72</v>
      </c>
      <c r="G94" s="18">
        <v>14</v>
      </c>
      <c r="H94" s="18">
        <v>98</v>
      </c>
      <c r="I94" s="18">
        <v>97.6</v>
      </c>
      <c r="J94" s="18">
        <v>92.1</v>
      </c>
      <c r="K94" s="18">
        <v>164</v>
      </c>
      <c r="L94" s="18">
        <v>34.200000000000003</v>
      </c>
      <c r="M94" s="18" t="s">
        <v>98</v>
      </c>
      <c r="N94" s="18" t="s">
        <v>1082</v>
      </c>
    </row>
    <row r="95" spans="1:14">
      <c r="A95" s="18" t="s">
        <v>1175</v>
      </c>
      <c r="B95" s="18" t="s">
        <v>415</v>
      </c>
      <c r="C95" s="19">
        <v>46249</v>
      </c>
      <c r="D95" s="18">
        <v>155</v>
      </c>
      <c r="E95" s="18">
        <v>82</v>
      </c>
      <c r="F95" s="18">
        <v>73</v>
      </c>
      <c r="G95" s="18">
        <v>15</v>
      </c>
      <c r="H95" s="18">
        <v>99</v>
      </c>
      <c r="I95" s="18">
        <v>97.8</v>
      </c>
      <c r="J95" s="18">
        <v>96.9</v>
      </c>
      <c r="K95" s="18">
        <v>192</v>
      </c>
      <c r="L95" s="18">
        <v>26.3</v>
      </c>
      <c r="M95" s="18" t="s">
        <v>118</v>
      </c>
      <c r="N95" s="18" t="s">
        <v>1082</v>
      </c>
    </row>
    <row r="96" spans="1:14">
      <c r="A96" s="18" t="s">
        <v>1176</v>
      </c>
      <c r="B96" s="18" t="s">
        <v>415</v>
      </c>
      <c r="C96" s="19">
        <v>46159</v>
      </c>
      <c r="D96" s="18">
        <v>156</v>
      </c>
      <c r="E96" s="18">
        <v>82</v>
      </c>
      <c r="F96" s="18">
        <v>73</v>
      </c>
      <c r="G96" s="18">
        <v>15</v>
      </c>
      <c r="H96" s="18">
        <v>99</v>
      </c>
      <c r="I96" s="18">
        <v>97.8</v>
      </c>
      <c r="J96" s="18">
        <v>98</v>
      </c>
      <c r="K96" s="18">
        <v>192</v>
      </c>
      <c r="L96" s="18">
        <v>26.6</v>
      </c>
      <c r="M96" s="18" t="s">
        <v>118</v>
      </c>
      <c r="N96" s="18" t="s">
        <v>1082</v>
      </c>
    </row>
    <row r="97" spans="1:14">
      <c r="A97" s="18" t="s">
        <v>1177</v>
      </c>
      <c r="B97" s="18" t="s">
        <v>415</v>
      </c>
      <c r="C97" s="19">
        <v>46069</v>
      </c>
      <c r="D97" s="18">
        <v>157</v>
      </c>
      <c r="E97" s="18">
        <v>82</v>
      </c>
      <c r="F97" s="18">
        <v>73</v>
      </c>
      <c r="G97" s="18">
        <v>15</v>
      </c>
      <c r="H97" s="18">
        <v>99</v>
      </c>
      <c r="I97" s="18">
        <v>97.8</v>
      </c>
      <c r="J97" s="18">
        <v>99.1</v>
      </c>
      <c r="K97" s="18">
        <v>192</v>
      </c>
      <c r="L97" s="18">
        <v>26.9</v>
      </c>
      <c r="M97" s="18" t="s">
        <v>118</v>
      </c>
      <c r="N97" s="18" t="s">
        <v>1082</v>
      </c>
    </row>
    <row r="98" spans="1:14">
      <c r="A98" s="18" t="s">
        <v>1178</v>
      </c>
      <c r="B98" s="18" t="s">
        <v>423</v>
      </c>
      <c r="C98" s="19">
        <v>46248</v>
      </c>
      <c r="D98" s="18">
        <v>110</v>
      </c>
      <c r="E98" s="18">
        <v>84</v>
      </c>
      <c r="F98" s="18">
        <v>74</v>
      </c>
      <c r="G98" s="18">
        <v>16</v>
      </c>
      <c r="H98" s="18">
        <v>96</v>
      </c>
      <c r="I98" s="18">
        <v>98</v>
      </c>
      <c r="J98" s="18">
        <v>103.9</v>
      </c>
      <c r="K98" s="18">
        <v>170</v>
      </c>
      <c r="L98" s="18">
        <v>36</v>
      </c>
      <c r="M98" s="18" t="s">
        <v>134</v>
      </c>
      <c r="N98" s="18" t="s">
        <v>1082</v>
      </c>
    </row>
    <row r="99" spans="1:14">
      <c r="A99" s="18" t="s">
        <v>1179</v>
      </c>
      <c r="B99" s="18" t="s">
        <v>423</v>
      </c>
      <c r="C99" s="19">
        <v>46158</v>
      </c>
      <c r="D99" s="18">
        <v>111</v>
      </c>
      <c r="E99" s="18">
        <v>84</v>
      </c>
      <c r="F99" s="18">
        <v>74</v>
      </c>
      <c r="G99" s="18">
        <v>16</v>
      </c>
      <c r="H99" s="18">
        <v>96</v>
      </c>
      <c r="I99" s="18">
        <v>98</v>
      </c>
      <c r="J99" s="18">
        <v>105</v>
      </c>
      <c r="K99" s="18">
        <v>170</v>
      </c>
      <c r="L99" s="18">
        <v>36.299999999999997</v>
      </c>
      <c r="M99" s="18" t="s">
        <v>134</v>
      </c>
      <c r="N99" s="18" t="s">
        <v>1082</v>
      </c>
    </row>
    <row r="100" spans="1:14">
      <c r="A100" s="18" t="s">
        <v>1180</v>
      </c>
      <c r="B100" s="18" t="s">
        <v>423</v>
      </c>
      <c r="C100" s="19">
        <v>46068</v>
      </c>
      <c r="D100" s="18">
        <v>112</v>
      </c>
      <c r="E100" s="18">
        <v>84</v>
      </c>
      <c r="F100" s="18">
        <v>74</v>
      </c>
      <c r="G100" s="18">
        <v>16</v>
      </c>
      <c r="H100" s="18">
        <v>96</v>
      </c>
      <c r="I100" s="18">
        <v>98</v>
      </c>
      <c r="J100" s="18">
        <v>106.1</v>
      </c>
      <c r="K100" s="18">
        <v>170</v>
      </c>
      <c r="L100" s="18">
        <v>36.700000000000003</v>
      </c>
      <c r="M100" s="18" t="s">
        <v>134</v>
      </c>
      <c r="N100" s="18" t="s">
        <v>1082</v>
      </c>
    </row>
    <row r="101" spans="1:14">
      <c r="A101" s="18" t="s">
        <v>1181</v>
      </c>
      <c r="B101" s="18" t="s">
        <v>430</v>
      </c>
      <c r="C101" s="19">
        <v>46247</v>
      </c>
      <c r="D101" s="18">
        <v>113</v>
      </c>
      <c r="E101" s="18">
        <v>86</v>
      </c>
      <c r="F101" s="18">
        <v>75</v>
      </c>
      <c r="G101" s="18">
        <v>17</v>
      </c>
      <c r="H101" s="18">
        <v>97</v>
      </c>
      <c r="I101" s="18">
        <v>98.2</v>
      </c>
      <c r="J101" s="18">
        <v>110.9</v>
      </c>
      <c r="K101" s="18">
        <v>175</v>
      </c>
      <c r="L101" s="18">
        <v>36.200000000000003</v>
      </c>
      <c r="M101" s="18" t="s">
        <v>149</v>
      </c>
      <c r="N101" s="18" t="s">
        <v>1082</v>
      </c>
    </row>
    <row r="102" spans="1:14">
      <c r="A102" s="18" t="s">
        <v>1182</v>
      </c>
      <c r="B102" s="18" t="s">
        <v>430</v>
      </c>
      <c r="C102" s="19">
        <v>46157</v>
      </c>
      <c r="D102" s="18">
        <v>114</v>
      </c>
      <c r="E102" s="18">
        <v>86</v>
      </c>
      <c r="F102" s="18">
        <v>75</v>
      </c>
      <c r="G102" s="18">
        <v>17</v>
      </c>
      <c r="H102" s="18">
        <v>97</v>
      </c>
      <c r="I102" s="18">
        <v>98.2</v>
      </c>
      <c r="J102" s="18">
        <v>112</v>
      </c>
      <c r="K102" s="18">
        <v>175</v>
      </c>
      <c r="L102" s="18">
        <v>36.6</v>
      </c>
      <c r="M102" s="18" t="s">
        <v>149</v>
      </c>
      <c r="N102" s="18" t="s">
        <v>1082</v>
      </c>
    </row>
    <row r="103" spans="1:14">
      <c r="A103" s="18" t="s">
        <v>1183</v>
      </c>
      <c r="B103" s="18" t="s">
        <v>430</v>
      </c>
      <c r="C103" s="19">
        <v>46067</v>
      </c>
      <c r="D103" s="18">
        <v>115</v>
      </c>
      <c r="E103" s="18">
        <v>86</v>
      </c>
      <c r="F103" s="18">
        <v>75</v>
      </c>
      <c r="G103" s="18">
        <v>17</v>
      </c>
      <c r="H103" s="18">
        <v>97</v>
      </c>
      <c r="I103" s="18">
        <v>98.2</v>
      </c>
      <c r="J103" s="18">
        <v>113.1</v>
      </c>
      <c r="K103" s="18">
        <v>175</v>
      </c>
      <c r="L103" s="18">
        <v>36.9</v>
      </c>
      <c r="M103" s="18" t="s">
        <v>149</v>
      </c>
      <c r="N103" s="18" t="s">
        <v>1082</v>
      </c>
    </row>
    <row r="104" spans="1:14">
      <c r="A104" s="18" t="s">
        <v>1184</v>
      </c>
      <c r="B104" s="18" t="s">
        <v>438</v>
      </c>
      <c r="C104" s="19">
        <v>46246</v>
      </c>
      <c r="D104" s="18">
        <v>116</v>
      </c>
      <c r="E104" s="18">
        <v>88</v>
      </c>
      <c r="F104" s="18">
        <v>76</v>
      </c>
      <c r="G104" s="18">
        <v>18</v>
      </c>
      <c r="H104" s="18">
        <v>98</v>
      </c>
      <c r="I104" s="18">
        <v>98.4</v>
      </c>
      <c r="J104" s="18">
        <v>59.9</v>
      </c>
      <c r="K104" s="18">
        <v>176</v>
      </c>
      <c r="L104" s="18">
        <v>19.3</v>
      </c>
      <c r="M104" s="18" t="s">
        <v>162</v>
      </c>
      <c r="N104" s="18" t="s">
        <v>1082</v>
      </c>
    </row>
    <row r="105" spans="1:14">
      <c r="A105" s="18" t="s">
        <v>1185</v>
      </c>
      <c r="B105" s="18" t="s">
        <v>438</v>
      </c>
      <c r="C105" s="19">
        <v>46156</v>
      </c>
      <c r="D105" s="18">
        <v>117</v>
      </c>
      <c r="E105" s="18">
        <v>88</v>
      </c>
      <c r="F105" s="18">
        <v>76</v>
      </c>
      <c r="G105" s="18">
        <v>18</v>
      </c>
      <c r="H105" s="18">
        <v>98</v>
      </c>
      <c r="I105" s="18">
        <v>98.4</v>
      </c>
      <c r="J105" s="18">
        <v>61</v>
      </c>
      <c r="K105" s="18">
        <v>176</v>
      </c>
      <c r="L105" s="18">
        <v>19.7</v>
      </c>
      <c r="M105" s="18" t="s">
        <v>162</v>
      </c>
      <c r="N105" s="18" t="s">
        <v>1082</v>
      </c>
    </row>
    <row r="106" spans="1:14">
      <c r="A106" s="18" t="s">
        <v>1186</v>
      </c>
      <c r="B106" s="18" t="s">
        <v>438</v>
      </c>
      <c r="C106" s="19">
        <v>46066</v>
      </c>
      <c r="D106" s="18">
        <v>118</v>
      </c>
      <c r="E106" s="18">
        <v>88</v>
      </c>
      <c r="F106" s="18">
        <v>76</v>
      </c>
      <c r="G106" s="18">
        <v>18</v>
      </c>
      <c r="H106" s="18">
        <v>98</v>
      </c>
      <c r="I106" s="18">
        <v>98.4</v>
      </c>
      <c r="J106" s="18">
        <v>62.1</v>
      </c>
      <c r="K106" s="18">
        <v>176</v>
      </c>
      <c r="L106" s="18">
        <v>20</v>
      </c>
      <c r="M106" s="18" t="s">
        <v>162</v>
      </c>
      <c r="N106" s="18" t="s">
        <v>1082</v>
      </c>
    </row>
    <row r="107" spans="1:14">
      <c r="A107" s="18" t="s">
        <v>1187</v>
      </c>
      <c r="B107" s="18" t="s">
        <v>445</v>
      </c>
      <c r="C107" s="19">
        <v>46245</v>
      </c>
      <c r="D107" s="18">
        <v>119</v>
      </c>
      <c r="E107" s="18">
        <v>90</v>
      </c>
      <c r="F107" s="18">
        <v>77</v>
      </c>
      <c r="G107" s="18">
        <v>14</v>
      </c>
      <c r="H107" s="18">
        <v>99</v>
      </c>
      <c r="I107" s="18">
        <v>97.6</v>
      </c>
      <c r="J107" s="18">
        <v>66.900000000000006</v>
      </c>
      <c r="K107" s="18">
        <v>183</v>
      </c>
      <c r="L107" s="18">
        <v>20</v>
      </c>
      <c r="M107" s="18" t="s">
        <v>176</v>
      </c>
      <c r="N107" s="18" t="s">
        <v>1082</v>
      </c>
    </row>
    <row r="108" spans="1:14">
      <c r="A108" s="18" t="s">
        <v>1188</v>
      </c>
      <c r="B108" s="18" t="s">
        <v>445</v>
      </c>
      <c r="C108" s="19">
        <v>46155</v>
      </c>
      <c r="D108" s="18">
        <v>120</v>
      </c>
      <c r="E108" s="18">
        <v>90</v>
      </c>
      <c r="F108" s="18">
        <v>77</v>
      </c>
      <c r="G108" s="18">
        <v>14</v>
      </c>
      <c r="H108" s="18">
        <v>99</v>
      </c>
      <c r="I108" s="18">
        <v>97.6</v>
      </c>
      <c r="J108" s="18">
        <v>68</v>
      </c>
      <c r="K108" s="18">
        <v>183</v>
      </c>
      <c r="L108" s="18">
        <v>20.3</v>
      </c>
      <c r="M108" s="18" t="s">
        <v>176</v>
      </c>
      <c r="N108" s="18" t="s">
        <v>1082</v>
      </c>
    </row>
    <row r="109" spans="1:14">
      <c r="A109" s="18" t="s">
        <v>1189</v>
      </c>
      <c r="B109" s="18" t="s">
        <v>445</v>
      </c>
      <c r="C109" s="19">
        <v>46065</v>
      </c>
      <c r="D109" s="18">
        <v>121</v>
      </c>
      <c r="E109" s="18">
        <v>90</v>
      </c>
      <c r="F109" s="18">
        <v>77</v>
      </c>
      <c r="G109" s="18">
        <v>14</v>
      </c>
      <c r="H109" s="18">
        <v>99</v>
      </c>
      <c r="I109" s="18">
        <v>97.6</v>
      </c>
      <c r="J109" s="18">
        <v>69.099999999999994</v>
      </c>
      <c r="K109" s="18">
        <v>183</v>
      </c>
      <c r="L109" s="18">
        <v>20.6</v>
      </c>
      <c r="M109" s="18" t="s">
        <v>176</v>
      </c>
      <c r="N109" s="18" t="s">
        <v>1082</v>
      </c>
    </row>
    <row r="110" spans="1:14">
      <c r="A110" s="18" t="s">
        <v>1190</v>
      </c>
      <c r="B110" s="18" t="s">
        <v>453</v>
      </c>
      <c r="C110" s="19">
        <v>46244</v>
      </c>
      <c r="D110" s="18">
        <v>122</v>
      </c>
      <c r="E110" s="18">
        <v>68</v>
      </c>
      <c r="F110" s="18">
        <v>78</v>
      </c>
      <c r="G110" s="18">
        <v>15</v>
      </c>
      <c r="H110" s="18">
        <v>96</v>
      </c>
      <c r="I110" s="18">
        <v>97.8</v>
      </c>
      <c r="J110" s="18">
        <v>73.900000000000006</v>
      </c>
      <c r="K110" s="18">
        <v>182</v>
      </c>
      <c r="L110" s="18">
        <v>22.3</v>
      </c>
      <c r="M110" s="18" t="s">
        <v>98</v>
      </c>
      <c r="N110" s="18" t="s">
        <v>1082</v>
      </c>
    </row>
    <row r="111" spans="1:14">
      <c r="A111" s="18" t="s">
        <v>1191</v>
      </c>
      <c r="B111" s="18" t="s">
        <v>453</v>
      </c>
      <c r="C111" s="19">
        <v>46154</v>
      </c>
      <c r="D111" s="18">
        <v>123</v>
      </c>
      <c r="E111" s="18">
        <v>68</v>
      </c>
      <c r="F111" s="18">
        <v>78</v>
      </c>
      <c r="G111" s="18">
        <v>15</v>
      </c>
      <c r="H111" s="18">
        <v>96</v>
      </c>
      <c r="I111" s="18">
        <v>97.8</v>
      </c>
      <c r="J111" s="18">
        <v>75</v>
      </c>
      <c r="K111" s="18">
        <v>182</v>
      </c>
      <c r="L111" s="18">
        <v>22.6</v>
      </c>
      <c r="M111" s="18" t="s">
        <v>98</v>
      </c>
      <c r="N111" s="18" t="s">
        <v>1082</v>
      </c>
    </row>
    <row r="112" spans="1:14">
      <c r="A112" s="18" t="s">
        <v>1192</v>
      </c>
      <c r="B112" s="18" t="s">
        <v>453</v>
      </c>
      <c r="C112" s="19">
        <v>46064</v>
      </c>
      <c r="D112" s="18">
        <v>124</v>
      </c>
      <c r="E112" s="18">
        <v>68</v>
      </c>
      <c r="F112" s="18">
        <v>78</v>
      </c>
      <c r="G112" s="18">
        <v>15</v>
      </c>
      <c r="H112" s="18">
        <v>96</v>
      </c>
      <c r="I112" s="18">
        <v>97.8</v>
      </c>
      <c r="J112" s="18">
        <v>76.099999999999994</v>
      </c>
      <c r="K112" s="18">
        <v>182</v>
      </c>
      <c r="L112" s="18">
        <v>23</v>
      </c>
      <c r="M112" s="18" t="s">
        <v>98</v>
      </c>
      <c r="N112" s="18" t="s">
        <v>1082</v>
      </c>
    </row>
    <row r="113" spans="1:14">
      <c r="A113" s="18" t="s">
        <v>1193</v>
      </c>
      <c r="B113" s="18" t="s">
        <v>460</v>
      </c>
      <c r="C113" s="19">
        <v>46243</v>
      </c>
      <c r="D113" s="18">
        <v>125</v>
      </c>
      <c r="E113" s="18">
        <v>70</v>
      </c>
      <c r="F113" s="18">
        <v>79</v>
      </c>
      <c r="G113" s="18">
        <v>16</v>
      </c>
      <c r="H113" s="18">
        <v>97</v>
      </c>
      <c r="I113" s="18">
        <v>98</v>
      </c>
      <c r="J113" s="18">
        <v>80.900000000000006</v>
      </c>
      <c r="K113" s="18">
        <v>191</v>
      </c>
      <c r="L113" s="18">
        <v>22.2</v>
      </c>
      <c r="M113" s="18" t="s">
        <v>118</v>
      </c>
      <c r="N113" s="18" t="s">
        <v>1082</v>
      </c>
    </row>
    <row r="114" spans="1:14">
      <c r="A114" s="18" t="s">
        <v>1194</v>
      </c>
      <c r="B114" s="18" t="s">
        <v>460</v>
      </c>
      <c r="C114" s="19">
        <v>46153</v>
      </c>
      <c r="D114" s="18">
        <v>126</v>
      </c>
      <c r="E114" s="18">
        <v>70</v>
      </c>
      <c r="F114" s="18">
        <v>79</v>
      </c>
      <c r="G114" s="18">
        <v>16</v>
      </c>
      <c r="H114" s="18">
        <v>97</v>
      </c>
      <c r="I114" s="18">
        <v>98</v>
      </c>
      <c r="J114" s="18">
        <v>82</v>
      </c>
      <c r="K114" s="18">
        <v>191</v>
      </c>
      <c r="L114" s="18">
        <v>22.5</v>
      </c>
      <c r="M114" s="18" t="s">
        <v>118</v>
      </c>
      <c r="N114" s="18" t="s">
        <v>1082</v>
      </c>
    </row>
    <row r="115" spans="1:14">
      <c r="A115" s="18" t="s">
        <v>1195</v>
      </c>
      <c r="B115" s="18" t="s">
        <v>460</v>
      </c>
      <c r="C115" s="19">
        <v>46063</v>
      </c>
      <c r="D115" s="18">
        <v>127</v>
      </c>
      <c r="E115" s="18">
        <v>70</v>
      </c>
      <c r="F115" s="18">
        <v>79</v>
      </c>
      <c r="G115" s="18">
        <v>16</v>
      </c>
      <c r="H115" s="18">
        <v>97</v>
      </c>
      <c r="I115" s="18">
        <v>98</v>
      </c>
      <c r="J115" s="18">
        <v>83.1</v>
      </c>
      <c r="K115" s="18">
        <v>191</v>
      </c>
      <c r="L115" s="18">
        <v>22.8</v>
      </c>
      <c r="M115" s="18" t="s">
        <v>118</v>
      </c>
      <c r="N115" s="18" t="s">
        <v>1082</v>
      </c>
    </row>
    <row r="116" spans="1:14">
      <c r="A116" s="18" t="s">
        <v>1196</v>
      </c>
      <c r="B116" s="18" t="s">
        <v>468</v>
      </c>
      <c r="C116" s="19">
        <v>46242</v>
      </c>
      <c r="D116" s="18">
        <v>128</v>
      </c>
      <c r="E116" s="18">
        <v>72</v>
      </c>
      <c r="F116" s="18">
        <v>80</v>
      </c>
      <c r="G116" s="18">
        <v>17</v>
      </c>
      <c r="H116" s="18">
        <v>98</v>
      </c>
      <c r="I116" s="18">
        <v>98.2</v>
      </c>
      <c r="J116" s="18">
        <v>87.9</v>
      </c>
      <c r="K116" s="18">
        <v>160</v>
      </c>
      <c r="L116" s="18">
        <v>34.299999999999997</v>
      </c>
      <c r="M116" s="18" t="s">
        <v>134</v>
      </c>
      <c r="N116" s="18" t="s">
        <v>1082</v>
      </c>
    </row>
    <row r="117" spans="1:14">
      <c r="A117" s="18" t="s">
        <v>1197</v>
      </c>
      <c r="B117" s="18" t="s">
        <v>468</v>
      </c>
      <c r="C117" s="19">
        <v>46152</v>
      </c>
      <c r="D117" s="18">
        <v>129</v>
      </c>
      <c r="E117" s="18">
        <v>72</v>
      </c>
      <c r="F117" s="18">
        <v>80</v>
      </c>
      <c r="G117" s="18">
        <v>17</v>
      </c>
      <c r="H117" s="18">
        <v>98</v>
      </c>
      <c r="I117" s="18">
        <v>98.2</v>
      </c>
      <c r="J117" s="18">
        <v>89</v>
      </c>
      <c r="K117" s="18">
        <v>160</v>
      </c>
      <c r="L117" s="18">
        <v>34.799999999999997</v>
      </c>
      <c r="M117" s="18" t="s">
        <v>134</v>
      </c>
      <c r="N117" s="18" t="s">
        <v>1082</v>
      </c>
    </row>
    <row r="118" spans="1:14">
      <c r="A118" s="18" t="s">
        <v>1198</v>
      </c>
      <c r="B118" s="18" t="s">
        <v>468</v>
      </c>
      <c r="C118" s="19">
        <v>46062</v>
      </c>
      <c r="D118" s="18">
        <v>130</v>
      </c>
      <c r="E118" s="18">
        <v>72</v>
      </c>
      <c r="F118" s="18">
        <v>80</v>
      </c>
      <c r="G118" s="18">
        <v>17</v>
      </c>
      <c r="H118" s="18">
        <v>98</v>
      </c>
      <c r="I118" s="18">
        <v>98.2</v>
      </c>
      <c r="J118" s="18">
        <v>90.1</v>
      </c>
      <c r="K118" s="18">
        <v>160</v>
      </c>
      <c r="L118" s="18">
        <v>35.200000000000003</v>
      </c>
      <c r="M118" s="18" t="s">
        <v>134</v>
      </c>
      <c r="N118" s="18" t="s">
        <v>1082</v>
      </c>
    </row>
    <row r="119" spans="1:14">
      <c r="A119" s="18" t="s">
        <v>1199</v>
      </c>
      <c r="B119" s="18" t="s">
        <v>475</v>
      </c>
      <c r="C119" s="19">
        <v>46241</v>
      </c>
      <c r="D119" s="18">
        <v>131</v>
      </c>
      <c r="E119" s="18">
        <v>74</v>
      </c>
      <c r="F119" s="18">
        <v>81</v>
      </c>
      <c r="G119" s="18">
        <v>18</v>
      </c>
      <c r="H119" s="18">
        <v>99</v>
      </c>
      <c r="I119" s="18">
        <v>98.4</v>
      </c>
      <c r="J119" s="18">
        <v>94.9</v>
      </c>
      <c r="K119" s="18">
        <v>174</v>
      </c>
      <c r="L119" s="18">
        <v>31.3</v>
      </c>
      <c r="M119" s="18" t="s">
        <v>149</v>
      </c>
      <c r="N119" s="18" t="s">
        <v>1082</v>
      </c>
    </row>
    <row r="120" spans="1:14">
      <c r="A120" s="18" t="s">
        <v>1200</v>
      </c>
      <c r="B120" s="18" t="s">
        <v>475</v>
      </c>
      <c r="C120" s="19">
        <v>46151</v>
      </c>
      <c r="D120" s="18">
        <v>132</v>
      </c>
      <c r="E120" s="18">
        <v>74</v>
      </c>
      <c r="F120" s="18">
        <v>81</v>
      </c>
      <c r="G120" s="18">
        <v>18</v>
      </c>
      <c r="H120" s="18">
        <v>99</v>
      </c>
      <c r="I120" s="18">
        <v>98.4</v>
      </c>
      <c r="J120" s="18">
        <v>96</v>
      </c>
      <c r="K120" s="18">
        <v>174</v>
      </c>
      <c r="L120" s="18">
        <v>31.7</v>
      </c>
      <c r="M120" s="18" t="s">
        <v>149</v>
      </c>
      <c r="N120" s="18" t="s">
        <v>1082</v>
      </c>
    </row>
    <row r="121" spans="1:14">
      <c r="A121" s="18" t="s">
        <v>1201</v>
      </c>
      <c r="B121" s="18" t="s">
        <v>475</v>
      </c>
      <c r="C121" s="19">
        <v>46061</v>
      </c>
      <c r="D121" s="18">
        <v>133</v>
      </c>
      <c r="E121" s="18">
        <v>74</v>
      </c>
      <c r="F121" s="18">
        <v>81</v>
      </c>
      <c r="G121" s="18">
        <v>18</v>
      </c>
      <c r="H121" s="18">
        <v>99</v>
      </c>
      <c r="I121" s="18">
        <v>98.4</v>
      </c>
      <c r="J121" s="18">
        <v>97.1</v>
      </c>
      <c r="K121" s="18">
        <v>174</v>
      </c>
      <c r="L121" s="18">
        <v>32.1</v>
      </c>
      <c r="M121" s="18" t="s">
        <v>149</v>
      </c>
      <c r="N121" s="18" t="s">
        <v>1082</v>
      </c>
    </row>
    <row r="122" spans="1:14">
      <c r="A122" s="18" t="s">
        <v>1202</v>
      </c>
      <c r="B122" s="18" t="s">
        <v>483</v>
      </c>
      <c r="C122" s="19">
        <v>46240</v>
      </c>
      <c r="D122" s="18">
        <v>134</v>
      </c>
      <c r="E122" s="18">
        <v>76</v>
      </c>
      <c r="F122" s="18">
        <v>62</v>
      </c>
      <c r="G122" s="18">
        <v>14</v>
      </c>
      <c r="H122" s="18">
        <v>96</v>
      </c>
      <c r="I122" s="18">
        <v>97.6</v>
      </c>
      <c r="J122" s="18">
        <v>101.9</v>
      </c>
      <c r="K122" s="18">
        <v>166</v>
      </c>
      <c r="L122" s="18">
        <v>37</v>
      </c>
      <c r="M122" s="18" t="s">
        <v>162</v>
      </c>
      <c r="N122" s="18" t="s">
        <v>1082</v>
      </c>
    </row>
    <row r="123" spans="1:14">
      <c r="A123" s="18" t="s">
        <v>1203</v>
      </c>
      <c r="B123" s="18" t="s">
        <v>483</v>
      </c>
      <c r="C123" s="19">
        <v>46150</v>
      </c>
      <c r="D123" s="18">
        <v>135</v>
      </c>
      <c r="E123" s="18">
        <v>76</v>
      </c>
      <c r="F123" s="18">
        <v>62</v>
      </c>
      <c r="G123" s="18">
        <v>14</v>
      </c>
      <c r="H123" s="18">
        <v>96</v>
      </c>
      <c r="I123" s="18">
        <v>97.6</v>
      </c>
      <c r="J123" s="18">
        <v>103</v>
      </c>
      <c r="K123" s="18">
        <v>166</v>
      </c>
      <c r="L123" s="18">
        <v>37.4</v>
      </c>
      <c r="M123" s="18" t="s">
        <v>162</v>
      </c>
      <c r="N123" s="18" t="s">
        <v>1082</v>
      </c>
    </row>
    <row r="124" spans="1:14">
      <c r="A124" s="18" t="s">
        <v>1204</v>
      </c>
      <c r="B124" s="18" t="s">
        <v>483</v>
      </c>
      <c r="C124" s="19">
        <v>46060</v>
      </c>
      <c r="D124" s="18">
        <v>136</v>
      </c>
      <c r="E124" s="18">
        <v>76</v>
      </c>
      <c r="F124" s="18">
        <v>62</v>
      </c>
      <c r="G124" s="18">
        <v>14</v>
      </c>
      <c r="H124" s="18">
        <v>96</v>
      </c>
      <c r="I124" s="18">
        <v>97.6</v>
      </c>
      <c r="J124" s="18">
        <v>104.1</v>
      </c>
      <c r="K124" s="18">
        <v>166</v>
      </c>
      <c r="L124" s="18">
        <v>37.799999999999997</v>
      </c>
      <c r="M124" s="18" t="s">
        <v>162</v>
      </c>
      <c r="N124" s="18" t="s">
        <v>1082</v>
      </c>
    </row>
    <row r="125" spans="1:14">
      <c r="A125" s="18" t="s">
        <v>1205</v>
      </c>
      <c r="B125" s="18" t="s">
        <v>491</v>
      </c>
      <c r="C125" s="19">
        <v>46239</v>
      </c>
      <c r="D125" s="18">
        <v>137</v>
      </c>
      <c r="E125" s="18">
        <v>78</v>
      </c>
      <c r="F125" s="18">
        <v>63</v>
      </c>
      <c r="G125" s="18">
        <v>15</v>
      </c>
      <c r="H125" s="18">
        <v>97</v>
      </c>
      <c r="I125" s="18">
        <v>97.8</v>
      </c>
      <c r="J125" s="18">
        <v>108.9</v>
      </c>
      <c r="K125" s="18">
        <v>182</v>
      </c>
      <c r="L125" s="18">
        <v>32.9</v>
      </c>
      <c r="M125" s="18" t="s">
        <v>176</v>
      </c>
      <c r="N125" s="18" t="s">
        <v>1082</v>
      </c>
    </row>
    <row r="126" spans="1:14">
      <c r="A126" s="18" t="s">
        <v>1206</v>
      </c>
      <c r="B126" s="18" t="s">
        <v>491</v>
      </c>
      <c r="C126" s="19">
        <v>46149</v>
      </c>
      <c r="D126" s="18">
        <v>138</v>
      </c>
      <c r="E126" s="18">
        <v>78</v>
      </c>
      <c r="F126" s="18">
        <v>63</v>
      </c>
      <c r="G126" s="18">
        <v>15</v>
      </c>
      <c r="H126" s="18">
        <v>97</v>
      </c>
      <c r="I126" s="18">
        <v>97.8</v>
      </c>
      <c r="J126" s="18">
        <v>110</v>
      </c>
      <c r="K126" s="18">
        <v>182</v>
      </c>
      <c r="L126" s="18">
        <v>33.200000000000003</v>
      </c>
      <c r="M126" s="18" t="s">
        <v>176</v>
      </c>
      <c r="N126" s="18" t="s">
        <v>1082</v>
      </c>
    </row>
    <row r="127" spans="1:14">
      <c r="A127" s="18" t="s">
        <v>1207</v>
      </c>
      <c r="B127" s="18" t="s">
        <v>491</v>
      </c>
      <c r="C127" s="19">
        <v>46059</v>
      </c>
      <c r="D127" s="18">
        <v>139</v>
      </c>
      <c r="E127" s="18">
        <v>78</v>
      </c>
      <c r="F127" s="18">
        <v>63</v>
      </c>
      <c r="G127" s="18">
        <v>15</v>
      </c>
      <c r="H127" s="18">
        <v>97</v>
      </c>
      <c r="I127" s="18">
        <v>97.8</v>
      </c>
      <c r="J127" s="18">
        <v>111.1</v>
      </c>
      <c r="K127" s="18">
        <v>182</v>
      </c>
      <c r="L127" s="18">
        <v>33.5</v>
      </c>
      <c r="M127" s="18" t="s">
        <v>176</v>
      </c>
      <c r="N127" s="18" t="s">
        <v>1082</v>
      </c>
    </row>
    <row r="128" spans="1:14">
      <c r="A128" s="18" t="s">
        <v>1208</v>
      </c>
      <c r="B128" s="18" t="s">
        <v>499</v>
      </c>
      <c r="C128" s="19">
        <v>46238</v>
      </c>
      <c r="D128" s="18">
        <v>140</v>
      </c>
      <c r="E128" s="18">
        <v>80</v>
      </c>
      <c r="F128" s="18">
        <v>64</v>
      </c>
      <c r="G128" s="18">
        <v>16</v>
      </c>
      <c r="H128" s="18">
        <v>98</v>
      </c>
      <c r="I128" s="18">
        <v>98</v>
      </c>
      <c r="J128" s="18">
        <v>57.9</v>
      </c>
      <c r="K128" s="18">
        <v>172</v>
      </c>
      <c r="L128" s="18">
        <v>19.600000000000001</v>
      </c>
      <c r="M128" s="18" t="s">
        <v>98</v>
      </c>
      <c r="N128" s="18" t="s">
        <v>1082</v>
      </c>
    </row>
    <row r="129" spans="1:14">
      <c r="A129" s="18" t="s">
        <v>1209</v>
      </c>
      <c r="B129" s="18" t="s">
        <v>499</v>
      </c>
      <c r="C129" s="19">
        <v>46148</v>
      </c>
      <c r="D129" s="18">
        <v>141</v>
      </c>
      <c r="E129" s="18">
        <v>80</v>
      </c>
      <c r="F129" s="18">
        <v>64</v>
      </c>
      <c r="G129" s="18">
        <v>16</v>
      </c>
      <c r="H129" s="18">
        <v>98</v>
      </c>
      <c r="I129" s="18">
        <v>98</v>
      </c>
      <c r="J129" s="18">
        <v>59</v>
      </c>
      <c r="K129" s="18">
        <v>172</v>
      </c>
      <c r="L129" s="18">
        <v>19.899999999999999</v>
      </c>
      <c r="M129" s="18" t="s">
        <v>98</v>
      </c>
      <c r="N129" s="18" t="s">
        <v>1082</v>
      </c>
    </row>
    <row r="130" spans="1:14">
      <c r="A130" s="18" t="s">
        <v>1210</v>
      </c>
      <c r="B130" s="18" t="s">
        <v>499</v>
      </c>
      <c r="C130" s="19">
        <v>46058</v>
      </c>
      <c r="D130" s="18">
        <v>142</v>
      </c>
      <c r="E130" s="18">
        <v>80</v>
      </c>
      <c r="F130" s="18">
        <v>64</v>
      </c>
      <c r="G130" s="18">
        <v>16</v>
      </c>
      <c r="H130" s="18">
        <v>98</v>
      </c>
      <c r="I130" s="18">
        <v>98</v>
      </c>
      <c r="J130" s="18">
        <v>60.1</v>
      </c>
      <c r="K130" s="18">
        <v>172</v>
      </c>
      <c r="L130" s="18">
        <v>20.3</v>
      </c>
      <c r="M130" s="18" t="s">
        <v>98</v>
      </c>
      <c r="N130" s="18" t="s">
        <v>1082</v>
      </c>
    </row>
    <row r="131" spans="1:14">
      <c r="A131" s="18" t="s">
        <v>1211</v>
      </c>
      <c r="B131" s="18" t="s">
        <v>507</v>
      </c>
      <c r="C131" s="19">
        <v>46237</v>
      </c>
      <c r="D131" s="18">
        <v>143</v>
      </c>
      <c r="E131" s="18">
        <v>82</v>
      </c>
      <c r="F131" s="18">
        <v>65</v>
      </c>
      <c r="G131" s="18">
        <v>17</v>
      </c>
      <c r="H131" s="18">
        <v>99</v>
      </c>
      <c r="I131" s="18">
        <v>98.2</v>
      </c>
      <c r="J131" s="18">
        <v>64.900000000000006</v>
      </c>
      <c r="K131" s="18">
        <v>190</v>
      </c>
      <c r="L131" s="18">
        <v>18</v>
      </c>
      <c r="M131" s="18" t="s">
        <v>118</v>
      </c>
      <c r="N131" s="18" t="s">
        <v>1082</v>
      </c>
    </row>
    <row r="132" spans="1:14">
      <c r="A132" s="18" t="s">
        <v>1212</v>
      </c>
      <c r="B132" s="18" t="s">
        <v>507</v>
      </c>
      <c r="C132" s="19">
        <v>46147</v>
      </c>
      <c r="D132" s="18">
        <v>144</v>
      </c>
      <c r="E132" s="18">
        <v>82</v>
      </c>
      <c r="F132" s="18">
        <v>65</v>
      </c>
      <c r="G132" s="18">
        <v>17</v>
      </c>
      <c r="H132" s="18">
        <v>99</v>
      </c>
      <c r="I132" s="18">
        <v>98.2</v>
      </c>
      <c r="J132" s="18">
        <v>66</v>
      </c>
      <c r="K132" s="18">
        <v>190</v>
      </c>
      <c r="L132" s="18">
        <v>18.3</v>
      </c>
      <c r="M132" s="18" t="s">
        <v>118</v>
      </c>
      <c r="N132" s="18" t="s">
        <v>1082</v>
      </c>
    </row>
    <row r="133" spans="1:14">
      <c r="A133" s="18" t="s">
        <v>1213</v>
      </c>
      <c r="B133" s="18" t="s">
        <v>507</v>
      </c>
      <c r="C133" s="19">
        <v>46057</v>
      </c>
      <c r="D133" s="18">
        <v>145</v>
      </c>
      <c r="E133" s="18">
        <v>82</v>
      </c>
      <c r="F133" s="18">
        <v>65</v>
      </c>
      <c r="G133" s="18">
        <v>17</v>
      </c>
      <c r="H133" s="18">
        <v>99</v>
      </c>
      <c r="I133" s="18">
        <v>98.2</v>
      </c>
      <c r="J133" s="18">
        <v>67.099999999999994</v>
      </c>
      <c r="K133" s="18">
        <v>190</v>
      </c>
      <c r="L133" s="18">
        <v>18.600000000000001</v>
      </c>
      <c r="M133" s="18" t="s">
        <v>118</v>
      </c>
      <c r="N133" s="18" t="s">
        <v>1082</v>
      </c>
    </row>
    <row r="134" spans="1:14">
      <c r="A134" s="18" t="s">
        <v>1214</v>
      </c>
      <c r="B134" s="18" t="s">
        <v>515</v>
      </c>
      <c r="C134" s="19">
        <v>46236</v>
      </c>
      <c r="D134" s="18">
        <v>146</v>
      </c>
      <c r="E134" s="18">
        <v>84</v>
      </c>
      <c r="F134" s="18">
        <v>66</v>
      </c>
      <c r="G134" s="18">
        <v>18</v>
      </c>
      <c r="H134" s="18">
        <v>96</v>
      </c>
      <c r="I134" s="18">
        <v>98.4</v>
      </c>
      <c r="J134" s="18">
        <v>71.900000000000006</v>
      </c>
      <c r="K134" s="18">
        <v>178</v>
      </c>
      <c r="L134" s="18">
        <v>22.7</v>
      </c>
      <c r="M134" s="18" t="s">
        <v>134</v>
      </c>
      <c r="N134" s="18" t="s">
        <v>1082</v>
      </c>
    </row>
    <row r="135" spans="1:14">
      <c r="A135" s="18" t="s">
        <v>1215</v>
      </c>
      <c r="B135" s="18" t="s">
        <v>515</v>
      </c>
      <c r="C135" s="19">
        <v>46146</v>
      </c>
      <c r="D135" s="18">
        <v>147</v>
      </c>
      <c r="E135" s="18">
        <v>84</v>
      </c>
      <c r="F135" s="18">
        <v>66</v>
      </c>
      <c r="G135" s="18">
        <v>18</v>
      </c>
      <c r="H135" s="18">
        <v>96</v>
      </c>
      <c r="I135" s="18">
        <v>98.4</v>
      </c>
      <c r="J135" s="18">
        <v>73</v>
      </c>
      <c r="K135" s="18">
        <v>178</v>
      </c>
      <c r="L135" s="18">
        <v>23</v>
      </c>
      <c r="M135" s="18" t="s">
        <v>134</v>
      </c>
      <c r="N135" s="18" t="s">
        <v>1082</v>
      </c>
    </row>
    <row r="136" spans="1:14">
      <c r="A136" s="18" t="s">
        <v>1216</v>
      </c>
      <c r="B136" s="18" t="s">
        <v>515</v>
      </c>
      <c r="C136" s="19">
        <v>46056</v>
      </c>
      <c r="D136" s="18">
        <v>148</v>
      </c>
      <c r="E136" s="18">
        <v>84</v>
      </c>
      <c r="F136" s="18">
        <v>66</v>
      </c>
      <c r="G136" s="18">
        <v>18</v>
      </c>
      <c r="H136" s="18">
        <v>96</v>
      </c>
      <c r="I136" s="18">
        <v>98.4</v>
      </c>
      <c r="J136" s="18">
        <v>74.099999999999994</v>
      </c>
      <c r="K136" s="18">
        <v>178</v>
      </c>
      <c r="L136" s="18">
        <v>23.4</v>
      </c>
      <c r="M136" s="18" t="s">
        <v>134</v>
      </c>
      <c r="N136" s="18" t="s">
        <v>1082</v>
      </c>
    </row>
    <row r="137" spans="1:14">
      <c r="A137" s="18" t="s">
        <v>1217</v>
      </c>
      <c r="B137" s="18" t="s">
        <v>523</v>
      </c>
      <c r="C137" s="19">
        <v>46235</v>
      </c>
      <c r="D137" s="18">
        <v>149</v>
      </c>
      <c r="E137" s="18">
        <v>86</v>
      </c>
      <c r="F137" s="18">
        <v>67</v>
      </c>
      <c r="G137" s="18">
        <v>14</v>
      </c>
      <c r="H137" s="18">
        <v>97</v>
      </c>
      <c r="I137" s="18">
        <v>97.6</v>
      </c>
      <c r="J137" s="18">
        <v>78.900000000000006</v>
      </c>
      <c r="K137" s="18">
        <v>173</v>
      </c>
      <c r="L137" s="18">
        <v>26.4</v>
      </c>
      <c r="M137" s="18" t="s">
        <v>149</v>
      </c>
      <c r="N137" s="18" t="s">
        <v>1082</v>
      </c>
    </row>
    <row r="138" spans="1:14">
      <c r="A138" s="18" t="s">
        <v>1218</v>
      </c>
      <c r="B138" s="18" t="s">
        <v>523</v>
      </c>
      <c r="C138" s="19">
        <v>46145</v>
      </c>
      <c r="D138" s="18">
        <v>150</v>
      </c>
      <c r="E138" s="18">
        <v>86</v>
      </c>
      <c r="F138" s="18">
        <v>67</v>
      </c>
      <c r="G138" s="18">
        <v>14</v>
      </c>
      <c r="H138" s="18">
        <v>97</v>
      </c>
      <c r="I138" s="18">
        <v>97.6</v>
      </c>
      <c r="J138" s="18">
        <v>80</v>
      </c>
      <c r="K138" s="18">
        <v>173</v>
      </c>
      <c r="L138" s="18">
        <v>26.7</v>
      </c>
      <c r="M138" s="18" t="s">
        <v>149</v>
      </c>
      <c r="N138" s="18" t="s">
        <v>1082</v>
      </c>
    </row>
    <row r="139" spans="1:14">
      <c r="A139" s="18" t="s">
        <v>1219</v>
      </c>
      <c r="B139" s="18" t="s">
        <v>523</v>
      </c>
      <c r="C139" s="19">
        <v>46055</v>
      </c>
      <c r="D139" s="18">
        <v>151</v>
      </c>
      <c r="E139" s="18">
        <v>86</v>
      </c>
      <c r="F139" s="18">
        <v>67</v>
      </c>
      <c r="G139" s="18">
        <v>14</v>
      </c>
      <c r="H139" s="18">
        <v>97</v>
      </c>
      <c r="I139" s="18">
        <v>97.6</v>
      </c>
      <c r="J139" s="18">
        <v>81.099999999999994</v>
      </c>
      <c r="K139" s="18">
        <v>173</v>
      </c>
      <c r="L139" s="18">
        <v>27.1</v>
      </c>
      <c r="M139" s="18" t="s">
        <v>149</v>
      </c>
      <c r="N139" s="18" t="s">
        <v>1082</v>
      </c>
    </row>
    <row r="140" spans="1:14">
      <c r="A140" s="18" t="s">
        <v>1220</v>
      </c>
      <c r="B140" s="18" t="s">
        <v>531</v>
      </c>
      <c r="C140" s="19">
        <v>46234</v>
      </c>
      <c r="D140" s="18">
        <v>152</v>
      </c>
      <c r="E140" s="18">
        <v>88</v>
      </c>
      <c r="F140" s="18">
        <v>68</v>
      </c>
      <c r="G140" s="18">
        <v>15</v>
      </c>
      <c r="H140" s="18">
        <v>98</v>
      </c>
      <c r="I140" s="18">
        <v>97.8</v>
      </c>
      <c r="J140" s="18">
        <v>85.9</v>
      </c>
      <c r="K140" s="18">
        <v>184</v>
      </c>
      <c r="L140" s="18">
        <v>25.4</v>
      </c>
      <c r="M140" s="18" t="s">
        <v>162</v>
      </c>
      <c r="N140" s="18" t="s">
        <v>1082</v>
      </c>
    </row>
    <row r="141" spans="1:14">
      <c r="A141" s="18" t="s">
        <v>1221</v>
      </c>
      <c r="B141" s="18" t="s">
        <v>531</v>
      </c>
      <c r="C141" s="19">
        <v>46144</v>
      </c>
      <c r="D141" s="18">
        <v>153</v>
      </c>
      <c r="E141" s="18">
        <v>88</v>
      </c>
      <c r="F141" s="18">
        <v>68</v>
      </c>
      <c r="G141" s="18">
        <v>15</v>
      </c>
      <c r="H141" s="18">
        <v>98</v>
      </c>
      <c r="I141" s="18">
        <v>97.8</v>
      </c>
      <c r="J141" s="18">
        <v>87</v>
      </c>
      <c r="K141" s="18">
        <v>184</v>
      </c>
      <c r="L141" s="18">
        <v>25.7</v>
      </c>
      <c r="M141" s="18" t="s">
        <v>162</v>
      </c>
      <c r="N141" s="18" t="s">
        <v>1082</v>
      </c>
    </row>
    <row r="142" spans="1:14">
      <c r="A142" s="18" t="s">
        <v>1222</v>
      </c>
      <c r="B142" s="18" t="s">
        <v>531</v>
      </c>
      <c r="C142" s="19">
        <v>46054</v>
      </c>
      <c r="D142" s="18">
        <v>154</v>
      </c>
      <c r="E142" s="18">
        <v>88</v>
      </c>
      <c r="F142" s="18">
        <v>68</v>
      </c>
      <c r="G142" s="18">
        <v>15</v>
      </c>
      <c r="H142" s="18">
        <v>98</v>
      </c>
      <c r="I142" s="18">
        <v>97.8</v>
      </c>
      <c r="J142" s="18">
        <v>88.1</v>
      </c>
      <c r="K142" s="18">
        <v>184</v>
      </c>
      <c r="L142" s="18">
        <v>26</v>
      </c>
      <c r="M142" s="18" t="s">
        <v>162</v>
      </c>
      <c r="N142" s="18" t="s">
        <v>1082</v>
      </c>
    </row>
    <row r="143" spans="1:14">
      <c r="A143" s="18" t="s">
        <v>1223</v>
      </c>
      <c r="B143" s="18" t="s">
        <v>539</v>
      </c>
      <c r="C143" s="19">
        <v>46233</v>
      </c>
      <c r="D143" s="18">
        <v>155</v>
      </c>
      <c r="E143" s="18">
        <v>90</v>
      </c>
      <c r="F143" s="18">
        <v>69</v>
      </c>
      <c r="G143" s="18">
        <v>16</v>
      </c>
      <c r="H143" s="18">
        <v>99</v>
      </c>
      <c r="I143" s="18">
        <v>98</v>
      </c>
      <c r="J143" s="18">
        <v>92.9</v>
      </c>
      <c r="K143" s="18">
        <v>181</v>
      </c>
      <c r="L143" s="18">
        <v>28.4</v>
      </c>
      <c r="M143" s="18" t="s">
        <v>176</v>
      </c>
      <c r="N143" s="18" t="s">
        <v>1082</v>
      </c>
    </row>
    <row r="144" spans="1:14">
      <c r="A144" s="18" t="s">
        <v>1224</v>
      </c>
      <c r="B144" s="18" t="s">
        <v>539</v>
      </c>
      <c r="C144" s="19">
        <v>46143</v>
      </c>
      <c r="D144" s="18">
        <v>156</v>
      </c>
      <c r="E144" s="18">
        <v>90</v>
      </c>
      <c r="F144" s="18">
        <v>69</v>
      </c>
      <c r="G144" s="18">
        <v>16</v>
      </c>
      <c r="H144" s="18">
        <v>99</v>
      </c>
      <c r="I144" s="18">
        <v>98</v>
      </c>
      <c r="J144" s="18">
        <v>94</v>
      </c>
      <c r="K144" s="18">
        <v>181</v>
      </c>
      <c r="L144" s="18">
        <v>28.7</v>
      </c>
      <c r="M144" s="18" t="s">
        <v>176</v>
      </c>
      <c r="N144" s="18" t="s">
        <v>1082</v>
      </c>
    </row>
    <row r="145" spans="1:14">
      <c r="A145" s="18" t="s">
        <v>1225</v>
      </c>
      <c r="B145" s="18" t="s">
        <v>539</v>
      </c>
      <c r="C145" s="19">
        <v>46053</v>
      </c>
      <c r="D145" s="18">
        <v>157</v>
      </c>
      <c r="E145" s="18">
        <v>90</v>
      </c>
      <c r="F145" s="18">
        <v>69</v>
      </c>
      <c r="G145" s="18">
        <v>16</v>
      </c>
      <c r="H145" s="18">
        <v>99</v>
      </c>
      <c r="I145" s="18">
        <v>98</v>
      </c>
      <c r="J145" s="18">
        <v>95.1</v>
      </c>
      <c r="K145" s="18">
        <v>181</v>
      </c>
      <c r="L145" s="18">
        <v>29</v>
      </c>
      <c r="M145" s="18" t="s">
        <v>176</v>
      </c>
      <c r="N145" s="18" t="s">
        <v>1082</v>
      </c>
    </row>
    <row r="146" spans="1:14">
      <c r="A146" s="18" t="s">
        <v>1226</v>
      </c>
      <c r="B146" s="18" t="s">
        <v>547</v>
      </c>
      <c r="C146" s="19">
        <v>46232</v>
      </c>
      <c r="D146" s="18">
        <v>110</v>
      </c>
      <c r="E146" s="18">
        <v>68</v>
      </c>
      <c r="F146" s="18">
        <v>70</v>
      </c>
      <c r="G146" s="18">
        <v>17</v>
      </c>
      <c r="H146" s="18">
        <v>96</v>
      </c>
      <c r="I146" s="18">
        <v>98.2</v>
      </c>
      <c r="J146" s="18">
        <v>99.9</v>
      </c>
      <c r="K146" s="18">
        <v>162</v>
      </c>
      <c r="L146" s="18">
        <v>38.1</v>
      </c>
      <c r="M146" s="18" t="s">
        <v>98</v>
      </c>
      <c r="N146" s="18" t="s">
        <v>1082</v>
      </c>
    </row>
    <row r="147" spans="1:14">
      <c r="A147" s="18" t="s">
        <v>1227</v>
      </c>
      <c r="B147" s="18" t="s">
        <v>547</v>
      </c>
      <c r="C147" s="19">
        <v>46142</v>
      </c>
      <c r="D147" s="18">
        <v>111</v>
      </c>
      <c r="E147" s="18">
        <v>68</v>
      </c>
      <c r="F147" s="18">
        <v>70</v>
      </c>
      <c r="G147" s="18">
        <v>17</v>
      </c>
      <c r="H147" s="18">
        <v>96</v>
      </c>
      <c r="I147" s="18">
        <v>98.2</v>
      </c>
      <c r="J147" s="18">
        <v>101</v>
      </c>
      <c r="K147" s="18">
        <v>162</v>
      </c>
      <c r="L147" s="18">
        <v>38.5</v>
      </c>
      <c r="M147" s="18" t="s">
        <v>98</v>
      </c>
      <c r="N147" s="18" t="s">
        <v>1082</v>
      </c>
    </row>
    <row r="148" spans="1:14">
      <c r="A148" s="18" t="s">
        <v>1228</v>
      </c>
      <c r="B148" s="18" t="s">
        <v>547</v>
      </c>
      <c r="C148" s="19">
        <v>46052</v>
      </c>
      <c r="D148" s="18">
        <v>112</v>
      </c>
      <c r="E148" s="18">
        <v>68</v>
      </c>
      <c r="F148" s="18">
        <v>70</v>
      </c>
      <c r="G148" s="18">
        <v>17</v>
      </c>
      <c r="H148" s="18">
        <v>96</v>
      </c>
      <c r="I148" s="18">
        <v>98.2</v>
      </c>
      <c r="J148" s="18">
        <v>102.1</v>
      </c>
      <c r="K148" s="18">
        <v>162</v>
      </c>
      <c r="L148" s="18">
        <v>38.9</v>
      </c>
      <c r="M148" s="18" t="s">
        <v>98</v>
      </c>
      <c r="N148" s="18" t="s">
        <v>1082</v>
      </c>
    </row>
    <row r="149" spans="1:14">
      <c r="A149" s="18" t="s">
        <v>1229</v>
      </c>
      <c r="B149" s="18" t="s">
        <v>555</v>
      </c>
      <c r="C149" s="19">
        <v>46231</v>
      </c>
      <c r="D149" s="18">
        <v>113</v>
      </c>
      <c r="E149" s="18">
        <v>70</v>
      </c>
      <c r="F149" s="18">
        <v>71</v>
      </c>
      <c r="G149" s="18">
        <v>18</v>
      </c>
      <c r="H149" s="18">
        <v>97</v>
      </c>
      <c r="I149" s="18">
        <v>98.4</v>
      </c>
      <c r="J149" s="18">
        <v>106.9</v>
      </c>
      <c r="K149" s="18">
        <v>189</v>
      </c>
      <c r="L149" s="18">
        <v>29.9</v>
      </c>
      <c r="M149" s="18" t="s">
        <v>118</v>
      </c>
      <c r="N149" s="18" t="s">
        <v>1082</v>
      </c>
    </row>
    <row r="150" spans="1:14">
      <c r="A150" s="18" t="s">
        <v>1230</v>
      </c>
      <c r="B150" s="18" t="s">
        <v>555</v>
      </c>
      <c r="C150" s="19">
        <v>46141</v>
      </c>
      <c r="D150" s="18">
        <v>114</v>
      </c>
      <c r="E150" s="18">
        <v>70</v>
      </c>
      <c r="F150" s="18">
        <v>71</v>
      </c>
      <c r="G150" s="18">
        <v>18</v>
      </c>
      <c r="H150" s="18">
        <v>97</v>
      </c>
      <c r="I150" s="18">
        <v>98.4</v>
      </c>
      <c r="J150" s="18">
        <v>108</v>
      </c>
      <c r="K150" s="18">
        <v>189</v>
      </c>
      <c r="L150" s="18">
        <v>30.2</v>
      </c>
      <c r="M150" s="18" t="s">
        <v>118</v>
      </c>
      <c r="N150" s="18" t="s">
        <v>1082</v>
      </c>
    </row>
    <row r="151" spans="1:14">
      <c r="A151" s="18" t="s">
        <v>1231</v>
      </c>
      <c r="B151" s="18" t="s">
        <v>555</v>
      </c>
      <c r="C151" s="19">
        <v>46051</v>
      </c>
      <c r="D151" s="18">
        <v>115</v>
      </c>
      <c r="E151" s="18">
        <v>70</v>
      </c>
      <c r="F151" s="18">
        <v>71</v>
      </c>
      <c r="G151" s="18">
        <v>18</v>
      </c>
      <c r="H151" s="18">
        <v>97</v>
      </c>
      <c r="I151" s="18">
        <v>98.4</v>
      </c>
      <c r="J151" s="18">
        <v>109.1</v>
      </c>
      <c r="K151" s="18">
        <v>189</v>
      </c>
      <c r="L151" s="18">
        <v>30.5</v>
      </c>
      <c r="M151" s="18" t="s">
        <v>118</v>
      </c>
      <c r="N151" s="18" t="s">
        <v>1082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A9D8F"/>
  </sheetPr>
  <dimension ref="A1:L2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6" customWidth="1"/>
    <col min="4" max="4" width="14" customWidth="1"/>
    <col min="5" max="5" width="28" customWidth="1"/>
    <col min="6" max="6" width="12" customWidth="1"/>
    <col min="7" max="7" width="14" customWidth="1"/>
    <col min="8" max="8" width="18" customWidth="1"/>
    <col min="9" max="10" width="12" customWidth="1"/>
    <col min="11" max="11" width="28" customWidth="1"/>
    <col min="12" max="12" width="24" customWidth="1"/>
  </cols>
  <sheetData>
    <row r="1" spans="1:12" ht="30" customHeight="1">
      <c r="A1" s="17" t="s">
        <v>1232</v>
      </c>
      <c r="B1" s="17" t="s">
        <v>66</v>
      </c>
      <c r="C1" s="17" t="s">
        <v>1233</v>
      </c>
      <c r="D1" s="17" t="s">
        <v>1234</v>
      </c>
      <c r="E1" s="17" t="s">
        <v>1235</v>
      </c>
      <c r="F1" s="17" t="s">
        <v>64</v>
      </c>
      <c r="G1" s="17" t="s">
        <v>1236</v>
      </c>
      <c r="H1" s="17" t="s">
        <v>1237</v>
      </c>
      <c r="I1" s="17" t="s">
        <v>65</v>
      </c>
      <c r="J1" s="17" t="s">
        <v>58</v>
      </c>
      <c r="K1" s="17" t="s">
        <v>1238</v>
      </c>
      <c r="L1" s="17" t="s">
        <v>1239</v>
      </c>
    </row>
    <row r="2" spans="1:12">
      <c r="A2" s="18" t="s">
        <v>1240</v>
      </c>
      <c r="B2" s="18" t="s">
        <v>35</v>
      </c>
      <c r="C2" s="19">
        <v>46249</v>
      </c>
      <c r="D2" s="18" t="s">
        <v>1241</v>
      </c>
      <c r="E2" s="18" t="s">
        <v>1242</v>
      </c>
      <c r="F2" s="18">
        <v>5.0999999999999996</v>
      </c>
      <c r="G2" s="18" t="s">
        <v>1243</v>
      </c>
      <c r="H2" s="18" t="s">
        <v>1244</v>
      </c>
      <c r="I2" s="18" t="s">
        <v>1245</v>
      </c>
      <c r="J2" s="18" t="s">
        <v>1246</v>
      </c>
      <c r="K2" s="18" t="s">
        <v>1247</v>
      </c>
      <c r="L2" s="18" t="s">
        <v>98</v>
      </c>
    </row>
    <row r="3" spans="1:12">
      <c r="A3" s="18" t="s">
        <v>1248</v>
      </c>
      <c r="B3" s="18" t="s">
        <v>35</v>
      </c>
      <c r="C3" s="19">
        <v>46249</v>
      </c>
      <c r="D3" s="18" t="s">
        <v>1249</v>
      </c>
      <c r="E3" s="18" t="s">
        <v>1250</v>
      </c>
      <c r="F3" s="18">
        <v>84</v>
      </c>
      <c r="G3" s="18" t="s">
        <v>1251</v>
      </c>
      <c r="H3" s="18" t="s">
        <v>1252</v>
      </c>
      <c r="I3" s="18" t="s">
        <v>1245</v>
      </c>
      <c r="J3" s="18" t="s">
        <v>1246</v>
      </c>
      <c r="K3" s="18" t="s">
        <v>1247</v>
      </c>
      <c r="L3" s="18" t="s">
        <v>98</v>
      </c>
    </row>
    <row r="4" spans="1:12">
      <c r="A4" s="18" t="s">
        <v>1253</v>
      </c>
      <c r="B4" s="18" t="s">
        <v>35</v>
      </c>
      <c r="C4" s="19">
        <v>46249</v>
      </c>
      <c r="D4" s="18" t="s">
        <v>1254</v>
      </c>
      <c r="E4" s="18" t="s">
        <v>1255</v>
      </c>
      <c r="F4" s="18">
        <v>155</v>
      </c>
      <c r="G4" s="18" t="s">
        <v>1251</v>
      </c>
      <c r="H4" s="18" t="s">
        <v>1256</v>
      </c>
      <c r="I4" s="18" t="s">
        <v>1245</v>
      </c>
      <c r="J4" s="18" t="s">
        <v>1246</v>
      </c>
      <c r="K4" s="18" t="s">
        <v>1247</v>
      </c>
      <c r="L4" s="18" t="s">
        <v>98</v>
      </c>
    </row>
    <row r="5" spans="1:12">
      <c r="A5" s="18" t="s">
        <v>1257</v>
      </c>
      <c r="B5" s="18" t="s">
        <v>35</v>
      </c>
      <c r="C5" s="19">
        <v>46249</v>
      </c>
      <c r="D5" s="18" t="s">
        <v>1258</v>
      </c>
      <c r="E5" s="18" t="s">
        <v>1259</v>
      </c>
      <c r="F5" s="18">
        <v>12.2</v>
      </c>
      <c r="G5" s="18" t="s">
        <v>1260</v>
      </c>
      <c r="H5" s="18" t="s">
        <v>1261</v>
      </c>
      <c r="I5" s="18" t="s">
        <v>1245</v>
      </c>
      <c r="J5" s="18" t="s">
        <v>1246</v>
      </c>
      <c r="K5" s="18" t="s">
        <v>1247</v>
      </c>
      <c r="L5" s="18" t="s">
        <v>98</v>
      </c>
    </row>
    <row r="6" spans="1:12">
      <c r="A6" s="18" t="s">
        <v>1262</v>
      </c>
      <c r="B6" s="18" t="s">
        <v>35</v>
      </c>
      <c r="C6" s="19">
        <v>46249</v>
      </c>
      <c r="D6" s="18" t="s">
        <v>1263</v>
      </c>
      <c r="E6" s="18" t="s">
        <v>1264</v>
      </c>
      <c r="F6" s="18">
        <v>4.5999999999999996</v>
      </c>
      <c r="G6" s="18" t="s">
        <v>1265</v>
      </c>
      <c r="H6" s="18" t="s">
        <v>1266</v>
      </c>
      <c r="I6" s="18" t="s">
        <v>1245</v>
      </c>
      <c r="J6" s="18" t="s">
        <v>1246</v>
      </c>
      <c r="K6" s="18" t="s">
        <v>1247</v>
      </c>
      <c r="L6" s="18" t="s">
        <v>98</v>
      </c>
    </row>
    <row r="7" spans="1:12">
      <c r="A7" s="18" t="s">
        <v>1267</v>
      </c>
      <c r="B7" s="18" t="s">
        <v>107</v>
      </c>
      <c r="C7" s="19">
        <v>46250</v>
      </c>
      <c r="D7" s="18" t="s">
        <v>1241</v>
      </c>
      <c r="E7" s="18" t="s">
        <v>1242</v>
      </c>
      <c r="F7" s="18">
        <v>5.3</v>
      </c>
      <c r="G7" s="18" t="s">
        <v>1243</v>
      </c>
      <c r="H7" s="18" t="s">
        <v>1244</v>
      </c>
      <c r="I7" s="18" t="s">
        <v>1245</v>
      </c>
      <c r="J7" s="18" t="s">
        <v>1246</v>
      </c>
      <c r="K7" s="18" t="s">
        <v>1247</v>
      </c>
      <c r="L7" s="18" t="s">
        <v>118</v>
      </c>
    </row>
    <row r="8" spans="1:12">
      <c r="A8" s="18" t="s">
        <v>1268</v>
      </c>
      <c r="B8" s="18" t="s">
        <v>107</v>
      </c>
      <c r="C8" s="19">
        <v>46250</v>
      </c>
      <c r="D8" s="18" t="s">
        <v>1249</v>
      </c>
      <c r="E8" s="18" t="s">
        <v>1250</v>
      </c>
      <c r="F8" s="18">
        <v>89</v>
      </c>
      <c r="G8" s="18" t="s">
        <v>1251</v>
      </c>
      <c r="H8" s="18" t="s">
        <v>1252</v>
      </c>
      <c r="I8" s="18" t="s">
        <v>1245</v>
      </c>
      <c r="J8" s="18" t="s">
        <v>1246</v>
      </c>
      <c r="K8" s="18" t="s">
        <v>1247</v>
      </c>
      <c r="L8" s="18" t="s">
        <v>118</v>
      </c>
    </row>
    <row r="9" spans="1:12">
      <c r="A9" s="18" t="s">
        <v>1269</v>
      </c>
      <c r="B9" s="18" t="s">
        <v>107</v>
      </c>
      <c r="C9" s="19">
        <v>46250</v>
      </c>
      <c r="D9" s="18" t="s">
        <v>1254</v>
      </c>
      <c r="E9" s="18" t="s">
        <v>1255</v>
      </c>
      <c r="F9" s="18">
        <v>161</v>
      </c>
      <c r="G9" s="18" t="s">
        <v>1251</v>
      </c>
      <c r="H9" s="18" t="s">
        <v>1256</v>
      </c>
      <c r="I9" s="18" t="s">
        <v>1245</v>
      </c>
      <c r="J9" s="18" t="s">
        <v>1246</v>
      </c>
      <c r="K9" s="18" t="s">
        <v>1247</v>
      </c>
      <c r="L9" s="18" t="s">
        <v>118</v>
      </c>
    </row>
    <row r="10" spans="1:12">
      <c r="A10" s="18" t="s">
        <v>1270</v>
      </c>
      <c r="B10" s="18" t="s">
        <v>107</v>
      </c>
      <c r="C10" s="19">
        <v>46250</v>
      </c>
      <c r="D10" s="18" t="s">
        <v>1258</v>
      </c>
      <c r="E10" s="18" t="s">
        <v>1259</v>
      </c>
      <c r="F10" s="18">
        <v>12.5</v>
      </c>
      <c r="G10" s="18" t="s">
        <v>1260</v>
      </c>
      <c r="H10" s="18" t="s">
        <v>1261</v>
      </c>
      <c r="I10" s="18" t="s">
        <v>1245</v>
      </c>
      <c r="J10" s="18" t="s">
        <v>1246</v>
      </c>
      <c r="K10" s="18" t="s">
        <v>1247</v>
      </c>
      <c r="L10" s="18" t="s">
        <v>118</v>
      </c>
    </row>
    <row r="11" spans="1:12">
      <c r="A11" s="18" t="s">
        <v>1271</v>
      </c>
      <c r="B11" s="18" t="s">
        <v>107</v>
      </c>
      <c r="C11" s="19">
        <v>46250</v>
      </c>
      <c r="D11" s="18" t="s">
        <v>1263</v>
      </c>
      <c r="E11" s="18" t="s">
        <v>1264</v>
      </c>
      <c r="F11" s="18">
        <v>5</v>
      </c>
      <c r="G11" s="18" t="s">
        <v>1265</v>
      </c>
      <c r="H11" s="18" t="s">
        <v>1266</v>
      </c>
      <c r="I11" s="18" t="s">
        <v>1245</v>
      </c>
      <c r="J11" s="18" t="s">
        <v>1246</v>
      </c>
      <c r="K11" s="18" t="s">
        <v>1247</v>
      </c>
      <c r="L11" s="18" t="s">
        <v>118</v>
      </c>
    </row>
    <row r="12" spans="1:12">
      <c r="A12" s="18" t="s">
        <v>1272</v>
      </c>
      <c r="B12" s="18" t="s">
        <v>125</v>
      </c>
      <c r="C12" s="19">
        <v>46251</v>
      </c>
      <c r="D12" s="18" t="s">
        <v>1241</v>
      </c>
      <c r="E12" s="18" t="s">
        <v>1242</v>
      </c>
      <c r="F12" s="18">
        <v>5.5</v>
      </c>
      <c r="G12" s="18" t="s">
        <v>1243</v>
      </c>
      <c r="H12" s="18" t="s">
        <v>1244</v>
      </c>
      <c r="I12" s="18" t="s">
        <v>1245</v>
      </c>
      <c r="J12" s="18" t="s">
        <v>1246</v>
      </c>
      <c r="K12" s="18" t="s">
        <v>1247</v>
      </c>
      <c r="L12" s="18" t="s">
        <v>134</v>
      </c>
    </row>
    <row r="13" spans="1:12">
      <c r="A13" s="18" t="s">
        <v>1273</v>
      </c>
      <c r="B13" s="18" t="s">
        <v>125</v>
      </c>
      <c r="C13" s="19">
        <v>46251</v>
      </c>
      <c r="D13" s="18" t="s">
        <v>1249</v>
      </c>
      <c r="E13" s="18" t="s">
        <v>1250</v>
      </c>
      <c r="F13" s="18">
        <v>94</v>
      </c>
      <c r="G13" s="18" t="s">
        <v>1251</v>
      </c>
      <c r="H13" s="18" t="s">
        <v>1252</v>
      </c>
      <c r="I13" s="18" t="s">
        <v>1245</v>
      </c>
      <c r="J13" s="18" t="s">
        <v>1246</v>
      </c>
      <c r="K13" s="18" t="s">
        <v>1247</v>
      </c>
      <c r="L13" s="18" t="s">
        <v>134</v>
      </c>
    </row>
    <row r="14" spans="1:12">
      <c r="A14" s="18" t="s">
        <v>1274</v>
      </c>
      <c r="B14" s="18" t="s">
        <v>125</v>
      </c>
      <c r="C14" s="19">
        <v>46251</v>
      </c>
      <c r="D14" s="18" t="s">
        <v>1254</v>
      </c>
      <c r="E14" s="18" t="s">
        <v>1255</v>
      </c>
      <c r="F14" s="18">
        <v>167</v>
      </c>
      <c r="G14" s="18" t="s">
        <v>1251</v>
      </c>
      <c r="H14" s="18" t="s">
        <v>1256</v>
      </c>
      <c r="I14" s="18" t="s">
        <v>1245</v>
      </c>
      <c r="J14" s="18" t="s">
        <v>1246</v>
      </c>
      <c r="K14" s="18" t="s">
        <v>1247</v>
      </c>
      <c r="L14" s="18" t="s">
        <v>134</v>
      </c>
    </row>
    <row r="15" spans="1:12">
      <c r="A15" s="18" t="s">
        <v>1275</v>
      </c>
      <c r="B15" s="18" t="s">
        <v>125</v>
      </c>
      <c r="C15" s="19">
        <v>46251</v>
      </c>
      <c r="D15" s="18" t="s">
        <v>1258</v>
      </c>
      <c r="E15" s="18" t="s">
        <v>1259</v>
      </c>
      <c r="F15" s="18">
        <v>12.9</v>
      </c>
      <c r="G15" s="18" t="s">
        <v>1260</v>
      </c>
      <c r="H15" s="18" t="s">
        <v>1261</v>
      </c>
      <c r="I15" s="18" t="s">
        <v>1245</v>
      </c>
      <c r="J15" s="18" t="s">
        <v>1246</v>
      </c>
      <c r="K15" s="18" t="s">
        <v>1247</v>
      </c>
      <c r="L15" s="18" t="s">
        <v>134</v>
      </c>
    </row>
    <row r="16" spans="1:12">
      <c r="A16" s="18" t="s">
        <v>1276</v>
      </c>
      <c r="B16" s="18" t="s">
        <v>125</v>
      </c>
      <c r="C16" s="19">
        <v>46251</v>
      </c>
      <c r="D16" s="18" t="s">
        <v>1263</v>
      </c>
      <c r="E16" s="18" t="s">
        <v>1264</v>
      </c>
      <c r="F16" s="18">
        <v>5.5</v>
      </c>
      <c r="G16" s="18" t="s">
        <v>1265</v>
      </c>
      <c r="H16" s="18" t="s">
        <v>1266</v>
      </c>
      <c r="I16" s="18" t="s">
        <v>1245</v>
      </c>
      <c r="J16" s="18" t="s">
        <v>1246</v>
      </c>
      <c r="K16" s="18" t="s">
        <v>1247</v>
      </c>
      <c r="L16" s="18" t="s">
        <v>134</v>
      </c>
    </row>
    <row r="17" spans="1:12">
      <c r="A17" s="18" t="s">
        <v>1277</v>
      </c>
      <c r="B17" s="18" t="s">
        <v>141</v>
      </c>
      <c r="C17" s="19">
        <v>46252</v>
      </c>
      <c r="D17" s="18" t="s">
        <v>1241</v>
      </c>
      <c r="E17" s="18" t="s">
        <v>1242</v>
      </c>
      <c r="F17" s="18">
        <v>5.8</v>
      </c>
      <c r="G17" s="18" t="s">
        <v>1243</v>
      </c>
      <c r="H17" s="18" t="s">
        <v>1244</v>
      </c>
      <c r="I17" s="18" t="s">
        <v>1278</v>
      </c>
      <c r="J17" s="18" t="s">
        <v>1246</v>
      </c>
      <c r="K17" s="18" t="s">
        <v>1247</v>
      </c>
      <c r="L17" s="18" t="s">
        <v>149</v>
      </c>
    </row>
    <row r="18" spans="1:12">
      <c r="A18" s="18" t="s">
        <v>1279</v>
      </c>
      <c r="B18" s="18" t="s">
        <v>141</v>
      </c>
      <c r="C18" s="19">
        <v>46252</v>
      </c>
      <c r="D18" s="18" t="s">
        <v>1249</v>
      </c>
      <c r="E18" s="18" t="s">
        <v>1250</v>
      </c>
      <c r="F18" s="18">
        <v>99</v>
      </c>
      <c r="G18" s="18" t="s">
        <v>1251</v>
      </c>
      <c r="H18" s="18" t="s">
        <v>1252</v>
      </c>
      <c r="I18" s="18" t="s">
        <v>1245</v>
      </c>
      <c r="J18" s="18" t="s">
        <v>1246</v>
      </c>
      <c r="K18" s="18" t="s">
        <v>1247</v>
      </c>
      <c r="L18" s="18" t="s">
        <v>149</v>
      </c>
    </row>
    <row r="19" spans="1:12">
      <c r="A19" s="18" t="s">
        <v>1280</v>
      </c>
      <c r="B19" s="18" t="s">
        <v>141</v>
      </c>
      <c r="C19" s="19">
        <v>46252</v>
      </c>
      <c r="D19" s="18" t="s">
        <v>1254</v>
      </c>
      <c r="E19" s="18" t="s">
        <v>1255</v>
      </c>
      <c r="F19" s="18">
        <v>173</v>
      </c>
      <c r="G19" s="18" t="s">
        <v>1251</v>
      </c>
      <c r="H19" s="18" t="s">
        <v>1256</v>
      </c>
      <c r="I19" s="18" t="s">
        <v>1245</v>
      </c>
      <c r="J19" s="18" t="s">
        <v>1246</v>
      </c>
      <c r="K19" s="18" t="s">
        <v>1247</v>
      </c>
      <c r="L19" s="18" t="s">
        <v>149</v>
      </c>
    </row>
    <row r="20" spans="1:12">
      <c r="A20" s="18" t="s">
        <v>1281</v>
      </c>
      <c r="B20" s="18" t="s">
        <v>141</v>
      </c>
      <c r="C20" s="19">
        <v>46252</v>
      </c>
      <c r="D20" s="18" t="s">
        <v>1258</v>
      </c>
      <c r="E20" s="18" t="s">
        <v>1259</v>
      </c>
      <c r="F20" s="18">
        <v>13.2</v>
      </c>
      <c r="G20" s="18" t="s">
        <v>1260</v>
      </c>
      <c r="H20" s="18" t="s">
        <v>1261</v>
      </c>
      <c r="I20" s="18" t="s">
        <v>1245</v>
      </c>
      <c r="J20" s="18" t="s">
        <v>1246</v>
      </c>
      <c r="K20" s="18" t="s">
        <v>1247</v>
      </c>
      <c r="L20" s="18" t="s">
        <v>149</v>
      </c>
    </row>
    <row r="21" spans="1:12">
      <c r="A21" s="18" t="s">
        <v>1282</v>
      </c>
      <c r="B21" s="18" t="s">
        <v>141</v>
      </c>
      <c r="C21" s="19">
        <v>46252</v>
      </c>
      <c r="D21" s="18" t="s">
        <v>1263</v>
      </c>
      <c r="E21" s="18" t="s">
        <v>1264</v>
      </c>
      <c r="F21" s="18">
        <v>5.9</v>
      </c>
      <c r="G21" s="18" t="s">
        <v>1265</v>
      </c>
      <c r="H21" s="18" t="s">
        <v>1266</v>
      </c>
      <c r="I21" s="18" t="s">
        <v>1245</v>
      </c>
      <c r="J21" s="18" t="s">
        <v>1246</v>
      </c>
      <c r="K21" s="18" t="s">
        <v>1247</v>
      </c>
      <c r="L21" s="18" t="s">
        <v>149</v>
      </c>
    </row>
    <row r="22" spans="1:12">
      <c r="A22" s="18" t="s">
        <v>1283</v>
      </c>
      <c r="B22" s="18" t="s">
        <v>155</v>
      </c>
      <c r="C22" s="19">
        <v>46253</v>
      </c>
      <c r="D22" s="18" t="s">
        <v>1241</v>
      </c>
      <c r="E22" s="18" t="s">
        <v>1242</v>
      </c>
      <c r="F22" s="18">
        <v>6</v>
      </c>
      <c r="G22" s="18" t="s">
        <v>1243</v>
      </c>
      <c r="H22" s="18" t="s">
        <v>1244</v>
      </c>
      <c r="I22" s="18" t="s">
        <v>1278</v>
      </c>
      <c r="J22" s="18" t="s">
        <v>1246</v>
      </c>
      <c r="K22" s="18" t="s">
        <v>1247</v>
      </c>
      <c r="L22" s="18" t="s">
        <v>162</v>
      </c>
    </row>
    <row r="23" spans="1:12">
      <c r="A23" s="18" t="s">
        <v>1284</v>
      </c>
      <c r="B23" s="18" t="s">
        <v>155</v>
      </c>
      <c r="C23" s="19">
        <v>46253</v>
      </c>
      <c r="D23" s="18" t="s">
        <v>1249</v>
      </c>
      <c r="E23" s="18" t="s">
        <v>1250</v>
      </c>
      <c r="F23" s="18">
        <v>104</v>
      </c>
      <c r="G23" s="18" t="s">
        <v>1251</v>
      </c>
      <c r="H23" s="18" t="s">
        <v>1252</v>
      </c>
      <c r="I23" s="18" t="s">
        <v>1278</v>
      </c>
      <c r="J23" s="18" t="s">
        <v>1246</v>
      </c>
      <c r="K23" s="18" t="s">
        <v>1247</v>
      </c>
      <c r="L23" s="18" t="s">
        <v>162</v>
      </c>
    </row>
    <row r="24" spans="1:12">
      <c r="A24" s="18" t="s">
        <v>1285</v>
      </c>
      <c r="B24" s="18" t="s">
        <v>155</v>
      </c>
      <c r="C24" s="19">
        <v>46253</v>
      </c>
      <c r="D24" s="18" t="s">
        <v>1254</v>
      </c>
      <c r="E24" s="18" t="s">
        <v>1255</v>
      </c>
      <c r="F24" s="18">
        <v>179</v>
      </c>
      <c r="G24" s="18" t="s">
        <v>1251</v>
      </c>
      <c r="H24" s="18" t="s">
        <v>1256</v>
      </c>
      <c r="I24" s="18" t="s">
        <v>1245</v>
      </c>
      <c r="J24" s="18" t="s">
        <v>1246</v>
      </c>
      <c r="K24" s="18" t="s">
        <v>1247</v>
      </c>
      <c r="L24" s="18" t="s">
        <v>162</v>
      </c>
    </row>
    <row r="25" spans="1:12">
      <c r="A25" s="18" t="s">
        <v>1286</v>
      </c>
      <c r="B25" s="18" t="s">
        <v>155</v>
      </c>
      <c r="C25" s="19">
        <v>46253</v>
      </c>
      <c r="D25" s="18" t="s">
        <v>1258</v>
      </c>
      <c r="E25" s="18" t="s">
        <v>1259</v>
      </c>
      <c r="F25" s="18">
        <v>13.6</v>
      </c>
      <c r="G25" s="18" t="s">
        <v>1260</v>
      </c>
      <c r="H25" s="18" t="s">
        <v>1261</v>
      </c>
      <c r="I25" s="18" t="s">
        <v>1245</v>
      </c>
      <c r="J25" s="18" t="s">
        <v>1246</v>
      </c>
      <c r="K25" s="18" t="s">
        <v>1247</v>
      </c>
      <c r="L25" s="18" t="s">
        <v>162</v>
      </c>
    </row>
    <row r="26" spans="1:12">
      <c r="A26" s="18" t="s">
        <v>1287</v>
      </c>
      <c r="B26" s="18" t="s">
        <v>155</v>
      </c>
      <c r="C26" s="19">
        <v>46253</v>
      </c>
      <c r="D26" s="18" t="s">
        <v>1263</v>
      </c>
      <c r="E26" s="18" t="s">
        <v>1264</v>
      </c>
      <c r="F26" s="18">
        <v>6.4</v>
      </c>
      <c r="G26" s="18" t="s">
        <v>1265</v>
      </c>
      <c r="H26" s="18" t="s">
        <v>1266</v>
      </c>
      <c r="I26" s="18" t="s">
        <v>1245</v>
      </c>
      <c r="J26" s="18" t="s">
        <v>1246</v>
      </c>
      <c r="K26" s="18" t="s">
        <v>1247</v>
      </c>
      <c r="L26" s="18" t="s">
        <v>162</v>
      </c>
    </row>
    <row r="27" spans="1:12">
      <c r="A27" s="18" t="s">
        <v>1288</v>
      </c>
      <c r="B27" s="18" t="s">
        <v>169</v>
      </c>
      <c r="C27" s="19">
        <v>46254</v>
      </c>
      <c r="D27" s="18" t="s">
        <v>1241</v>
      </c>
      <c r="E27" s="18" t="s">
        <v>1242</v>
      </c>
      <c r="F27" s="18">
        <v>6.2</v>
      </c>
      <c r="G27" s="18" t="s">
        <v>1243</v>
      </c>
      <c r="H27" s="18" t="s">
        <v>1244</v>
      </c>
      <c r="I27" s="18" t="s">
        <v>1278</v>
      </c>
      <c r="J27" s="18" t="s">
        <v>1246</v>
      </c>
      <c r="K27" s="18" t="s">
        <v>1247</v>
      </c>
      <c r="L27" s="18" t="s">
        <v>176</v>
      </c>
    </row>
    <row r="28" spans="1:12">
      <c r="A28" s="18" t="s">
        <v>1289</v>
      </c>
      <c r="B28" s="18" t="s">
        <v>169</v>
      </c>
      <c r="C28" s="19">
        <v>46254</v>
      </c>
      <c r="D28" s="18" t="s">
        <v>1249</v>
      </c>
      <c r="E28" s="18" t="s">
        <v>1250</v>
      </c>
      <c r="F28" s="18">
        <v>109</v>
      </c>
      <c r="G28" s="18" t="s">
        <v>1251</v>
      </c>
      <c r="H28" s="18" t="s">
        <v>1252</v>
      </c>
      <c r="I28" s="18" t="s">
        <v>1278</v>
      </c>
      <c r="J28" s="18" t="s">
        <v>1246</v>
      </c>
      <c r="K28" s="18" t="s">
        <v>1247</v>
      </c>
      <c r="L28" s="18" t="s">
        <v>176</v>
      </c>
    </row>
    <row r="29" spans="1:12">
      <c r="A29" s="18" t="s">
        <v>1290</v>
      </c>
      <c r="B29" s="18" t="s">
        <v>169</v>
      </c>
      <c r="C29" s="19">
        <v>46254</v>
      </c>
      <c r="D29" s="18" t="s">
        <v>1254</v>
      </c>
      <c r="E29" s="18" t="s">
        <v>1255</v>
      </c>
      <c r="F29" s="18">
        <v>185</v>
      </c>
      <c r="G29" s="18" t="s">
        <v>1251</v>
      </c>
      <c r="H29" s="18" t="s">
        <v>1256</v>
      </c>
      <c r="I29" s="18" t="s">
        <v>1245</v>
      </c>
      <c r="J29" s="18" t="s">
        <v>1246</v>
      </c>
      <c r="K29" s="18" t="s">
        <v>1247</v>
      </c>
      <c r="L29" s="18" t="s">
        <v>176</v>
      </c>
    </row>
    <row r="30" spans="1:12">
      <c r="A30" s="18" t="s">
        <v>1291</v>
      </c>
      <c r="B30" s="18" t="s">
        <v>169</v>
      </c>
      <c r="C30" s="19">
        <v>46254</v>
      </c>
      <c r="D30" s="18" t="s">
        <v>1258</v>
      </c>
      <c r="E30" s="18" t="s">
        <v>1259</v>
      </c>
      <c r="F30" s="18">
        <v>13.9</v>
      </c>
      <c r="G30" s="18" t="s">
        <v>1260</v>
      </c>
      <c r="H30" s="18" t="s">
        <v>1261</v>
      </c>
      <c r="I30" s="18" t="s">
        <v>1245</v>
      </c>
      <c r="J30" s="18" t="s">
        <v>1246</v>
      </c>
      <c r="K30" s="18" t="s">
        <v>1247</v>
      </c>
      <c r="L30" s="18" t="s">
        <v>176</v>
      </c>
    </row>
    <row r="31" spans="1:12">
      <c r="A31" s="18" t="s">
        <v>1292</v>
      </c>
      <c r="B31" s="18" t="s">
        <v>169</v>
      </c>
      <c r="C31" s="19">
        <v>46254</v>
      </c>
      <c r="D31" s="18" t="s">
        <v>1263</v>
      </c>
      <c r="E31" s="18" t="s">
        <v>1264</v>
      </c>
      <c r="F31" s="18">
        <v>6.8</v>
      </c>
      <c r="G31" s="18" t="s">
        <v>1265</v>
      </c>
      <c r="H31" s="18" t="s">
        <v>1266</v>
      </c>
      <c r="I31" s="18" t="s">
        <v>1245</v>
      </c>
      <c r="J31" s="18" t="s">
        <v>1246</v>
      </c>
      <c r="K31" s="18" t="s">
        <v>1247</v>
      </c>
      <c r="L31" s="18" t="s">
        <v>176</v>
      </c>
    </row>
    <row r="32" spans="1:12">
      <c r="A32" s="18" t="s">
        <v>1293</v>
      </c>
      <c r="B32" s="18" t="s">
        <v>183</v>
      </c>
      <c r="C32" s="19">
        <v>46255</v>
      </c>
      <c r="D32" s="18" t="s">
        <v>1241</v>
      </c>
      <c r="E32" s="18" t="s">
        <v>1242</v>
      </c>
      <c r="F32" s="18">
        <v>6.4</v>
      </c>
      <c r="G32" s="18" t="s">
        <v>1243</v>
      </c>
      <c r="H32" s="18" t="s">
        <v>1244</v>
      </c>
      <c r="I32" s="18" t="s">
        <v>1278</v>
      </c>
      <c r="J32" s="18" t="s">
        <v>1246</v>
      </c>
      <c r="K32" s="18" t="s">
        <v>1247</v>
      </c>
      <c r="L32" s="18" t="s">
        <v>98</v>
      </c>
    </row>
    <row r="33" spans="1:12">
      <c r="A33" s="18" t="s">
        <v>1294</v>
      </c>
      <c r="B33" s="18" t="s">
        <v>183</v>
      </c>
      <c r="C33" s="19">
        <v>46255</v>
      </c>
      <c r="D33" s="18" t="s">
        <v>1249</v>
      </c>
      <c r="E33" s="18" t="s">
        <v>1250</v>
      </c>
      <c r="F33" s="18">
        <v>114</v>
      </c>
      <c r="G33" s="18" t="s">
        <v>1251</v>
      </c>
      <c r="H33" s="18" t="s">
        <v>1252</v>
      </c>
      <c r="I33" s="18" t="s">
        <v>1278</v>
      </c>
      <c r="J33" s="18" t="s">
        <v>1246</v>
      </c>
      <c r="K33" s="18" t="s">
        <v>1247</v>
      </c>
      <c r="L33" s="18" t="s">
        <v>98</v>
      </c>
    </row>
    <row r="34" spans="1:12">
      <c r="A34" s="18" t="s">
        <v>1295</v>
      </c>
      <c r="B34" s="18" t="s">
        <v>183</v>
      </c>
      <c r="C34" s="19">
        <v>46255</v>
      </c>
      <c r="D34" s="18" t="s">
        <v>1254</v>
      </c>
      <c r="E34" s="18" t="s">
        <v>1255</v>
      </c>
      <c r="F34" s="18">
        <v>191</v>
      </c>
      <c r="G34" s="18" t="s">
        <v>1251</v>
      </c>
      <c r="H34" s="18" t="s">
        <v>1256</v>
      </c>
      <c r="I34" s="18" t="s">
        <v>1245</v>
      </c>
      <c r="J34" s="18" t="s">
        <v>1246</v>
      </c>
      <c r="K34" s="18" t="s">
        <v>1247</v>
      </c>
      <c r="L34" s="18" t="s">
        <v>98</v>
      </c>
    </row>
    <row r="35" spans="1:12">
      <c r="A35" s="18" t="s">
        <v>1296</v>
      </c>
      <c r="B35" s="18" t="s">
        <v>183</v>
      </c>
      <c r="C35" s="19">
        <v>46255</v>
      </c>
      <c r="D35" s="18" t="s">
        <v>1258</v>
      </c>
      <c r="E35" s="18" t="s">
        <v>1259</v>
      </c>
      <c r="F35" s="18">
        <v>14.3</v>
      </c>
      <c r="G35" s="18" t="s">
        <v>1260</v>
      </c>
      <c r="H35" s="18" t="s">
        <v>1261</v>
      </c>
      <c r="I35" s="18" t="s">
        <v>1245</v>
      </c>
      <c r="J35" s="18" t="s">
        <v>1246</v>
      </c>
      <c r="K35" s="18" t="s">
        <v>1247</v>
      </c>
      <c r="L35" s="18" t="s">
        <v>98</v>
      </c>
    </row>
    <row r="36" spans="1:12">
      <c r="A36" s="18" t="s">
        <v>1297</v>
      </c>
      <c r="B36" s="18" t="s">
        <v>183</v>
      </c>
      <c r="C36" s="19">
        <v>46255</v>
      </c>
      <c r="D36" s="18" t="s">
        <v>1263</v>
      </c>
      <c r="E36" s="18" t="s">
        <v>1264</v>
      </c>
      <c r="F36" s="18">
        <v>7.3</v>
      </c>
      <c r="G36" s="18" t="s">
        <v>1265</v>
      </c>
      <c r="H36" s="18" t="s">
        <v>1266</v>
      </c>
      <c r="I36" s="18" t="s">
        <v>1245</v>
      </c>
      <c r="J36" s="18" t="s">
        <v>1246</v>
      </c>
      <c r="K36" s="18" t="s">
        <v>1247</v>
      </c>
      <c r="L36" s="18" t="s">
        <v>98</v>
      </c>
    </row>
    <row r="37" spans="1:12">
      <c r="A37" s="18" t="s">
        <v>1298</v>
      </c>
      <c r="B37" s="18" t="s">
        <v>194</v>
      </c>
      <c r="C37" s="19">
        <v>46256</v>
      </c>
      <c r="D37" s="18" t="s">
        <v>1241</v>
      </c>
      <c r="E37" s="18" t="s">
        <v>1242</v>
      </c>
      <c r="F37" s="18">
        <v>6.6</v>
      </c>
      <c r="G37" s="18" t="s">
        <v>1243</v>
      </c>
      <c r="H37" s="18" t="s">
        <v>1244</v>
      </c>
      <c r="I37" s="18" t="s">
        <v>1278</v>
      </c>
      <c r="J37" s="18" t="s">
        <v>1246</v>
      </c>
      <c r="K37" s="18" t="s">
        <v>1247</v>
      </c>
      <c r="L37" s="18" t="s">
        <v>118</v>
      </c>
    </row>
    <row r="38" spans="1:12">
      <c r="A38" s="18" t="s">
        <v>1299</v>
      </c>
      <c r="B38" s="18" t="s">
        <v>194</v>
      </c>
      <c r="C38" s="19">
        <v>46256</v>
      </c>
      <c r="D38" s="18" t="s">
        <v>1249</v>
      </c>
      <c r="E38" s="18" t="s">
        <v>1250</v>
      </c>
      <c r="F38" s="18">
        <v>119</v>
      </c>
      <c r="G38" s="18" t="s">
        <v>1251</v>
      </c>
      <c r="H38" s="18" t="s">
        <v>1252</v>
      </c>
      <c r="I38" s="18" t="s">
        <v>1278</v>
      </c>
      <c r="J38" s="18" t="s">
        <v>1246</v>
      </c>
      <c r="K38" s="18" t="s">
        <v>1247</v>
      </c>
      <c r="L38" s="18" t="s">
        <v>118</v>
      </c>
    </row>
    <row r="39" spans="1:12">
      <c r="A39" s="18" t="s">
        <v>1300</v>
      </c>
      <c r="B39" s="18" t="s">
        <v>194</v>
      </c>
      <c r="C39" s="19">
        <v>46256</v>
      </c>
      <c r="D39" s="18" t="s">
        <v>1254</v>
      </c>
      <c r="E39" s="18" t="s">
        <v>1255</v>
      </c>
      <c r="F39" s="18">
        <v>197</v>
      </c>
      <c r="G39" s="18" t="s">
        <v>1251</v>
      </c>
      <c r="H39" s="18" t="s">
        <v>1256</v>
      </c>
      <c r="I39" s="18" t="s">
        <v>1245</v>
      </c>
      <c r="J39" s="18" t="s">
        <v>1246</v>
      </c>
      <c r="K39" s="18" t="s">
        <v>1247</v>
      </c>
      <c r="L39" s="18" t="s">
        <v>118</v>
      </c>
    </row>
    <row r="40" spans="1:12">
      <c r="A40" s="18" t="s">
        <v>1301</v>
      </c>
      <c r="B40" s="18" t="s">
        <v>194</v>
      </c>
      <c r="C40" s="19">
        <v>46256</v>
      </c>
      <c r="D40" s="18" t="s">
        <v>1258</v>
      </c>
      <c r="E40" s="18" t="s">
        <v>1259</v>
      </c>
      <c r="F40" s="18">
        <v>14.6</v>
      </c>
      <c r="G40" s="18" t="s">
        <v>1260</v>
      </c>
      <c r="H40" s="18" t="s">
        <v>1261</v>
      </c>
      <c r="I40" s="18" t="s">
        <v>1245</v>
      </c>
      <c r="J40" s="18" t="s">
        <v>1246</v>
      </c>
      <c r="K40" s="18" t="s">
        <v>1247</v>
      </c>
      <c r="L40" s="18" t="s">
        <v>118</v>
      </c>
    </row>
    <row r="41" spans="1:12">
      <c r="A41" s="18" t="s">
        <v>1302</v>
      </c>
      <c r="B41" s="18" t="s">
        <v>194</v>
      </c>
      <c r="C41" s="19">
        <v>46256</v>
      </c>
      <c r="D41" s="18" t="s">
        <v>1263</v>
      </c>
      <c r="E41" s="18" t="s">
        <v>1264</v>
      </c>
      <c r="F41" s="18">
        <v>7.8</v>
      </c>
      <c r="G41" s="18" t="s">
        <v>1265</v>
      </c>
      <c r="H41" s="18" t="s">
        <v>1266</v>
      </c>
      <c r="I41" s="18" t="s">
        <v>1245</v>
      </c>
      <c r="J41" s="18" t="s">
        <v>1246</v>
      </c>
      <c r="K41" s="18" t="s">
        <v>1247</v>
      </c>
      <c r="L41" s="18" t="s">
        <v>118</v>
      </c>
    </row>
    <row r="42" spans="1:12">
      <c r="A42" s="18" t="s">
        <v>1303</v>
      </c>
      <c r="B42" s="18" t="s">
        <v>204</v>
      </c>
      <c r="C42" s="19">
        <v>46257</v>
      </c>
      <c r="D42" s="18" t="s">
        <v>1241</v>
      </c>
      <c r="E42" s="18" t="s">
        <v>1242</v>
      </c>
      <c r="F42" s="18">
        <v>6.9</v>
      </c>
      <c r="G42" s="18" t="s">
        <v>1243</v>
      </c>
      <c r="H42" s="18" t="s">
        <v>1244</v>
      </c>
      <c r="I42" s="18" t="s">
        <v>1278</v>
      </c>
      <c r="J42" s="18" t="s">
        <v>1246</v>
      </c>
      <c r="K42" s="18" t="s">
        <v>1247</v>
      </c>
      <c r="L42" s="18" t="s">
        <v>134</v>
      </c>
    </row>
    <row r="43" spans="1:12">
      <c r="A43" s="18" t="s">
        <v>1304</v>
      </c>
      <c r="B43" s="18" t="s">
        <v>204</v>
      </c>
      <c r="C43" s="19">
        <v>46257</v>
      </c>
      <c r="D43" s="18" t="s">
        <v>1249</v>
      </c>
      <c r="E43" s="18" t="s">
        <v>1250</v>
      </c>
      <c r="F43" s="18">
        <v>124</v>
      </c>
      <c r="G43" s="18" t="s">
        <v>1251</v>
      </c>
      <c r="H43" s="18" t="s">
        <v>1252</v>
      </c>
      <c r="I43" s="18" t="s">
        <v>1278</v>
      </c>
      <c r="J43" s="18" t="s">
        <v>1246</v>
      </c>
      <c r="K43" s="18" t="s">
        <v>1247</v>
      </c>
      <c r="L43" s="18" t="s">
        <v>134</v>
      </c>
    </row>
    <row r="44" spans="1:12">
      <c r="A44" s="18" t="s">
        <v>1305</v>
      </c>
      <c r="B44" s="18" t="s">
        <v>204</v>
      </c>
      <c r="C44" s="19">
        <v>46257</v>
      </c>
      <c r="D44" s="18" t="s">
        <v>1254</v>
      </c>
      <c r="E44" s="18" t="s">
        <v>1255</v>
      </c>
      <c r="F44" s="18">
        <v>203</v>
      </c>
      <c r="G44" s="18" t="s">
        <v>1251</v>
      </c>
      <c r="H44" s="18" t="s">
        <v>1256</v>
      </c>
      <c r="I44" s="18" t="s">
        <v>1278</v>
      </c>
      <c r="J44" s="18" t="s">
        <v>1246</v>
      </c>
      <c r="K44" s="18" t="s">
        <v>1247</v>
      </c>
      <c r="L44" s="18" t="s">
        <v>134</v>
      </c>
    </row>
    <row r="45" spans="1:12">
      <c r="A45" s="18" t="s">
        <v>1306</v>
      </c>
      <c r="B45" s="18" t="s">
        <v>204</v>
      </c>
      <c r="C45" s="19">
        <v>46257</v>
      </c>
      <c r="D45" s="18" t="s">
        <v>1258</v>
      </c>
      <c r="E45" s="18" t="s">
        <v>1259</v>
      </c>
      <c r="F45" s="18">
        <v>15</v>
      </c>
      <c r="G45" s="18" t="s">
        <v>1260</v>
      </c>
      <c r="H45" s="18" t="s">
        <v>1261</v>
      </c>
      <c r="I45" s="18" t="s">
        <v>1245</v>
      </c>
      <c r="J45" s="18" t="s">
        <v>1246</v>
      </c>
      <c r="K45" s="18" t="s">
        <v>1247</v>
      </c>
      <c r="L45" s="18" t="s">
        <v>134</v>
      </c>
    </row>
    <row r="46" spans="1:12">
      <c r="A46" s="18" t="s">
        <v>1307</v>
      </c>
      <c r="B46" s="18" t="s">
        <v>204</v>
      </c>
      <c r="C46" s="19">
        <v>46257</v>
      </c>
      <c r="D46" s="18" t="s">
        <v>1263</v>
      </c>
      <c r="E46" s="18" t="s">
        <v>1264</v>
      </c>
      <c r="F46" s="18">
        <v>8.1999999999999993</v>
      </c>
      <c r="G46" s="18" t="s">
        <v>1265</v>
      </c>
      <c r="H46" s="18" t="s">
        <v>1266</v>
      </c>
      <c r="I46" s="18" t="s">
        <v>1245</v>
      </c>
      <c r="J46" s="18" t="s">
        <v>1246</v>
      </c>
      <c r="K46" s="18" t="s">
        <v>1247</v>
      </c>
      <c r="L46" s="18" t="s">
        <v>134</v>
      </c>
    </row>
    <row r="47" spans="1:12">
      <c r="A47" s="18" t="s">
        <v>1308</v>
      </c>
      <c r="B47" s="18" t="s">
        <v>215</v>
      </c>
      <c r="C47" s="19">
        <v>46258</v>
      </c>
      <c r="D47" s="18" t="s">
        <v>1241</v>
      </c>
      <c r="E47" s="18" t="s">
        <v>1242</v>
      </c>
      <c r="F47" s="18">
        <v>7.1</v>
      </c>
      <c r="G47" s="18" t="s">
        <v>1243</v>
      </c>
      <c r="H47" s="18" t="s">
        <v>1244</v>
      </c>
      <c r="I47" s="18" t="s">
        <v>1278</v>
      </c>
      <c r="J47" s="18" t="s">
        <v>1246</v>
      </c>
      <c r="K47" s="18" t="s">
        <v>1247</v>
      </c>
      <c r="L47" s="18" t="s">
        <v>149</v>
      </c>
    </row>
    <row r="48" spans="1:12">
      <c r="A48" s="18" t="s">
        <v>1309</v>
      </c>
      <c r="B48" s="18" t="s">
        <v>215</v>
      </c>
      <c r="C48" s="19">
        <v>46258</v>
      </c>
      <c r="D48" s="18" t="s">
        <v>1249</v>
      </c>
      <c r="E48" s="18" t="s">
        <v>1250</v>
      </c>
      <c r="F48" s="18">
        <v>129</v>
      </c>
      <c r="G48" s="18" t="s">
        <v>1251</v>
      </c>
      <c r="H48" s="18" t="s">
        <v>1252</v>
      </c>
      <c r="I48" s="18" t="s">
        <v>1278</v>
      </c>
      <c r="J48" s="18" t="s">
        <v>1246</v>
      </c>
      <c r="K48" s="18" t="s">
        <v>1247</v>
      </c>
      <c r="L48" s="18" t="s">
        <v>149</v>
      </c>
    </row>
    <row r="49" spans="1:12">
      <c r="A49" s="18" t="s">
        <v>1310</v>
      </c>
      <c r="B49" s="18" t="s">
        <v>215</v>
      </c>
      <c r="C49" s="19">
        <v>46258</v>
      </c>
      <c r="D49" s="18" t="s">
        <v>1254</v>
      </c>
      <c r="E49" s="18" t="s">
        <v>1255</v>
      </c>
      <c r="F49" s="18">
        <v>209</v>
      </c>
      <c r="G49" s="18" t="s">
        <v>1251</v>
      </c>
      <c r="H49" s="18" t="s">
        <v>1256</v>
      </c>
      <c r="I49" s="18" t="s">
        <v>1278</v>
      </c>
      <c r="J49" s="18" t="s">
        <v>1246</v>
      </c>
      <c r="K49" s="18" t="s">
        <v>1247</v>
      </c>
      <c r="L49" s="18" t="s">
        <v>149</v>
      </c>
    </row>
    <row r="50" spans="1:12">
      <c r="A50" s="18" t="s">
        <v>1311</v>
      </c>
      <c r="B50" s="18" t="s">
        <v>215</v>
      </c>
      <c r="C50" s="19">
        <v>46258</v>
      </c>
      <c r="D50" s="18" t="s">
        <v>1258</v>
      </c>
      <c r="E50" s="18" t="s">
        <v>1259</v>
      </c>
      <c r="F50" s="18">
        <v>15.3</v>
      </c>
      <c r="G50" s="18" t="s">
        <v>1260</v>
      </c>
      <c r="H50" s="18" t="s">
        <v>1261</v>
      </c>
      <c r="I50" s="18" t="s">
        <v>1245</v>
      </c>
      <c r="J50" s="18" t="s">
        <v>1246</v>
      </c>
      <c r="K50" s="18" t="s">
        <v>1247</v>
      </c>
      <c r="L50" s="18" t="s">
        <v>149</v>
      </c>
    </row>
    <row r="51" spans="1:12">
      <c r="A51" s="18" t="s">
        <v>1312</v>
      </c>
      <c r="B51" s="18" t="s">
        <v>215</v>
      </c>
      <c r="C51" s="19">
        <v>46258</v>
      </c>
      <c r="D51" s="18" t="s">
        <v>1263</v>
      </c>
      <c r="E51" s="18" t="s">
        <v>1264</v>
      </c>
      <c r="F51" s="18">
        <v>8.6</v>
      </c>
      <c r="G51" s="18" t="s">
        <v>1265</v>
      </c>
      <c r="H51" s="18" t="s">
        <v>1266</v>
      </c>
      <c r="I51" s="18" t="s">
        <v>1245</v>
      </c>
      <c r="J51" s="18" t="s">
        <v>1246</v>
      </c>
      <c r="K51" s="18" t="s">
        <v>1247</v>
      </c>
      <c r="L51" s="18" t="s">
        <v>149</v>
      </c>
    </row>
    <row r="52" spans="1:12">
      <c r="A52" s="18" t="s">
        <v>1313</v>
      </c>
      <c r="B52" s="18" t="s">
        <v>226</v>
      </c>
      <c r="C52" s="19">
        <v>46259</v>
      </c>
      <c r="D52" s="18" t="s">
        <v>1241</v>
      </c>
      <c r="E52" s="18" t="s">
        <v>1242</v>
      </c>
      <c r="F52" s="18">
        <v>5.0999999999999996</v>
      </c>
      <c r="G52" s="18" t="s">
        <v>1243</v>
      </c>
      <c r="H52" s="18" t="s">
        <v>1244</v>
      </c>
      <c r="I52" s="18" t="s">
        <v>1245</v>
      </c>
      <c r="J52" s="18" t="s">
        <v>1246</v>
      </c>
      <c r="K52" s="18" t="s">
        <v>1247</v>
      </c>
      <c r="L52" s="18" t="s">
        <v>162</v>
      </c>
    </row>
    <row r="53" spans="1:12">
      <c r="A53" s="18" t="s">
        <v>1314</v>
      </c>
      <c r="B53" s="18" t="s">
        <v>226</v>
      </c>
      <c r="C53" s="19">
        <v>46259</v>
      </c>
      <c r="D53" s="18" t="s">
        <v>1249</v>
      </c>
      <c r="E53" s="18" t="s">
        <v>1250</v>
      </c>
      <c r="F53" s="18">
        <v>134</v>
      </c>
      <c r="G53" s="18" t="s">
        <v>1251</v>
      </c>
      <c r="H53" s="18" t="s">
        <v>1252</v>
      </c>
      <c r="I53" s="18" t="s">
        <v>1278</v>
      </c>
      <c r="J53" s="18" t="s">
        <v>1246</v>
      </c>
      <c r="K53" s="18" t="s">
        <v>1247</v>
      </c>
      <c r="L53" s="18" t="s">
        <v>162</v>
      </c>
    </row>
    <row r="54" spans="1:12">
      <c r="A54" s="18" t="s">
        <v>1315</v>
      </c>
      <c r="B54" s="18" t="s">
        <v>226</v>
      </c>
      <c r="C54" s="19">
        <v>46259</v>
      </c>
      <c r="D54" s="18" t="s">
        <v>1254</v>
      </c>
      <c r="E54" s="18" t="s">
        <v>1255</v>
      </c>
      <c r="F54" s="18">
        <v>215</v>
      </c>
      <c r="G54" s="18" t="s">
        <v>1251</v>
      </c>
      <c r="H54" s="18" t="s">
        <v>1256</v>
      </c>
      <c r="I54" s="18" t="s">
        <v>1278</v>
      </c>
      <c r="J54" s="18" t="s">
        <v>1246</v>
      </c>
      <c r="K54" s="18" t="s">
        <v>1247</v>
      </c>
      <c r="L54" s="18" t="s">
        <v>162</v>
      </c>
    </row>
    <row r="55" spans="1:12">
      <c r="A55" s="18" t="s">
        <v>1316</v>
      </c>
      <c r="B55" s="18" t="s">
        <v>226</v>
      </c>
      <c r="C55" s="19">
        <v>46259</v>
      </c>
      <c r="D55" s="18" t="s">
        <v>1258</v>
      </c>
      <c r="E55" s="18" t="s">
        <v>1259</v>
      </c>
      <c r="F55" s="18">
        <v>15.7</v>
      </c>
      <c r="G55" s="18" t="s">
        <v>1260</v>
      </c>
      <c r="H55" s="18" t="s">
        <v>1261</v>
      </c>
      <c r="I55" s="18" t="s">
        <v>1245</v>
      </c>
      <c r="J55" s="18" t="s">
        <v>1246</v>
      </c>
      <c r="K55" s="18" t="s">
        <v>1247</v>
      </c>
      <c r="L55" s="18" t="s">
        <v>162</v>
      </c>
    </row>
    <row r="56" spans="1:12">
      <c r="A56" s="18" t="s">
        <v>1317</v>
      </c>
      <c r="B56" s="18" t="s">
        <v>226</v>
      </c>
      <c r="C56" s="19">
        <v>46259</v>
      </c>
      <c r="D56" s="18" t="s">
        <v>1263</v>
      </c>
      <c r="E56" s="18" t="s">
        <v>1264</v>
      </c>
      <c r="F56" s="18">
        <v>9.1</v>
      </c>
      <c r="G56" s="18" t="s">
        <v>1265</v>
      </c>
      <c r="H56" s="18" t="s">
        <v>1266</v>
      </c>
      <c r="I56" s="18" t="s">
        <v>1245</v>
      </c>
      <c r="J56" s="18" t="s">
        <v>1246</v>
      </c>
      <c r="K56" s="18" t="s">
        <v>1247</v>
      </c>
      <c r="L56" s="18" t="s">
        <v>162</v>
      </c>
    </row>
    <row r="57" spans="1:12">
      <c r="A57" s="18" t="s">
        <v>1318</v>
      </c>
      <c r="B57" s="18" t="s">
        <v>237</v>
      </c>
      <c r="C57" s="19">
        <v>46260</v>
      </c>
      <c r="D57" s="18" t="s">
        <v>1241</v>
      </c>
      <c r="E57" s="18" t="s">
        <v>1242</v>
      </c>
      <c r="F57" s="18">
        <v>5.3</v>
      </c>
      <c r="G57" s="18" t="s">
        <v>1243</v>
      </c>
      <c r="H57" s="18" t="s">
        <v>1244</v>
      </c>
      <c r="I57" s="18" t="s">
        <v>1245</v>
      </c>
      <c r="J57" s="18" t="s">
        <v>1246</v>
      </c>
      <c r="K57" s="18" t="s">
        <v>1247</v>
      </c>
      <c r="L57" s="18" t="s">
        <v>176</v>
      </c>
    </row>
    <row r="58" spans="1:12">
      <c r="A58" s="18" t="s">
        <v>1319</v>
      </c>
      <c r="B58" s="18" t="s">
        <v>237</v>
      </c>
      <c r="C58" s="19">
        <v>46260</v>
      </c>
      <c r="D58" s="18" t="s">
        <v>1249</v>
      </c>
      <c r="E58" s="18" t="s">
        <v>1250</v>
      </c>
      <c r="F58" s="18">
        <v>139</v>
      </c>
      <c r="G58" s="18" t="s">
        <v>1251</v>
      </c>
      <c r="H58" s="18" t="s">
        <v>1252</v>
      </c>
      <c r="I58" s="18" t="s">
        <v>1278</v>
      </c>
      <c r="J58" s="18" t="s">
        <v>1246</v>
      </c>
      <c r="K58" s="18" t="s">
        <v>1247</v>
      </c>
      <c r="L58" s="18" t="s">
        <v>176</v>
      </c>
    </row>
    <row r="59" spans="1:12">
      <c r="A59" s="18" t="s">
        <v>1320</v>
      </c>
      <c r="B59" s="18" t="s">
        <v>237</v>
      </c>
      <c r="C59" s="19">
        <v>46260</v>
      </c>
      <c r="D59" s="18" t="s">
        <v>1254</v>
      </c>
      <c r="E59" s="18" t="s">
        <v>1255</v>
      </c>
      <c r="F59" s="18">
        <v>221</v>
      </c>
      <c r="G59" s="18" t="s">
        <v>1251</v>
      </c>
      <c r="H59" s="18" t="s">
        <v>1256</v>
      </c>
      <c r="I59" s="18" t="s">
        <v>1278</v>
      </c>
      <c r="J59" s="18" t="s">
        <v>1246</v>
      </c>
      <c r="K59" s="18" t="s">
        <v>1247</v>
      </c>
      <c r="L59" s="18" t="s">
        <v>176</v>
      </c>
    </row>
    <row r="60" spans="1:12">
      <c r="A60" s="18" t="s">
        <v>1321</v>
      </c>
      <c r="B60" s="18" t="s">
        <v>237</v>
      </c>
      <c r="C60" s="19">
        <v>46260</v>
      </c>
      <c r="D60" s="18" t="s">
        <v>1258</v>
      </c>
      <c r="E60" s="18" t="s">
        <v>1259</v>
      </c>
      <c r="F60" s="18">
        <v>16</v>
      </c>
      <c r="G60" s="18" t="s">
        <v>1260</v>
      </c>
      <c r="H60" s="18" t="s">
        <v>1261</v>
      </c>
      <c r="I60" s="18" t="s">
        <v>1245</v>
      </c>
      <c r="J60" s="18" t="s">
        <v>1246</v>
      </c>
      <c r="K60" s="18" t="s">
        <v>1247</v>
      </c>
      <c r="L60" s="18" t="s">
        <v>176</v>
      </c>
    </row>
    <row r="61" spans="1:12">
      <c r="A61" s="18" t="s">
        <v>1322</v>
      </c>
      <c r="B61" s="18" t="s">
        <v>237</v>
      </c>
      <c r="C61" s="19">
        <v>46260</v>
      </c>
      <c r="D61" s="18" t="s">
        <v>1263</v>
      </c>
      <c r="E61" s="18" t="s">
        <v>1264</v>
      </c>
      <c r="F61" s="18">
        <v>9.6</v>
      </c>
      <c r="G61" s="18" t="s">
        <v>1265</v>
      </c>
      <c r="H61" s="18" t="s">
        <v>1266</v>
      </c>
      <c r="I61" s="18" t="s">
        <v>1245</v>
      </c>
      <c r="J61" s="18" t="s">
        <v>1246</v>
      </c>
      <c r="K61" s="18" t="s">
        <v>1247</v>
      </c>
      <c r="L61" s="18" t="s">
        <v>176</v>
      </c>
    </row>
    <row r="62" spans="1:12">
      <c r="A62" s="18" t="s">
        <v>1323</v>
      </c>
      <c r="B62" s="18" t="s">
        <v>248</v>
      </c>
      <c r="C62" s="19">
        <v>46261</v>
      </c>
      <c r="D62" s="18" t="s">
        <v>1241</v>
      </c>
      <c r="E62" s="18" t="s">
        <v>1242</v>
      </c>
      <c r="F62" s="18">
        <v>5.5</v>
      </c>
      <c r="G62" s="18" t="s">
        <v>1243</v>
      </c>
      <c r="H62" s="18" t="s">
        <v>1244</v>
      </c>
      <c r="I62" s="18" t="s">
        <v>1245</v>
      </c>
      <c r="J62" s="18" t="s">
        <v>1246</v>
      </c>
      <c r="K62" s="18" t="s">
        <v>1247</v>
      </c>
      <c r="L62" s="18" t="s">
        <v>98</v>
      </c>
    </row>
    <row r="63" spans="1:12">
      <c r="A63" s="18" t="s">
        <v>1324</v>
      </c>
      <c r="B63" s="18" t="s">
        <v>248</v>
      </c>
      <c r="C63" s="19">
        <v>46261</v>
      </c>
      <c r="D63" s="18" t="s">
        <v>1249</v>
      </c>
      <c r="E63" s="18" t="s">
        <v>1250</v>
      </c>
      <c r="F63" s="18">
        <v>84</v>
      </c>
      <c r="G63" s="18" t="s">
        <v>1251</v>
      </c>
      <c r="H63" s="18" t="s">
        <v>1252</v>
      </c>
      <c r="I63" s="18" t="s">
        <v>1245</v>
      </c>
      <c r="J63" s="18" t="s">
        <v>1246</v>
      </c>
      <c r="K63" s="18" t="s">
        <v>1247</v>
      </c>
      <c r="L63" s="18" t="s">
        <v>98</v>
      </c>
    </row>
    <row r="64" spans="1:12">
      <c r="A64" s="18" t="s">
        <v>1325</v>
      </c>
      <c r="B64" s="18" t="s">
        <v>248</v>
      </c>
      <c r="C64" s="19">
        <v>46261</v>
      </c>
      <c r="D64" s="18" t="s">
        <v>1254</v>
      </c>
      <c r="E64" s="18" t="s">
        <v>1255</v>
      </c>
      <c r="F64" s="18">
        <v>227</v>
      </c>
      <c r="G64" s="18" t="s">
        <v>1251</v>
      </c>
      <c r="H64" s="18" t="s">
        <v>1256</v>
      </c>
      <c r="I64" s="18" t="s">
        <v>1278</v>
      </c>
      <c r="J64" s="18" t="s">
        <v>1246</v>
      </c>
      <c r="K64" s="18" t="s">
        <v>1247</v>
      </c>
      <c r="L64" s="18" t="s">
        <v>98</v>
      </c>
    </row>
    <row r="65" spans="1:12">
      <c r="A65" s="18" t="s">
        <v>1326</v>
      </c>
      <c r="B65" s="18" t="s">
        <v>248</v>
      </c>
      <c r="C65" s="19">
        <v>46261</v>
      </c>
      <c r="D65" s="18" t="s">
        <v>1258</v>
      </c>
      <c r="E65" s="18" t="s">
        <v>1259</v>
      </c>
      <c r="F65" s="18">
        <v>12.2</v>
      </c>
      <c r="G65" s="18" t="s">
        <v>1260</v>
      </c>
      <c r="H65" s="18" t="s">
        <v>1261</v>
      </c>
      <c r="I65" s="18" t="s">
        <v>1245</v>
      </c>
      <c r="J65" s="18" t="s">
        <v>1246</v>
      </c>
      <c r="K65" s="18" t="s">
        <v>1247</v>
      </c>
      <c r="L65" s="18" t="s">
        <v>98</v>
      </c>
    </row>
    <row r="66" spans="1:12">
      <c r="A66" s="18" t="s">
        <v>1327</v>
      </c>
      <c r="B66" s="18" t="s">
        <v>248</v>
      </c>
      <c r="C66" s="19">
        <v>46261</v>
      </c>
      <c r="D66" s="18" t="s">
        <v>1263</v>
      </c>
      <c r="E66" s="18" t="s">
        <v>1264</v>
      </c>
      <c r="F66" s="18">
        <v>10</v>
      </c>
      <c r="G66" s="18" t="s">
        <v>1265</v>
      </c>
      <c r="H66" s="18" t="s">
        <v>1266</v>
      </c>
      <c r="I66" s="18" t="s">
        <v>1245</v>
      </c>
      <c r="J66" s="18" t="s">
        <v>1246</v>
      </c>
      <c r="K66" s="18" t="s">
        <v>1247</v>
      </c>
      <c r="L66" s="18" t="s">
        <v>98</v>
      </c>
    </row>
    <row r="67" spans="1:12">
      <c r="A67" s="18" t="s">
        <v>1328</v>
      </c>
      <c r="B67" s="18" t="s">
        <v>259</v>
      </c>
      <c r="C67" s="19">
        <v>46262</v>
      </c>
      <c r="D67" s="18" t="s">
        <v>1241</v>
      </c>
      <c r="E67" s="18" t="s">
        <v>1242</v>
      </c>
      <c r="F67" s="18">
        <v>5.8</v>
      </c>
      <c r="G67" s="18" t="s">
        <v>1243</v>
      </c>
      <c r="H67" s="18" t="s">
        <v>1244</v>
      </c>
      <c r="I67" s="18" t="s">
        <v>1278</v>
      </c>
      <c r="J67" s="18" t="s">
        <v>1246</v>
      </c>
      <c r="K67" s="18" t="s">
        <v>1247</v>
      </c>
      <c r="L67" s="18" t="s">
        <v>118</v>
      </c>
    </row>
    <row r="68" spans="1:12">
      <c r="A68" s="18" t="s">
        <v>1329</v>
      </c>
      <c r="B68" s="18" t="s">
        <v>259</v>
      </c>
      <c r="C68" s="19">
        <v>46262</v>
      </c>
      <c r="D68" s="18" t="s">
        <v>1249</v>
      </c>
      <c r="E68" s="18" t="s">
        <v>1250</v>
      </c>
      <c r="F68" s="18">
        <v>89</v>
      </c>
      <c r="G68" s="18" t="s">
        <v>1251</v>
      </c>
      <c r="H68" s="18" t="s">
        <v>1252</v>
      </c>
      <c r="I68" s="18" t="s">
        <v>1245</v>
      </c>
      <c r="J68" s="18" t="s">
        <v>1246</v>
      </c>
      <c r="K68" s="18" t="s">
        <v>1247</v>
      </c>
      <c r="L68" s="18" t="s">
        <v>118</v>
      </c>
    </row>
    <row r="69" spans="1:12">
      <c r="A69" s="18" t="s">
        <v>1330</v>
      </c>
      <c r="B69" s="18" t="s">
        <v>259</v>
      </c>
      <c r="C69" s="19">
        <v>46262</v>
      </c>
      <c r="D69" s="18" t="s">
        <v>1254</v>
      </c>
      <c r="E69" s="18" t="s">
        <v>1255</v>
      </c>
      <c r="F69" s="18">
        <v>233</v>
      </c>
      <c r="G69" s="18" t="s">
        <v>1251</v>
      </c>
      <c r="H69" s="18" t="s">
        <v>1256</v>
      </c>
      <c r="I69" s="18" t="s">
        <v>1278</v>
      </c>
      <c r="J69" s="18" t="s">
        <v>1246</v>
      </c>
      <c r="K69" s="18" t="s">
        <v>1247</v>
      </c>
      <c r="L69" s="18" t="s">
        <v>118</v>
      </c>
    </row>
    <row r="70" spans="1:12">
      <c r="A70" s="18" t="s">
        <v>1331</v>
      </c>
      <c r="B70" s="18" t="s">
        <v>259</v>
      </c>
      <c r="C70" s="19">
        <v>46262</v>
      </c>
      <c r="D70" s="18" t="s">
        <v>1258</v>
      </c>
      <c r="E70" s="18" t="s">
        <v>1259</v>
      </c>
      <c r="F70" s="18">
        <v>12.5</v>
      </c>
      <c r="G70" s="18" t="s">
        <v>1260</v>
      </c>
      <c r="H70" s="18" t="s">
        <v>1261</v>
      </c>
      <c r="I70" s="18" t="s">
        <v>1245</v>
      </c>
      <c r="J70" s="18" t="s">
        <v>1246</v>
      </c>
      <c r="K70" s="18" t="s">
        <v>1247</v>
      </c>
      <c r="L70" s="18" t="s">
        <v>118</v>
      </c>
    </row>
    <row r="71" spans="1:12">
      <c r="A71" s="18" t="s">
        <v>1332</v>
      </c>
      <c r="B71" s="18" t="s">
        <v>259</v>
      </c>
      <c r="C71" s="19">
        <v>46262</v>
      </c>
      <c r="D71" s="18" t="s">
        <v>1263</v>
      </c>
      <c r="E71" s="18" t="s">
        <v>1264</v>
      </c>
      <c r="F71" s="18">
        <v>10.4</v>
      </c>
      <c r="G71" s="18" t="s">
        <v>1265</v>
      </c>
      <c r="H71" s="18" t="s">
        <v>1266</v>
      </c>
      <c r="I71" s="18" t="s">
        <v>1245</v>
      </c>
      <c r="J71" s="18" t="s">
        <v>1246</v>
      </c>
      <c r="K71" s="18" t="s">
        <v>1247</v>
      </c>
      <c r="L71" s="18" t="s">
        <v>118</v>
      </c>
    </row>
    <row r="72" spans="1:12">
      <c r="A72" s="18" t="s">
        <v>1333</v>
      </c>
      <c r="B72" s="18" t="s">
        <v>270</v>
      </c>
      <c r="C72" s="19">
        <v>46263</v>
      </c>
      <c r="D72" s="18" t="s">
        <v>1241</v>
      </c>
      <c r="E72" s="18" t="s">
        <v>1242</v>
      </c>
      <c r="F72" s="18">
        <v>6</v>
      </c>
      <c r="G72" s="18" t="s">
        <v>1243</v>
      </c>
      <c r="H72" s="18" t="s">
        <v>1244</v>
      </c>
      <c r="I72" s="18" t="s">
        <v>1278</v>
      </c>
      <c r="J72" s="18" t="s">
        <v>1246</v>
      </c>
      <c r="K72" s="18" t="s">
        <v>1247</v>
      </c>
      <c r="L72" s="18" t="s">
        <v>134</v>
      </c>
    </row>
    <row r="73" spans="1:12">
      <c r="A73" s="18" t="s">
        <v>1334</v>
      </c>
      <c r="B73" s="18" t="s">
        <v>270</v>
      </c>
      <c r="C73" s="19">
        <v>46263</v>
      </c>
      <c r="D73" s="18" t="s">
        <v>1249</v>
      </c>
      <c r="E73" s="18" t="s">
        <v>1250</v>
      </c>
      <c r="F73" s="18">
        <v>94</v>
      </c>
      <c r="G73" s="18" t="s">
        <v>1251</v>
      </c>
      <c r="H73" s="18" t="s">
        <v>1252</v>
      </c>
      <c r="I73" s="18" t="s">
        <v>1245</v>
      </c>
      <c r="J73" s="18" t="s">
        <v>1246</v>
      </c>
      <c r="K73" s="18" t="s">
        <v>1247</v>
      </c>
      <c r="L73" s="18" t="s">
        <v>134</v>
      </c>
    </row>
    <row r="74" spans="1:12">
      <c r="A74" s="18" t="s">
        <v>1335</v>
      </c>
      <c r="B74" s="18" t="s">
        <v>270</v>
      </c>
      <c r="C74" s="19">
        <v>46263</v>
      </c>
      <c r="D74" s="18" t="s">
        <v>1254</v>
      </c>
      <c r="E74" s="18" t="s">
        <v>1255</v>
      </c>
      <c r="F74" s="18">
        <v>239</v>
      </c>
      <c r="G74" s="18" t="s">
        <v>1251</v>
      </c>
      <c r="H74" s="18" t="s">
        <v>1256</v>
      </c>
      <c r="I74" s="18" t="s">
        <v>1278</v>
      </c>
      <c r="J74" s="18" t="s">
        <v>1246</v>
      </c>
      <c r="K74" s="18" t="s">
        <v>1247</v>
      </c>
      <c r="L74" s="18" t="s">
        <v>134</v>
      </c>
    </row>
    <row r="75" spans="1:12">
      <c r="A75" s="18" t="s">
        <v>1336</v>
      </c>
      <c r="B75" s="18" t="s">
        <v>270</v>
      </c>
      <c r="C75" s="19">
        <v>46263</v>
      </c>
      <c r="D75" s="18" t="s">
        <v>1258</v>
      </c>
      <c r="E75" s="18" t="s">
        <v>1259</v>
      </c>
      <c r="F75" s="18">
        <v>12.9</v>
      </c>
      <c r="G75" s="18" t="s">
        <v>1260</v>
      </c>
      <c r="H75" s="18" t="s">
        <v>1261</v>
      </c>
      <c r="I75" s="18" t="s">
        <v>1245</v>
      </c>
      <c r="J75" s="18" t="s">
        <v>1246</v>
      </c>
      <c r="K75" s="18" t="s">
        <v>1247</v>
      </c>
      <c r="L75" s="18" t="s">
        <v>134</v>
      </c>
    </row>
    <row r="76" spans="1:12">
      <c r="A76" s="18" t="s">
        <v>1337</v>
      </c>
      <c r="B76" s="18" t="s">
        <v>270</v>
      </c>
      <c r="C76" s="19">
        <v>46263</v>
      </c>
      <c r="D76" s="18" t="s">
        <v>1263</v>
      </c>
      <c r="E76" s="18" t="s">
        <v>1264</v>
      </c>
      <c r="F76" s="18">
        <v>4.5999999999999996</v>
      </c>
      <c r="G76" s="18" t="s">
        <v>1265</v>
      </c>
      <c r="H76" s="18" t="s">
        <v>1266</v>
      </c>
      <c r="I76" s="18" t="s">
        <v>1245</v>
      </c>
      <c r="J76" s="18" t="s">
        <v>1246</v>
      </c>
      <c r="K76" s="18" t="s">
        <v>1247</v>
      </c>
      <c r="L76" s="18" t="s">
        <v>134</v>
      </c>
    </row>
    <row r="77" spans="1:12">
      <c r="A77" s="18" t="s">
        <v>1338</v>
      </c>
      <c r="B77" s="18" t="s">
        <v>281</v>
      </c>
      <c r="C77" s="19">
        <v>46264</v>
      </c>
      <c r="D77" s="18" t="s">
        <v>1241</v>
      </c>
      <c r="E77" s="18" t="s">
        <v>1242</v>
      </c>
      <c r="F77" s="18">
        <v>6.2</v>
      </c>
      <c r="G77" s="18" t="s">
        <v>1243</v>
      </c>
      <c r="H77" s="18" t="s">
        <v>1244</v>
      </c>
      <c r="I77" s="18" t="s">
        <v>1278</v>
      </c>
      <c r="J77" s="18" t="s">
        <v>1246</v>
      </c>
      <c r="K77" s="18" t="s">
        <v>1247</v>
      </c>
      <c r="L77" s="18" t="s">
        <v>149</v>
      </c>
    </row>
    <row r="78" spans="1:12">
      <c r="A78" s="18" t="s">
        <v>1339</v>
      </c>
      <c r="B78" s="18" t="s">
        <v>281</v>
      </c>
      <c r="C78" s="19">
        <v>46264</v>
      </c>
      <c r="D78" s="18" t="s">
        <v>1249</v>
      </c>
      <c r="E78" s="18" t="s">
        <v>1250</v>
      </c>
      <c r="F78" s="18">
        <v>99</v>
      </c>
      <c r="G78" s="18" t="s">
        <v>1251</v>
      </c>
      <c r="H78" s="18" t="s">
        <v>1252</v>
      </c>
      <c r="I78" s="18" t="s">
        <v>1245</v>
      </c>
      <c r="J78" s="18" t="s">
        <v>1246</v>
      </c>
      <c r="K78" s="18" t="s">
        <v>1247</v>
      </c>
      <c r="L78" s="18" t="s">
        <v>149</v>
      </c>
    </row>
    <row r="79" spans="1:12">
      <c r="A79" s="18" t="s">
        <v>1340</v>
      </c>
      <c r="B79" s="18" t="s">
        <v>281</v>
      </c>
      <c r="C79" s="19">
        <v>46264</v>
      </c>
      <c r="D79" s="18" t="s">
        <v>1254</v>
      </c>
      <c r="E79" s="18" t="s">
        <v>1255</v>
      </c>
      <c r="F79" s="18">
        <v>155</v>
      </c>
      <c r="G79" s="18" t="s">
        <v>1251</v>
      </c>
      <c r="H79" s="18" t="s">
        <v>1256</v>
      </c>
      <c r="I79" s="18" t="s">
        <v>1245</v>
      </c>
      <c r="J79" s="18" t="s">
        <v>1246</v>
      </c>
      <c r="K79" s="18" t="s">
        <v>1247</v>
      </c>
      <c r="L79" s="18" t="s">
        <v>149</v>
      </c>
    </row>
    <row r="80" spans="1:12">
      <c r="A80" s="18" t="s">
        <v>1341</v>
      </c>
      <c r="B80" s="18" t="s">
        <v>281</v>
      </c>
      <c r="C80" s="19">
        <v>46264</v>
      </c>
      <c r="D80" s="18" t="s">
        <v>1258</v>
      </c>
      <c r="E80" s="18" t="s">
        <v>1259</v>
      </c>
      <c r="F80" s="18">
        <v>13.2</v>
      </c>
      <c r="G80" s="18" t="s">
        <v>1260</v>
      </c>
      <c r="H80" s="18" t="s">
        <v>1261</v>
      </c>
      <c r="I80" s="18" t="s">
        <v>1245</v>
      </c>
      <c r="J80" s="18" t="s">
        <v>1246</v>
      </c>
      <c r="K80" s="18" t="s">
        <v>1247</v>
      </c>
      <c r="L80" s="18" t="s">
        <v>149</v>
      </c>
    </row>
    <row r="81" spans="1:12">
      <c r="A81" s="18" t="s">
        <v>1342</v>
      </c>
      <c r="B81" s="18" t="s">
        <v>281</v>
      </c>
      <c r="C81" s="19">
        <v>46264</v>
      </c>
      <c r="D81" s="18" t="s">
        <v>1263</v>
      </c>
      <c r="E81" s="18" t="s">
        <v>1264</v>
      </c>
      <c r="F81" s="18">
        <v>5</v>
      </c>
      <c r="G81" s="18" t="s">
        <v>1265</v>
      </c>
      <c r="H81" s="18" t="s">
        <v>1266</v>
      </c>
      <c r="I81" s="18" t="s">
        <v>1245</v>
      </c>
      <c r="J81" s="18" t="s">
        <v>1246</v>
      </c>
      <c r="K81" s="18" t="s">
        <v>1247</v>
      </c>
      <c r="L81" s="18" t="s">
        <v>149</v>
      </c>
    </row>
    <row r="82" spans="1:12">
      <c r="A82" s="18" t="s">
        <v>1343</v>
      </c>
      <c r="B82" s="18" t="s">
        <v>292</v>
      </c>
      <c r="C82" s="19">
        <v>46265</v>
      </c>
      <c r="D82" s="18" t="s">
        <v>1241</v>
      </c>
      <c r="E82" s="18" t="s">
        <v>1242</v>
      </c>
      <c r="F82" s="18">
        <v>6.4</v>
      </c>
      <c r="G82" s="18" t="s">
        <v>1243</v>
      </c>
      <c r="H82" s="18" t="s">
        <v>1244</v>
      </c>
      <c r="I82" s="18" t="s">
        <v>1278</v>
      </c>
      <c r="J82" s="18" t="s">
        <v>1246</v>
      </c>
      <c r="K82" s="18" t="s">
        <v>1247</v>
      </c>
      <c r="L82" s="18" t="s">
        <v>162</v>
      </c>
    </row>
    <row r="83" spans="1:12">
      <c r="A83" s="18" t="s">
        <v>1344</v>
      </c>
      <c r="B83" s="18" t="s">
        <v>292</v>
      </c>
      <c r="C83" s="19">
        <v>46265</v>
      </c>
      <c r="D83" s="18" t="s">
        <v>1249</v>
      </c>
      <c r="E83" s="18" t="s">
        <v>1250</v>
      </c>
      <c r="F83" s="18">
        <v>104</v>
      </c>
      <c r="G83" s="18" t="s">
        <v>1251</v>
      </c>
      <c r="H83" s="18" t="s">
        <v>1252</v>
      </c>
      <c r="I83" s="18" t="s">
        <v>1278</v>
      </c>
      <c r="J83" s="18" t="s">
        <v>1246</v>
      </c>
      <c r="K83" s="18" t="s">
        <v>1247</v>
      </c>
      <c r="L83" s="18" t="s">
        <v>162</v>
      </c>
    </row>
    <row r="84" spans="1:12">
      <c r="A84" s="18" t="s">
        <v>1345</v>
      </c>
      <c r="B84" s="18" t="s">
        <v>292</v>
      </c>
      <c r="C84" s="19">
        <v>46265</v>
      </c>
      <c r="D84" s="18" t="s">
        <v>1254</v>
      </c>
      <c r="E84" s="18" t="s">
        <v>1255</v>
      </c>
      <c r="F84" s="18">
        <v>161</v>
      </c>
      <c r="G84" s="18" t="s">
        <v>1251</v>
      </c>
      <c r="H84" s="18" t="s">
        <v>1256</v>
      </c>
      <c r="I84" s="18" t="s">
        <v>1245</v>
      </c>
      <c r="J84" s="18" t="s">
        <v>1246</v>
      </c>
      <c r="K84" s="18" t="s">
        <v>1247</v>
      </c>
      <c r="L84" s="18" t="s">
        <v>162</v>
      </c>
    </row>
    <row r="85" spans="1:12">
      <c r="A85" s="18" t="s">
        <v>1346</v>
      </c>
      <c r="B85" s="18" t="s">
        <v>292</v>
      </c>
      <c r="C85" s="19">
        <v>46265</v>
      </c>
      <c r="D85" s="18" t="s">
        <v>1258</v>
      </c>
      <c r="E85" s="18" t="s">
        <v>1259</v>
      </c>
      <c r="F85" s="18">
        <v>13.6</v>
      </c>
      <c r="G85" s="18" t="s">
        <v>1260</v>
      </c>
      <c r="H85" s="18" t="s">
        <v>1261</v>
      </c>
      <c r="I85" s="18" t="s">
        <v>1245</v>
      </c>
      <c r="J85" s="18" t="s">
        <v>1246</v>
      </c>
      <c r="K85" s="18" t="s">
        <v>1247</v>
      </c>
      <c r="L85" s="18" t="s">
        <v>162</v>
      </c>
    </row>
    <row r="86" spans="1:12">
      <c r="A86" s="18" t="s">
        <v>1347</v>
      </c>
      <c r="B86" s="18" t="s">
        <v>292</v>
      </c>
      <c r="C86" s="19">
        <v>46265</v>
      </c>
      <c r="D86" s="18" t="s">
        <v>1263</v>
      </c>
      <c r="E86" s="18" t="s">
        <v>1264</v>
      </c>
      <c r="F86" s="18">
        <v>5.5</v>
      </c>
      <c r="G86" s="18" t="s">
        <v>1265</v>
      </c>
      <c r="H86" s="18" t="s">
        <v>1266</v>
      </c>
      <c r="I86" s="18" t="s">
        <v>1245</v>
      </c>
      <c r="J86" s="18" t="s">
        <v>1246</v>
      </c>
      <c r="K86" s="18" t="s">
        <v>1247</v>
      </c>
      <c r="L86" s="18" t="s">
        <v>162</v>
      </c>
    </row>
    <row r="87" spans="1:12">
      <c r="A87" s="18" t="s">
        <v>1348</v>
      </c>
      <c r="B87" s="18" t="s">
        <v>303</v>
      </c>
      <c r="C87" s="19">
        <v>46266</v>
      </c>
      <c r="D87" s="18" t="s">
        <v>1241</v>
      </c>
      <c r="E87" s="18" t="s">
        <v>1242</v>
      </c>
      <c r="F87" s="18">
        <v>6.6</v>
      </c>
      <c r="G87" s="18" t="s">
        <v>1243</v>
      </c>
      <c r="H87" s="18" t="s">
        <v>1244</v>
      </c>
      <c r="I87" s="18" t="s">
        <v>1278</v>
      </c>
      <c r="J87" s="18" t="s">
        <v>1246</v>
      </c>
      <c r="K87" s="18" t="s">
        <v>1247</v>
      </c>
      <c r="L87" s="18" t="s">
        <v>176</v>
      </c>
    </row>
    <row r="88" spans="1:12">
      <c r="A88" s="18" t="s">
        <v>1349</v>
      </c>
      <c r="B88" s="18" t="s">
        <v>303</v>
      </c>
      <c r="C88" s="19">
        <v>46266</v>
      </c>
      <c r="D88" s="18" t="s">
        <v>1249</v>
      </c>
      <c r="E88" s="18" t="s">
        <v>1250</v>
      </c>
      <c r="F88" s="18">
        <v>109</v>
      </c>
      <c r="G88" s="18" t="s">
        <v>1251</v>
      </c>
      <c r="H88" s="18" t="s">
        <v>1252</v>
      </c>
      <c r="I88" s="18" t="s">
        <v>1278</v>
      </c>
      <c r="J88" s="18" t="s">
        <v>1246</v>
      </c>
      <c r="K88" s="18" t="s">
        <v>1247</v>
      </c>
      <c r="L88" s="18" t="s">
        <v>176</v>
      </c>
    </row>
    <row r="89" spans="1:12">
      <c r="A89" s="18" t="s">
        <v>1350</v>
      </c>
      <c r="B89" s="18" t="s">
        <v>303</v>
      </c>
      <c r="C89" s="19">
        <v>46266</v>
      </c>
      <c r="D89" s="18" t="s">
        <v>1254</v>
      </c>
      <c r="E89" s="18" t="s">
        <v>1255</v>
      </c>
      <c r="F89" s="18">
        <v>167</v>
      </c>
      <c r="G89" s="18" t="s">
        <v>1251</v>
      </c>
      <c r="H89" s="18" t="s">
        <v>1256</v>
      </c>
      <c r="I89" s="18" t="s">
        <v>1245</v>
      </c>
      <c r="J89" s="18" t="s">
        <v>1246</v>
      </c>
      <c r="K89" s="18" t="s">
        <v>1247</v>
      </c>
      <c r="L89" s="18" t="s">
        <v>176</v>
      </c>
    </row>
    <row r="90" spans="1:12">
      <c r="A90" s="18" t="s">
        <v>1351</v>
      </c>
      <c r="B90" s="18" t="s">
        <v>303</v>
      </c>
      <c r="C90" s="19">
        <v>46266</v>
      </c>
      <c r="D90" s="18" t="s">
        <v>1258</v>
      </c>
      <c r="E90" s="18" t="s">
        <v>1259</v>
      </c>
      <c r="F90" s="18">
        <v>13.9</v>
      </c>
      <c r="G90" s="18" t="s">
        <v>1260</v>
      </c>
      <c r="H90" s="18" t="s">
        <v>1261</v>
      </c>
      <c r="I90" s="18" t="s">
        <v>1245</v>
      </c>
      <c r="J90" s="18" t="s">
        <v>1246</v>
      </c>
      <c r="K90" s="18" t="s">
        <v>1247</v>
      </c>
      <c r="L90" s="18" t="s">
        <v>176</v>
      </c>
    </row>
    <row r="91" spans="1:12">
      <c r="A91" s="18" t="s">
        <v>1352</v>
      </c>
      <c r="B91" s="18" t="s">
        <v>303</v>
      </c>
      <c r="C91" s="19">
        <v>46266</v>
      </c>
      <c r="D91" s="18" t="s">
        <v>1263</v>
      </c>
      <c r="E91" s="18" t="s">
        <v>1264</v>
      </c>
      <c r="F91" s="18">
        <v>5.9</v>
      </c>
      <c r="G91" s="18" t="s">
        <v>1265</v>
      </c>
      <c r="H91" s="18" t="s">
        <v>1266</v>
      </c>
      <c r="I91" s="18" t="s">
        <v>1245</v>
      </c>
      <c r="J91" s="18" t="s">
        <v>1246</v>
      </c>
      <c r="K91" s="18" t="s">
        <v>1247</v>
      </c>
      <c r="L91" s="18" t="s">
        <v>176</v>
      </c>
    </row>
    <row r="92" spans="1:12">
      <c r="A92" s="18" t="s">
        <v>1353</v>
      </c>
      <c r="B92" s="18" t="s">
        <v>313</v>
      </c>
      <c r="C92" s="19">
        <v>46267</v>
      </c>
      <c r="D92" s="18" t="s">
        <v>1241</v>
      </c>
      <c r="E92" s="18" t="s">
        <v>1242</v>
      </c>
      <c r="F92" s="18">
        <v>6.9</v>
      </c>
      <c r="G92" s="18" t="s">
        <v>1243</v>
      </c>
      <c r="H92" s="18" t="s">
        <v>1244</v>
      </c>
      <c r="I92" s="18" t="s">
        <v>1278</v>
      </c>
      <c r="J92" s="18" t="s">
        <v>1246</v>
      </c>
      <c r="K92" s="18" t="s">
        <v>1247</v>
      </c>
      <c r="L92" s="18" t="s">
        <v>98</v>
      </c>
    </row>
    <row r="93" spans="1:12">
      <c r="A93" s="18" t="s">
        <v>1354</v>
      </c>
      <c r="B93" s="18" t="s">
        <v>313</v>
      </c>
      <c r="C93" s="19">
        <v>46267</v>
      </c>
      <c r="D93" s="18" t="s">
        <v>1249</v>
      </c>
      <c r="E93" s="18" t="s">
        <v>1250</v>
      </c>
      <c r="F93" s="18">
        <v>114</v>
      </c>
      <c r="G93" s="18" t="s">
        <v>1251</v>
      </c>
      <c r="H93" s="18" t="s">
        <v>1252</v>
      </c>
      <c r="I93" s="18" t="s">
        <v>1278</v>
      </c>
      <c r="J93" s="18" t="s">
        <v>1246</v>
      </c>
      <c r="K93" s="18" t="s">
        <v>1247</v>
      </c>
      <c r="L93" s="18" t="s">
        <v>98</v>
      </c>
    </row>
    <row r="94" spans="1:12">
      <c r="A94" s="18" t="s">
        <v>1355</v>
      </c>
      <c r="B94" s="18" t="s">
        <v>313</v>
      </c>
      <c r="C94" s="19">
        <v>46267</v>
      </c>
      <c r="D94" s="18" t="s">
        <v>1254</v>
      </c>
      <c r="E94" s="18" t="s">
        <v>1255</v>
      </c>
      <c r="F94" s="18">
        <v>173</v>
      </c>
      <c r="G94" s="18" t="s">
        <v>1251</v>
      </c>
      <c r="H94" s="18" t="s">
        <v>1256</v>
      </c>
      <c r="I94" s="18" t="s">
        <v>1245</v>
      </c>
      <c r="J94" s="18" t="s">
        <v>1246</v>
      </c>
      <c r="K94" s="18" t="s">
        <v>1247</v>
      </c>
      <c r="L94" s="18" t="s">
        <v>98</v>
      </c>
    </row>
    <row r="95" spans="1:12">
      <c r="A95" s="18" t="s">
        <v>1356</v>
      </c>
      <c r="B95" s="18" t="s">
        <v>313</v>
      </c>
      <c r="C95" s="19">
        <v>46267</v>
      </c>
      <c r="D95" s="18" t="s">
        <v>1258</v>
      </c>
      <c r="E95" s="18" t="s">
        <v>1259</v>
      </c>
      <c r="F95" s="18">
        <v>14.3</v>
      </c>
      <c r="G95" s="18" t="s">
        <v>1260</v>
      </c>
      <c r="H95" s="18" t="s">
        <v>1261</v>
      </c>
      <c r="I95" s="18" t="s">
        <v>1245</v>
      </c>
      <c r="J95" s="18" t="s">
        <v>1246</v>
      </c>
      <c r="K95" s="18" t="s">
        <v>1247</v>
      </c>
      <c r="L95" s="18" t="s">
        <v>98</v>
      </c>
    </row>
    <row r="96" spans="1:12">
      <c r="A96" s="18" t="s">
        <v>1357</v>
      </c>
      <c r="B96" s="18" t="s">
        <v>313</v>
      </c>
      <c r="C96" s="19">
        <v>46267</v>
      </c>
      <c r="D96" s="18" t="s">
        <v>1263</v>
      </c>
      <c r="E96" s="18" t="s">
        <v>1264</v>
      </c>
      <c r="F96" s="18">
        <v>6.4</v>
      </c>
      <c r="G96" s="18" t="s">
        <v>1265</v>
      </c>
      <c r="H96" s="18" t="s">
        <v>1266</v>
      </c>
      <c r="I96" s="18" t="s">
        <v>1245</v>
      </c>
      <c r="J96" s="18" t="s">
        <v>1246</v>
      </c>
      <c r="K96" s="18" t="s">
        <v>1247</v>
      </c>
      <c r="L96" s="18" t="s">
        <v>98</v>
      </c>
    </row>
    <row r="97" spans="1:12">
      <c r="A97" s="18" t="s">
        <v>1358</v>
      </c>
      <c r="B97" s="18" t="s">
        <v>324</v>
      </c>
      <c r="C97" s="19">
        <v>46268</v>
      </c>
      <c r="D97" s="18" t="s">
        <v>1241</v>
      </c>
      <c r="E97" s="18" t="s">
        <v>1242</v>
      </c>
      <c r="F97" s="18">
        <v>7.1</v>
      </c>
      <c r="G97" s="18" t="s">
        <v>1243</v>
      </c>
      <c r="H97" s="18" t="s">
        <v>1244</v>
      </c>
      <c r="I97" s="18" t="s">
        <v>1278</v>
      </c>
      <c r="J97" s="18" t="s">
        <v>1246</v>
      </c>
      <c r="K97" s="18" t="s">
        <v>1247</v>
      </c>
      <c r="L97" s="18" t="s">
        <v>118</v>
      </c>
    </row>
    <row r="98" spans="1:12">
      <c r="A98" s="18" t="s">
        <v>1359</v>
      </c>
      <c r="B98" s="18" t="s">
        <v>324</v>
      </c>
      <c r="C98" s="19">
        <v>46268</v>
      </c>
      <c r="D98" s="18" t="s">
        <v>1249</v>
      </c>
      <c r="E98" s="18" t="s">
        <v>1250</v>
      </c>
      <c r="F98" s="18">
        <v>119</v>
      </c>
      <c r="G98" s="18" t="s">
        <v>1251</v>
      </c>
      <c r="H98" s="18" t="s">
        <v>1252</v>
      </c>
      <c r="I98" s="18" t="s">
        <v>1278</v>
      </c>
      <c r="J98" s="18" t="s">
        <v>1246</v>
      </c>
      <c r="K98" s="18" t="s">
        <v>1247</v>
      </c>
      <c r="L98" s="18" t="s">
        <v>118</v>
      </c>
    </row>
    <row r="99" spans="1:12">
      <c r="A99" s="18" t="s">
        <v>1360</v>
      </c>
      <c r="B99" s="18" t="s">
        <v>324</v>
      </c>
      <c r="C99" s="19">
        <v>46268</v>
      </c>
      <c r="D99" s="18" t="s">
        <v>1254</v>
      </c>
      <c r="E99" s="18" t="s">
        <v>1255</v>
      </c>
      <c r="F99" s="18">
        <v>179</v>
      </c>
      <c r="G99" s="18" t="s">
        <v>1251</v>
      </c>
      <c r="H99" s="18" t="s">
        <v>1256</v>
      </c>
      <c r="I99" s="18" t="s">
        <v>1245</v>
      </c>
      <c r="J99" s="18" t="s">
        <v>1246</v>
      </c>
      <c r="K99" s="18" t="s">
        <v>1247</v>
      </c>
      <c r="L99" s="18" t="s">
        <v>118</v>
      </c>
    </row>
    <row r="100" spans="1:12">
      <c r="A100" s="18" t="s">
        <v>1361</v>
      </c>
      <c r="B100" s="18" t="s">
        <v>324</v>
      </c>
      <c r="C100" s="19">
        <v>46268</v>
      </c>
      <c r="D100" s="18" t="s">
        <v>1258</v>
      </c>
      <c r="E100" s="18" t="s">
        <v>1259</v>
      </c>
      <c r="F100" s="18">
        <v>14.6</v>
      </c>
      <c r="G100" s="18" t="s">
        <v>1260</v>
      </c>
      <c r="H100" s="18" t="s">
        <v>1261</v>
      </c>
      <c r="I100" s="18" t="s">
        <v>1245</v>
      </c>
      <c r="J100" s="18" t="s">
        <v>1246</v>
      </c>
      <c r="K100" s="18" t="s">
        <v>1247</v>
      </c>
      <c r="L100" s="18" t="s">
        <v>118</v>
      </c>
    </row>
    <row r="101" spans="1:12">
      <c r="A101" s="18" t="s">
        <v>1362</v>
      </c>
      <c r="B101" s="18" t="s">
        <v>324</v>
      </c>
      <c r="C101" s="19">
        <v>46268</v>
      </c>
      <c r="D101" s="18" t="s">
        <v>1263</v>
      </c>
      <c r="E101" s="18" t="s">
        <v>1264</v>
      </c>
      <c r="F101" s="18">
        <v>6.8</v>
      </c>
      <c r="G101" s="18" t="s">
        <v>1265</v>
      </c>
      <c r="H101" s="18" t="s">
        <v>1266</v>
      </c>
      <c r="I101" s="18" t="s">
        <v>1245</v>
      </c>
      <c r="J101" s="18" t="s">
        <v>1246</v>
      </c>
      <c r="K101" s="18" t="s">
        <v>1247</v>
      </c>
      <c r="L101" s="18" t="s">
        <v>118</v>
      </c>
    </row>
    <row r="102" spans="1:12">
      <c r="A102" s="18" t="s">
        <v>1363</v>
      </c>
      <c r="B102" s="18" t="s">
        <v>335</v>
      </c>
      <c r="C102" s="19">
        <v>46249</v>
      </c>
      <c r="D102" s="18" t="s">
        <v>1241</v>
      </c>
      <c r="E102" s="18" t="s">
        <v>1242</v>
      </c>
      <c r="F102" s="18">
        <v>5.0999999999999996</v>
      </c>
      <c r="G102" s="18" t="s">
        <v>1243</v>
      </c>
      <c r="H102" s="18" t="s">
        <v>1244</v>
      </c>
      <c r="I102" s="18" t="s">
        <v>1245</v>
      </c>
      <c r="J102" s="18" t="s">
        <v>1246</v>
      </c>
      <c r="K102" s="18" t="s">
        <v>1247</v>
      </c>
      <c r="L102" s="18" t="s">
        <v>134</v>
      </c>
    </row>
    <row r="103" spans="1:12">
      <c r="A103" s="18" t="s">
        <v>1364</v>
      </c>
      <c r="B103" s="18" t="s">
        <v>335</v>
      </c>
      <c r="C103" s="19">
        <v>46249</v>
      </c>
      <c r="D103" s="18" t="s">
        <v>1249</v>
      </c>
      <c r="E103" s="18" t="s">
        <v>1250</v>
      </c>
      <c r="F103" s="18">
        <v>124</v>
      </c>
      <c r="G103" s="18" t="s">
        <v>1251</v>
      </c>
      <c r="H103" s="18" t="s">
        <v>1252</v>
      </c>
      <c r="I103" s="18" t="s">
        <v>1278</v>
      </c>
      <c r="J103" s="18" t="s">
        <v>1246</v>
      </c>
      <c r="K103" s="18" t="s">
        <v>1247</v>
      </c>
      <c r="L103" s="18" t="s">
        <v>134</v>
      </c>
    </row>
    <row r="104" spans="1:12">
      <c r="A104" s="18" t="s">
        <v>1365</v>
      </c>
      <c r="B104" s="18" t="s">
        <v>335</v>
      </c>
      <c r="C104" s="19">
        <v>46249</v>
      </c>
      <c r="D104" s="18" t="s">
        <v>1254</v>
      </c>
      <c r="E104" s="18" t="s">
        <v>1255</v>
      </c>
      <c r="F104" s="18">
        <v>185</v>
      </c>
      <c r="G104" s="18" t="s">
        <v>1251</v>
      </c>
      <c r="H104" s="18" t="s">
        <v>1256</v>
      </c>
      <c r="I104" s="18" t="s">
        <v>1245</v>
      </c>
      <c r="J104" s="18" t="s">
        <v>1246</v>
      </c>
      <c r="K104" s="18" t="s">
        <v>1247</v>
      </c>
      <c r="L104" s="18" t="s">
        <v>134</v>
      </c>
    </row>
    <row r="105" spans="1:12">
      <c r="A105" s="18" t="s">
        <v>1366</v>
      </c>
      <c r="B105" s="18" t="s">
        <v>335</v>
      </c>
      <c r="C105" s="19">
        <v>46249</v>
      </c>
      <c r="D105" s="18" t="s">
        <v>1258</v>
      </c>
      <c r="E105" s="18" t="s">
        <v>1259</v>
      </c>
      <c r="F105" s="18">
        <v>15</v>
      </c>
      <c r="G105" s="18" t="s">
        <v>1260</v>
      </c>
      <c r="H105" s="18" t="s">
        <v>1261</v>
      </c>
      <c r="I105" s="18" t="s">
        <v>1245</v>
      </c>
      <c r="J105" s="18" t="s">
        <v>1246</v>
      </c>
      <c r="K105" s="18" t="s">
        <v>1247</v>
      </c>
      <c r="L105" s="18" t="s">
        <v>134</v>
      </c>
    </row>
    <row r="106" spans="1:12">
      <c r="A106" s="18" t="s">
        <v>1367</v>
      </c>
      <c r="B106" s="18" t="s">
        <v>335</v>
      </c>
      <c r="C106" s="19">
        <v>46249</v>
      </c>
      <c r="D106" s="18" t="s">
        <v>1263</v>
      </c>
      <c r="E106" s="18" t="s">
        <v>1264</v>
      </c>
      <c r="F106" s="18">
        <v>7.3</v>
      </c>
      <c r="G106" s="18" t="s">
        <v>1265</v>
      </c>
      <c r="H106" s="18" t="s">
        <v>1266</v>
      </c>
      <c r="I106" s="18" t="s">
        <v>1245</v>
      </c>
      <c r="J106" s="18" t="s">
        <v>1246</v>
      </c>
      <c r="K106" s="18" t="s">
        <v>1247</v>
      </c>
      <c r="L106" s="18" t="s">
        <v>134</v>
      </c>
    </row>
    <row r="107" spans="1:12">
      <c r="A107" s="18" t="s">
        <v>1368</v>
      </c>
      <c r="B107" s="18" t="s">
        <v>342</v>
      </c>
      <c r="C107" s="19">
        <v>46250</v>
      </c>
      <c r="D107" s="18" t="s">
        <v>1241</v>
      </c>
      <c r="E107" s="18" t="s">
        <v>1242</v>
      </c>
      <c r="F107" s="18">
        <v>5.3</v>
      </c>
      <c r="G107" s="18" t="s">
        <v>1243</v>
      </c>
      <c r="H107" s="18" t="s">
        <v>1244</v>
      </c>
      <c r="I107" s="18" t="s">
        <v>1245</v>
      </c>
      <c r="J107" s="18" t="s">
        <v>1246</v>
      </c>
      <c r="K107" s="18" t="s">
        <v>1247</v>
      </c>
      <c r="L107" s="18" t="s">
        <v>149</v>
      </c>
    </row>
    <row r="108" spans="1:12">
      <c r="A108" s="18" t="s">
        <v>1369</v>
      </c>
      <c r="B108" s="18" t="s">
        <v>342</v>
      </c>
      <c r="C108" s="19">
        <v>46250</v>
      </c>
      <c r="D108" s="18" t="s">
        <v>1249</v>
      </c>
      <c r="E108" s="18" t="s">
        <v>1250</v>
      </c>
      <c r="F108" s="18">
        <v>129</v>
      </c>
      <c r="G108" s="18" t="s">
        <v>1251</v>
      </c>
      <c r="H108" s="18" t="s">
        <v>1252</v>
      </c>
      <c r="I108" s="18" t="s">
        <v>1278</v>
      </c>
      <c r="J108" s="18" t="s">
        <v>1246</v>
      </c>
      <c r="K108" s="18" t="s">
        <v>1247</v>
      </c>
      <c r="L108" s="18" t="s">
        <v>149</v>
      </c>
    </row>
    <row r="109" spans="1:12">
      <c r="A109" s="18" t="s">
        <v>1370</v>
      </c>
      <c r="B109" s="18" t="s">
        <v>342</v>
      </c>
      <c r="C109" s="19">
        <v>46250</v>
      </c>
      <c r="D109" s="18" t="s">
        <v>1254</v>
      </c>
      <c r="E109" s="18" t="s">
        <v>1255</v>
      </c>
      <c r="F109" s="18">
        <v>191</v>
      </c>
      <c r="G109" s="18" t="s">
        <v>1251</v>
      </c>
      <c r="H109" s="18" t="s">
        <v>1256</v>
      </c>
      <c r="I109" s="18" t="s">
        <v>1245</v>
      </c>
      <c r="J109" s="18" t="s">
        <v>1246</v>
      </c>
      <c r="K109" s="18" t="s">
        <v>1247</v>
      </c>
      <c r="L109" s="18" t="s">
        <v>149</v>
      </c>
    </row>
    <row r="110" spans="1:12">
      <c r="A110" s="18" t="s">
        <v>1371</v>
      </c>
      <c r="B110" s="18" t="s">
        <v>342</v>
      </c>
      <c r="C110" s="19">
        <v>46250</v>
      </c>
      <c r="D110" s="18" t="s">
        <v>1258</v>
      </c>
      <c r="E110" s="18" t="s">
        <v>1259</v>
      </c>
      <c r="F110" s="18">
        <v>15.3</v>
      </c>
      <c r="G110" s="18" t="s">
        <v>1260</v>
      </c>
      <c r="H110" s="18" t="s">
        <v>1261</v>
      </c>
      <c r="I110" s="18" t="s">
        <v>1245</v>
      </c>
      <c r="J110" s="18" t="s">
        <v>1246</v>
      </c>
      <c r="K110" s="18" t="s">
        <v>1247</v>
      </c>
      <c r="L110" s="18" t="s">
        <v>149</v>
      </c>
    </row>
    <row r="111" spans="1:12">
      <c r="A111" s="18" t="s">
        <v>1372</v>
      </c>
      <c r="B111" s="18" t="s">
        <v>342</v>
      </c>
      <c r="C111" s="19">
        <v>46250</v>
      </c>
      <c r="D111" s="18" t="s">
        <v>1263</v>
      </c>
      <c r="E111" s="18" t="s">
        <v>1264</v>
      </c>
      <c r="F111" s="18">
        <v>7.8</v>
      </c>
      <c r="G111" s="18" t="s">
        <v>1265</v>
      </c>
      <c r="H111" s="18" t="s">
        <v>1266</v>
      </c>
      <c r="I111" s="18" t="s">
        <v>1245</v>
      </c>
      <c r="J111" s="18" t="s">
        <v>1246</v>
      </c>
      <c r="K111" s="18" t="s">
        <v>1247</v>
      </c>
      <c r="L111" s="18" t="s">
        <v>149</v>
      </c>
    </row>
    <row r="112" spans="1:12">
      <c r="A112" s="18" t="s">
        <v>1373</v>
      </c>
      <c r="B112" s="18" t="s">
        <v>350</v>
      </c>
      <c r="C112" s="19">
        <v>46251</v>
      </c>
      <c r="D112" s="18" t="s">
        <v>1241</v>
      </c>
      <c r="E112" s="18" t="s">
        <v>1242</v>
      </c>
      <c r="F112" s="18">
        <v>5.5</v>
      </c>
      <c r="G112" s="18" t="s">
        <v>1243</v>
      </c>
      <c r="H112" s="18" t="s">
        <v>1244</v>
      </c>
      <c r="I112" s="18" t="s">
        <v>1245</v>
      </c>
      <c r="J112" s="18" t="s">
        <v>1246</v>
      </c>
      <c r="K112" s="18" t="s">
        <v>1247</v>
      </c>
      <c r="L112" s="18" t="s">
        <v>162</v>
      </c>
    </row>
    <row r="113" spans="1:12">
      <c r="A113" s="18" t="s">
        <v>1374</v>
      </c>
      <c r="B113" s="18" t="s">
        <v>350</v>
      </c>
      <c r="C113" s="19">
        <v>46251</v>
      </c>
      <c r="D113" s="18" t="s">
        <v>1249</v>
      </c>
      <c r="E113" s="18" t="s">
        <v>1250</v>
      </c>
      <c r="F113" s="18">
        <v>134</v>
      </c>
      <c r="G113" s="18" t="s">
        <v>1251</v>
      </c>
      <c r="H113" s="18" t="s">
        <v>1252</v>
      </c>
      <c r="I113" s="18" t="s">
        <v>1278</v>
      </c>
      <c r="J113" s="18" t="s">
        <v>1246</v>
      </c>
      <c r="K113" s="18" t="s">
        <v>1247</v>
      </c>
      <c r="L113" s="18" t="s">
        <v>162</v>
      </c>
    </row>
    <row r="114" spans="1:12">
      <c r="A114" s="18" t="s">
        <v>1375</v>
      </c>
      <c r="B114" s="18" t="s">
        <v>350</v>
      </c>
      <c r="C114" s="19">
        <v>46251</v>
      </c>
      <c r="D114" s="18" t="s">
        <v>1254</v>
      </c>
      <c r="E114" s="18" t="s">
        <v>1255</v>
      </c>
      <c r="F114" s="18">
        <v>197</v>
      </c>
      <c r="G114" s="18" t="s">
        <v>1251</v>
      </c>
      <c r="H114" s="18" t="s">
        <v>1256</v>
      </c>
      <c r="I114" s="18" t="s">
        <v>1245</v>
      </c>
      <c r="J114" s="18" t="s">
        <v>1246</v>
      </c>
      <c r="K114" s="18" t="s">
        <v>1247</v>
      </c>
      <c r="L114" s="18" t="s">
        <v>162</v>
      </c>
    </row>
    <row r="115" spans="1:12">
      <c r="A115" s="18" t="s">
        <v>1376</v>
      </c>
      <c r="B115" s="18" t="s">
        <v>350</v>
      </c>
      <c r="C115" s="19">
        <v>46251</v>
      </c>
      <c r="D115" s="18" t="s">
        <v>1258</v>
      </c>
      <c r="E115" s="18" t="s">
        <v>1259</v>
      </c>
      <c r="F115" s="18">
        <v>15.7</v>
      </c>
      <c r="G115" s="18" t="s">
        <v>1260</v>
      </c>
      <c r="H115" s="18" t="s">
        <v>1261</v>
      </c>
      <c r="I115" s="18" t="s">
        <v>1245</v>
      </c>
      <c r="J115" s="18" t="s">
        <v>1246</v>
      </c>
      <c r="K115" s="18" t="s">
        <v>1247</v>
      </c>
      <c r="L115" s="18" t="s">
        <v>162</v>
      </c>
    </row>
    <row r="116" spans="1:12">
      <c r="A116" s="18" t="s">
        <v>1377</v>
      </c>
      <c r="B116" s="18" t="s">
        <v>350</v>
      </c>
      <c r="C116" s="19">
        <v>46251</v>
      </c>
      <c r="D116" s="18" t="s">
        <v>1263</v>
      </c>
      <c r="E116" s="18" t="s">
        <v>1264</v>
      </c>
      <c r="F116" s="18">
        <v>8.1999999999999993</v>
      </c>
      <c r="G116" s="18" t="s">
        <v>1265</v>
      </c>
      <c r="H116" s="18" t="s">
        <v>1266</v>
      </c>
      <c r="I116" s="18" t="s">
        <v>1245</v>
      </c>
      <c r="J116" s="18" t="s">
        <v>1246</v>
      </c>
      <c r="K116" s="18" t="s">
        <v>1247</v>
      </c>
      <c r="L116" s="18" t="s">
        <v>162</v>
      </c>
    </row>
    <row r="117" spans="1:12">
      <c r="A117" s="18" t="s">
        <v>1378</v>
      </c>
      <c r="B117" s="18" t="s">
        <v>356</v>
      </c>
      <c r="C117" s="19">
        <v>46252</v>
      </c>
      <c r="D117" s="18" t="s">
        <v>1241</v>
      </c>
      <c r="E117" s="18" t="s">
        <v>1242</v>
      </c>
      <c r="F117" s="18">
        <v>5.8</v>
      </c>
      <c r="G117" s="18" t="s">
        <v>1243</v>
      </c>
      <c r="H117" s="18" t="s">
        <v>1244</v>
      </c>
      <c r="I117" s="18" t="s">
        <v>1278</v>
      </c>
      <c r="J117" s="18" t="s">
        <v>1246</v>
      </c>
      <c r="K117" s="18" t="s">
        <v>1247</v>
      </c>
      <c r="L117" s="18" t="s">
        <v>176</v>
      </c>
    </row>
    <row r="118" spans="1:12">
      <c r="A118" s="18" t="s">
        <v>1379</v>
      </c>
      <c r="B118" s="18" t="s">
        <v>356</v>
      </c>
      <c r="C118" s="19">
        <v>46252</v>
      </c>
      <c r="D118" s="18" t="s">
        <v>1249</v>
      </c>
      <c r="E118" s="18" t="s">
        <v>1250</v>
      </c>
      <c r="F118" s="18">
        <v>139</v>
      </c>
      <c r="G118" s="18" t="s">
        <v>1251</v>
      </c>
      <c r="H118" s="18" t="s">
        <v>1252</v>
      </c>
      <c r="I118" s="18" t="s">
        <v>1278</v>
      </c>
      <c r="J118" s="18" t="s">
        <v>1246</v>
      </c>
      <c r="K118" s="18" t="s">
        <v>1247</v>
      </c>
      <c r="L118" s="18" t="s">
        <v>176</v>
      </c>
    </row>
    <row r="119" spans="1:12">
      <c r="A119" s="18" t="s">
        <v>1380</v>
      </c>
      <c r="B119" s="18" t="s">
        <v>356</v>
      </c>
      <c r="C119" s="19">
        <v>46252</v>
      </c>
      <c r="D119" s="18" t="s">
        <v>1254</v>
      </c>
      <c r="E119" s="18" t="s">
        <v>1255</v>
      </c>
      <c r="F119" s="18">
        <v>203</v>
      </c>
      <c r="G119" s="18" t="s">
        <v>1251</v>
      </c>
      <c r="H119" s="18" t="s">
        <v>1256</v>
      </c>
      <c r="I119" s="18" t="s">
        <v>1278</v>
      </c>
      <c r="J119" s="18" t="s">
        <v>1246</v>
      </c>
      <c r="K119" s="18" t="s">
        <v>1247</v>
      </c>
      <c r="L119" s="18" t="s">
        <v>176</v>
      </c>
    </row>
    <row r="120" spans="1:12">
      <c r="A120" s="18" t="s">
        <v>1381</v>
      </c>
      <c r="B120" s="18" t="s">
        <v>356</v>
      </c>
      <c r="C120" s="19">
        <v>46252</v>
      </c>
      <c r="D120" s="18" t="s">
        <v>1258</v>
      </c>
      <c r="E120" s="18" t="s">
        <v>1259</v>
      </c>
      <c r="F120" s="18">
        <v>16</v>
      </c>
      <c r="G120" s="18" t="s">
        <v>1260</v>
      </c>
      <c r="H120" s="18" t="s">
        <v>1261</v>
      </c>
      <c r="I120" s="18" t="s">
        <v>1245</v>
      </c>
      <c r="J120" s="18" t="s">
        <v>1246</v>
      </c>
      <c r="K120" s="18" t="s">
        <v>1247</v>
      </c>
      <c r="L120" s="18" t="s">
        <v>176</v>
      </c>
    </row>
    <row r="121" spans="1:12">
      <c r="A121" s="18" t="s">
        <v>1382</v>
      </c>
      <c r="B121" s="18" t="s">
        <v>356</v>
      </c>
      <c r="C121" s="19">
        <v>46252</v>
      </c>
      <c r="D121" s="18" t="s">
        <v>1263</v>
      </c>
      <c r="E121" s="18" t="s">
        <v>1264</v>
      </c>
      <c r="F121" s="18">
        <v>8.6</v>
      </c>
      <c r="G121" s="18" t="s">
        <v>1265</v>
      </c>
      <c r="H121" s="18" t="s">
        <v>1266</v>
      </c>
      <c r="I121" s="18" t="s">
        <v>1245</v>
      </c>
      <c r="J121" s="18" t="s">
        <v>1246</v>
      </c>
      <c r="K121" s="18" t="s">
        <v>1247</v>
      </c>
      <c r="L121" s="18" t="s">
        <v>176</v>
      </c>
    </row>
    <row r="122" spans="1:12">
      <c r="A122" s="18" t="s">
        <v>1383</v>
      </c>
      <c r="B122" s="18" t="s">
        <v>364</v>
      </c>
      <c r="C122" s="19">
        <v>46253</v>
      </c>
      <c r="D122" s="18" t="s">
        <v>1241</v>
      </c>
      <c r="E122" s="18" t="s">
        <v>1242</v>
      </c>
      <c r="F122" s="18">
        <v>6</v>
      </c>
      <c r="G122" s="18" t="s">
        <v>1243</v>
      </c>
      <c r="H122" s="18" t="s">
        <v>1244</v>
      </c>
      <c r="I122" s="18" t="s">
        <v>1278</v>
      </c>
      <c r="J122" s="18" t="s">
        <v>1246</v>
      </c>
      <c r="K122" s="18" t="s">
        <v>1247</v>
      </c>
      <c r="L122" s="18" t="s">
        <v>98</v>
      </c>
    </row>
    <row r="123" spans="1:12">
      <c r="A123" s="18" t="s">
        <v>1384</v>
      </c>
      <c r="B123" s="18" t="s">
        <v>364</v>
      </c>
      <c r="C123" s="19">
        <v>46253</v>
      </c>
      <c r="D123" s="18" t="s">
        <v>1249</v>
      </c>
      <c r="E123" s="18" t="s">
        <v>1250</v>
      </c>
      <c r="F123" s="18">
        <v>84</v>
      </c>
      <c r="G123" s="18" t="s">
        <v>1251</v>
      </c>
      <c r="H123" s="18" t="s">
        <v>1252</v>
      </c>
      <c r="I123" s="18" t="s">
        <v>1245</v>
      </c>
      <c r="J123" s="18" t="s">
        <v>1246</v>
      </c>
      <c r="K123" s="18" t="s">
        <v>1247</v>
      </c>
      <c r="L123" s="18" t="s">
        <v>98</v>
      </c>
    </row>
    <row r="124" spans="1:12">
      <c r="A124" s="18" t="s">
        <v>1385</v>
      </c>
      <c r="B124" s="18" t="s">
        <v>364</v>
      </c>
      <c r="C124" s="19">
        <v>46253</v>
      </c>
      <c r="D124" s="18" t="s">
        <v>1254</v>
      </c>
      <c r="E124" s="18" t="s">
        <v>1255</v>
      </c>
      <c r="F124" s="18">
        <v>209</v>
      </c>
      <c r="G124" s="18" t="s">
        <v>1251</v>
      </c>
      <c r="H124" s="18" t="s">
        <v>1256</v>
      </c>
      <c r="I124" s="18" t="s">
        <v>1278</v>
      </c>
      <c r="J124" s="18" t="s">
        <v>1246</v>
      </c>
      <c r="K124" s="18" t="s">
        <v>1247</v>
      </c>
      <c r="L124" s="18" t="s">
        <v>98</v>
      </c>
    </row>
    <row r="125" spans="1:12">
      <c r="A125" s="18" t="s">
        <v>1386</v>
      </c>
      <c r="B125" s="18" t="s">
        <v>364</v>
      </c>
      <c r="C125" s="19">
        <v>46253</v>
      </c>
      <c r="D125" s="18" t="s">
        <v>1258</v>
      </c>
      <c r="E125" s="18" t="s">
        <v>1259</v>
      </c>
      <c r="F125" s="18">
        <v>12.2</v>
      </c>
      <c r="G125" s="18" t="s">
        <v>1260</v>
      </c>
      <c r="H125" s="18" t="s">
        <v>1261</v>
      </c>
      <c r="I125" s="18" t="s">
        <v>1245</v>
      </c>
      <c r="J125" s="18" t="s">
        <v>1246</v>
      </c>
      <c r="K125" s="18" t="s">
        <v>1247</v>
      </c>
      <c r="L125" s="18" t="s">
        <v>98</v>
      </c>
    </row>
    <row r="126" spans="1:12">
      <c r="A126" s="18" t="s">
        <v>1387</v>
      </c>
      <c r="B126" s="18" t="s">
        <v>364</v>
      </c>
      <c r="C126" s="19">
        <v>46253</v>
      </c>
      <c r="D126" s="18" t="s">
        <v>1263</v>
      </c>
      <c r="E126" s="18" t="s">
        <v>1264</v>
      </c>
      <c r="F126" s="18">
        <v>9.1</v>
      </c>
      <c r="G126" s="18" t="s">
        <v>1265</v>
      </c>
      <c r="H126" s="18" t="s">
        <v>1266</v>
      </c>
      <c r="I126" s="18" t="s">
        <v>1245</v>
      </c>
      <c r="J126" s="18" t="s">
        <v>1246</v>
      </c>
      <c r="K126" s="18" t="s">
        <v>1247</v>
      </c>
      <c r="L126" s="18" t="s">
        <v>98</v>
      </c>
    </row>
    <row r="127" spans="1:12">
      <c r="A127" s="18" t="s">
        <v>1388</v>
      </c>
      <c r="B127" s="18" t="s">
        <v>371</v>
      </c>
      <c r="C127" s="19">
        <v>46254</v>
      </c>
      <c r="D127" s="18" t="s">
        <v>1241</v>
      </c>
      <c r="E127" s="18" t="s">
        <v>1242</v>
      </c>
      <c r="F127" s="18">
        <v>6.2</v>
      </c>
      <c r="G127" s="18" t="s">
        <v>1243</v>
      </c>
      <c r="H127" s="18" t="s">
        <v>1244</v>
      </c>
      <c r="I127" s="18" t="s">
        <v>1278</v>
      </c>
      <c r="J127" s="18" t="s">
        <v>1246</v>
      </c>
      <c r="K127" s="18" t="s">
        <v>1247</v>
      </c>
      <c r="L127" s="18" t="s">
        <v>118</v>
      </c>
    </row>
    <row r="128" spans="1:12">
      <c r="A128" s="18" t="s">
        <v>1389</v>
      </c>
      <c r="B128" s="18" t="s">
        <v>371</v>
      </c>
      <c r="C128" s="19">
        <v>46254</v>
      </c>
      <c r="D128" s="18" t="s">
        <v>1249</v>
      </c>
      <c r="E128" s="18" t="s">
        <v>1250</v>
      </c>
      <c r="F128" s="18">
        <v>89</v>
      </c>
      <c r="G128" s="18" t="s">
        <v>1251</v>
      </c>
      <c r="H128" s="18" t="s">
        <v>1252</v>
      </c>
      <c r="I128" s="18" t="s">
        <v>1245</v>
      </c>
      <c r="J128" s="18" t="s">
        <v>1246</v>
      </c>
      <c r="K128" s="18" t="s">
        <v>1247</v>
      </c>
      <c r="L128" s="18" t="s">
        <v>118</v>
      </c>
    </row>
    <row r="129" spans="1:12">
      <c r="A129" s="18" t="s">
        <v>1390</v>
      </c>
      <c r="B129" s="18" t="s">
        <v>371</v>
      </c>
      <c r="C129" s="19">
        <v>46254</v>
      </c>
      <c r="D129" s="18" t="s">
        <v>1254</v>
      </c>
      <c r="E129" s="18" t="s">
        <v>1255</v>
      </c>
      <c r="F129" s="18">
        <v>215</v>
      </c>
      <c r="G129" s="18" t="s">
        <v>1251</v>
      </c>
      <c r="H129" s="18" t="s">
        <v>1256</v>
      </c>
      <c r="I129" s="18" t="s">
        <v>1278</v>
      </c>
      <c r="J129" s="18" t="s">
        <v>1246</v>
      </c>
      <c r="K129" s="18" t="s">
        <v>1247</v>
      </c>
      <c r="L129" s="18" t="s">
        <v>118</v>
      </c>
    </row>
    <row r="130" spans="1:12">
      <c r="A130" s="18" t="s">
        <v>1391</v>
      </c>
      <c r="B130" s="18" t="s">
        <v>371</v>
      </c>
      <c r="C130" s="19">
        <v>46254</v>
      </c>
      <c r="D130" s="18" t="s">
        <v>1258</v>
      </c>
      <c r="E130" s="18" t="s">
        <v>1259</v>
      </c>
      <c r="F130" s="18">
        <v>12.5</v>
      </c>
      <c r="G130" s="18" t="s">
        <v>1260</v>
      </c>
      <c r="H130" s="18" t="s">
        <v>1261</v>
      </c>
      <c r="I130" s="18" t="s">
        <v>1245</v>
      </c>
      <c r="J130" s="18" t="s">
        <v>1246</v>
      </c>
      <c r="K130" s="18" t="s">
        <v>1247</v>
      </c>
      <c r="L130" s="18" t="s">
        <v>118</v>
      </c>
    </row>
    <row r="131" spans="1:12">
      <c r="A131" s="18" t="s">
        <v>1392</v>
      </c>
      <c r="B131" s="18" t="s">
        <v>371</v>
      </c>
      <c r="C131" s="19">
        <v>46254</v>
      </c>
      <c r="D131" s="18" t="s">
        <v>1263</v>
      </c>
      <c r="E131" s="18" t="s">
        <v>1264</v>
      </c>
      <c r="F131" s="18">
        <v>9.6</v>
      </c>
      <c r="G131" s="18" t="s">
        <v>1265</v>
      </c>
      <c r="H131" s="18" t="s">
        <v>1266</v>
      </c>
      <c r="I131" s="18" t="s">
        <v>1245</v>
      </c>
      <c r="J131" s="18" t="s">
        <v>1246</v>
      </c>
      <c r="K131" s="18" t="s">
        <v>1247</v>
      </c>
      <c r="L131" s="18" t="s">
        <v>118</v>
      </c>
    </row>
    <row r="132" spans="1:12">
      <c r="A132" s="18" t="s">
        <v>1393</v>
      </c>
      <c r="B132" s="18" t="s">
        <v>379</v>
      </c>
      <c r="C132" s="19">
        <v>46255</v>
      </c>
      <c r="D132" s="18" t="s">
        <v>1241</v>
      </c>
      <c r="E132" s="18" t="s">
        <v>1242</v>
      </c>
      <c r="F132" s="18">
        <v>6.4</v>
      </c>
      <c r="G132" s="18" t="s">
        <v>1243</v>
      </c>
      <c r="H132" s="18" t="s">
        <v>1244</v>
      </c>
      <c r="I132" s="18" t="s">
        <v>1278</v>
      </c>
      <c r="J132" s="18" t="s">
        <v>1246</v>
      </c>
      <c r="K132" s="18" t="s">
        <v>1247</v>
      </c>
      <c r="L132" s="18" t="s">
        <v>134</v>
      </c>
    </row>
    <row r="133" spans="1:12">
      <c r="A133" s="18" t="s">
        <v>1394</v>
      </c>
      <c r="B133" s="18" t="s">
        <v>379</v>
      </c>
      <c r="C133" s="19">
        <v>46255</v>
      </c>
      <c r="D133" s="18" t="s">
        <v>1249</v>
      </c>
      <c r="E133" s="18" t="s">
        <v>1250</v>
      </c>
      <c r="F133" s="18">
        <v>94</v>
      </c>
      <c r="G133" s="18" t="s">
        <v>1251</v>
      </c>
      <c r="H133" s="18" t="s">
        <v>1252</v>
      </c>
      <c r="I133" s="18" t="s">
        <v>1245</v>
      </c>
      <c r="J133" s="18" t="s">
        <v>1246</v>
      </c>
      <c r="K133" s="18" t="s">
        <v>1247</v>
      </c>
      <c r="L133" s="18" t="s">
        <v>134</v>
      </c>
    </row>
    <row r="134" spans="1:12">
      <c r="A134" s="18" t="s">
        <v>1395</v>
      </c>
      <c r="B134" s="18" t="s">
        <v>379</v>
      </c>
      <c r="C134" s="19">
        <v>46255</v>
      </c>
      <c r="D134" s="18" t="s">
        <v>1254</v>
      </c>
      <c r="E134" s="18" t="s">
        <v>1255</v>
      </c>
      <c r="F134" s="18">
        <v>221</v>
      </c>
      <c r="G134" s="18" t="s">
        <v>1251</v>
      </c>
      <c r="H134" s="18" t="s">
        <v>1256</v>
      </c>
      <c r="I134" s="18" t="s">
        <v>1278</v>
      </c>
      <c r="J134" s="18" t="s">
        <v>1246</v>
      </c>
      <c r="K134" s="18" t="s">
        <v>1247</v>
      </c>
      <c r="L134" s="18" t="s">
        <v>134</v>
      </c>
    </row>
    <row r="135" spans="1:12">
      <c r="A135" s="18" t="s">
        <v>1396</v>
      </c>
      <c r="B135" s="18" t="s">
        <v>379</v>
      </c>
      <c r="C135" s="19">
        <v>46255</v>
      </c>
      <c r="D135" s="18" t="s">
        <v>1258</v>
      </c>
      <c r="E135" s="18" t="s">
        <v>1259</v>
      </c>
      <c r="F135" s="18">
        <v>12.9</v>
      </c>
      <c r="G135" s="18" t="s">
        <v>1260</v>
      </c>
      <c r="H135" s="18" t="s">
        <v>1261</v>
      </c>
      <c r="I135" s="18" t="s">
        <v>1245</v>
      </c>
      <c r="J135" s="18" t="s">
        <v>1246</v>
      </c>
      <c r="K135" s="18" t="s">
        <v>1247</v>
      </c>
      <c r="L135" s="18" t="s">
        <v>134</v>
      </c>
    </row>
    <row r="136" spans="1:12">
      <c r="A136" s="18" t="s">
        <v>1397</v>
      </c>
      <c r="B136" s="18" t="s">
        <v>379</v>
      </c>
      <c r="C136" s="19">
        <v>46255</v>
      </c>
      <c r="D136" s="18" t="s">
        <v>1263</v>
      </c>
      <c r="E136" s="18" t="s">
        <v>1264</v>
      </c>
      <c r="F136" s="18">
        <v>10</v>
      </c>
      <c r="G136" s="18" t="s">
        <v>1265</v>
      </c>
      <c r="H136" s="18" t="s">
        <v>1266</v>
      </c>
      <c r="I136" s="18" t="s">
        <v>1245</v>
      </c>
      <c r="J136" s="18" t="s">
        <v>1246</v>
      </c>
      <c r="K136" s="18" t="s">
        <v>1247</v>
      </c>
      <c r="L136" s="18" t="s">
        <v>134</v>
      </c>
    </row>
    <row r="137" spans="1:12">
      <c r="A137" s="18" t="s">
        <v>1398</v>
      </c>
      <c r="B137" s="18" t="s">
        <v>386</v>
      </c>
      <c r="C137" s="19">
        <v>46256</v>
      </c>
      <c r="D137" s="18" t="s">
        <v>1241</v>
      </c>
      <c r="E137" s="18" t="s">
        <v>1242</v>
      </c>
      <c r="F137" s="18">
        <v>6.6</v>
      </c>
      <c r="G137" s="18" t="s">
        <v>1243</v>
      </c>
      <c r="H137" s="18" t="s">
        <v>1244</v>
      </c>
      <c r="I137" s="18" t="s">
        <v>1278</v>
      </c>
      <c r="J137" s="18" t="s">
        <v>1246</v>
      </c>
      <c r="K137" s="18" t="s">
        <v>1247</v>
      </c>
      <c r="L137" s="18" t="s">
        <v>149</v>
      </c>
    </row>
    <row r="138" spans="1:12">
      <c r="A138" s="18" t="s">
        <v>1399</v>
      </c>
      <c r="B138" s="18" t="s">
        <v>386</v>
      </c>
      <c r="C138" s="19">
        <v>46256</v>
      </c>
      <c r="D138" s="18" t="s">
        <v>1249</v>
      </c>
      <c r="E138" s="18" t="s">
        <v>1250</v>
      </c>
      <c r="F138" s="18">
        <v>99</v>
      </c>
      <c r="G138" s="18" t="s">
        <v>1251</v>
      </c>
      <c r="H138" s="18" t="s">
        <v>1252</v>
      </c>
      <c r="I138" s="18" t="s">
        <v>1245</v>
      </c>
      <c r="J138" s="18" t="s">
        <v>1246</v>
      </c>
      <c r="K138" s="18" t="s">
        <v>1247</v>
      </c>
      <c r="L138" s="18" t="s">
        <v>149</v>
      </c>
    </row>
    <row r="139" spans="1:12">
      <c r="A139" s="18" t="s">
        <v>1400</v>
      </c>
      <c r="B139" s="18" t="s">
        <v>386</v>
      </c>
      <c r="C139" s="19">
        <v>46256</v>
      </c>
      <c r="D139" s="18" t="s">
        <v>1254</v>
      </c>
      <c r="E139" s="18" t="s">
        <v>1255</v>
      </c>
      <c r="F139" s="18">
        <v>227</v>
      </c>
      <c r="G139" s="18" t="s">
        <v>1251</v>
      </c>
      <c r="H139" s="18" t="s">
        <v>1256</v>
      </c>
      <c r="I139" s="18" t="s">
        <v>1278</v>
      </c>
      <c r="J139" s="18" t="s">
        <v>1246</v>
      </c>
      <c r="K139" s="18" t="s">
        <v>1247</v>
      </c>
      <c r="L139" s="18" t="s">
        <v>149</v>
      </c>
    </row>
    <row r="140" spans="1:12">
      <c r="A140" s="18" t="s">
        <v>1401</v>
      </c>
      <c r="B140" s="18" t="s">
        <v>386</v>
      </c>
      <c r="C140" s="19">
        <v>46256</v>
      </c>
      <c r="D140" s="18" t="s">
        <v>1258</v>
      </c>
      <c r="E140" s="18" t="s">
        <v>1259</v>
      </c>
      <c r="F140" s="18">
        <v>13.2</v>
      </c>
      <c r="G140" s="18" t="s">
        <v>1260</v>
      </c>
      <c r="H140" s="18" t="s">
        <v>1261</v>
      </c>
      <c r="I140" s="18" t="s">
        <v>1245</v>
      </c>
      <c r="J140" s="18" t="s">
        <v>1246</v>
      </c>
      <c r="K140" s="18" t="s">
        <v>1247</v>
      </c>
      <c r="L140" s="18" t="s">
        <v>149</v>
      </c>
    </row>
    <row r="141" spans="1:12">
      <c r="A141" s="18" t="s">
        <v>1402</v>
      </c>
      <c r="B141" s="18" t="s">
        <v>386</v>
      </c>
      <c r="C141" s="19">
        <v>46256</v>
      </c>
      <c r="D141" s="18" t="s">
        <v>1263</v>
      </c>
      <c r="E141" s="18" t="s">
        <v>1264</v>
      </c>
      <c r="F141" s="18">
        <v>10.4</v>
      </c>
      <c r="G141" s="18" t="s">
        <v>1265</v>
      </c>
      <c r="H141" s="18" t="s">
        <v>1266</v>
      </c>
      <c r="I141" s="18" t="s">
        <v>1245</v>
      </c>
      <c r="J141" s="18" t="s">
        <v>1246</v>
      </c>
      <c r="K141" s="18" t="s">
        <v>1247</v>
      </c>
      <c r="L141" s="18" t="s">
        <v>149</v>
      </c>
    </row>
    <row r="142" spans="1:12">
      <c r="A142" s="18" t="s">
        <v>1403</v>
      </c>
      <c r="B142" s="18" t="s">
        <v>393</v>
      </c>
      <c r="C142" s="19">
        <v>46257</v>
      </c>
      <c r="D142" s="18" t="s">
        <v>1241</v>
      </c>
      <c r="E142" s="18" t="s">
        <v>1242</v>
      </c>
      <c r="F142" s="18">
        <v>6.9</v>
      </c>
      <c r="G142" s="18" t="s">
        <v>1243</v>
      </c>
      <c r="H142" s="18" t="s">
        <v>1244</v>
      </c>
      <c r="I142" s="18" t="s">
        <v>1278</v>
      </c>
      <c r="J142" s="18" t="s">
        <v>1246</v>
      </c>
      <c r="K142" s="18" t="s">
        <v>1247</v>
      </c>
      <c r="L142" s="18" t="s">
        <v>162</v>
      </c>
    </row>
    <row r="143" spans="1:12">
      <c r="A143" s="18" t="s">
        <v>1404</v>
      </c>
      <c r="B143" s="18" t="s">
        <v>393</v>
      </c>
      <c r="C143" s="19">
        <v>46257</v>
      </c>
      <c r="D143" s="18" t="s">
        <v>1249</v>
      </c>
      <c r="E143" s="18" t="s">
        <v>1250</v>
      </c>
      <c r="F143" s="18">
        <v>104</v>
      </c>
      <c r="G143" s="18" t="s">
        <v>1251</v>
      </c>
      <c r="H143" s="18" t="s">
        <v>1252</v>
      </c>
      <c r="I143" s="18" t="s">
        <v>1278</v>
      </c>
      <c r="J143" s="18" t="s">
        <v>1246</v>
      </c>
      <c r="K143" s="18" t="s">
        <v>1247</v>
      </c>
      <c r="L143" s="18" t="s">
        <v>162</v>
      </c>
    </row>
    <row r="144" spans="1:12">
      <c r="A144" s="18" t="s">
        <v>1405</v>
      </c>
      <c r="B144" s="18" t="s">
        <v>393</v>
      </c>
      <c r="C144" s="19">
        <v>46257</v>
      </c>
      <c r="D144" s="18" t="s">
        <v>1254</v>
      </c>
      <c r="E144" s="18" t="s">
        <v>1255</v>
      </c>
      <c r="F144" s="18">
        <v>233</v>
      </c>
      <c r="G144" s="18" t="s">
        <v>1251</v>
      </c>
      <c r="H144" s="18" t="s">
        <v>1256</v>
      </c>
      <c r="I144" s="18" t="s">
        <v>1278</v>
      </c>
      <c r="J144" s="18" t="s">
        <v>1246</v>
      </c>
      <c r="K144" s="18" t="s">
        <v>1247</v>
      </c>
      <c r="L144" s="18" t="s">
        <v>162</v>
      </c>
    </row>
    <row r="145" spans="1:12">
      <c r="A145" s="18" t="s">
        <v>1406</v>
      </c>
      <c r="B145" s="18" t="s">
        <v>393</v>
      </c>
      <c r="C145" s="19">
        <v>46257</v>
      </c>
      <c r="D145" s="18" t="s">
        <v>1258</v>
      </c>
      <c r="E145" s="18" t="s">
        <v>1259</v>
      </c>
      <c r="F145" s="18">
        <v>13.6</v>
      </c>
      <c r="G145" s="18" t="s">
        <v>1260</v>
      </c>
      <c r="H145" s="18" t="s">
        <v>1261</v>
      </c>
      <c r="I145" s="18" t="s">
        <v>1245</v>
      </c>
      <c r="J145" s="18" t="s">
        <v>1246</v>
      </c>
      <c r="K145" s="18" t="s">
        <v>1247</v>
      </c>
      <c r="L145" s="18" t="s">
        <v>162</v>
      </c>
    </row>
    <row r="146" spans="1:12">
      <c r="A146" s="18" t="s">
        <v>1407</v>
      </c>
      <c r="B146" s="18" t="s">
        <v>393</v>
      </c>
      <c r="C146" s="19">
        <v>46257</v>
      </c>
      <c r="D146" s="18" t="s">
        <v>1263</v>
      </c>
      <c r="E146" s="18" t="s">
        <v>1264</v>
      </c>
      <c r="F146" s="18">
        <v>4.5999999999999996</v>
      </c>
      <c r="G146" s="18" t="s">
        <v>1265</v>
      </c>
      <c r="H146" s="18" t="s">
        <v>1266</v>
      </c>
      <c r="I146" s="18" t="s">
        <v>1245</v>
      </c>
      <c r="J146" s="18" t="s">
        <v>1246</v>
      </c>
      <c r="K146" s="18" t="s">
        <v>1247</v>
      </c>
      <c r="L146" s="18" t="s">
        <v>162</v>
      </c>
    </row>
    <row r="147" spans="1:12">
      <c r="A147" s="18" t="s">
        <v>1408</v>
      </c>
      <c r="B147" s="18" t="s">
        <v>400</v>
      </c>
      <c r="C147" s="19">
        <v>46258</v>
      </c>
      <c r="D147" s="18" t="s">
        <v>1241</v>
      </c>
      <c r="E147" s="18" t="s">
        <v>1242</v>
      </c>
      <c r="F147" s="18">
        <v>7.1</v>
      </c>
      <c r="G147" s="18" t="s">
        <v>1243</v>
      </c>
      <c r="H147" s="18" t="s">
        <v>1244</v>
      </c>
      <c r="I147" s="18" t="s">
        <v>1278</v>
      </c>
      <c r="J147" s="18" t="s">
        <v>1246</v>
      </c>
      <c r="K147" s="18" t="s">
        <v>1247</v>
      </c>
      <c r="L147" s="18" t="s">
        <v>176</v>
      </c>
    </row>
    <row r="148" spans="1:12">
      <c r="A148" s="18" t="s">
        <v>1409</v>
      </c>
      <c r="B148" s="18" t="s">
        <v>400</v>
      </c>
      <c r="C148" s="19">
        <v>46258</v>
      </c>
      <c r="D148" s="18" t="s">
        <v>1249</v>
      </c>
      <c r="E148" s="18" t="s">
        <v>1250</v>
      </c>
      <c r="F148" s="18">
        <v>109</v>
      </c>
      <c r="G148" s="18" t="s">
        <v>1251</v>
      </c>
      <c r="H148" s="18" t="s">
        <v>1252</v>
      </c>
      <c r="I148" s="18" t="s">
        <v>1278</v>
      </c>
      <c r="J148" s="18" t="s">
        <v>1246</v>
      </c>
      <c r="K148" s="18" t="s">
        <v>1247</v>
      </c>
      <c r="L148" s="18" t="s">
        <v>176</v>
      </c>
    </row>
    <row r="149" spans="1:12">
      <c r="A149" s="18" t="s">
        <v>1410</v>
      </c>
      <c r="B149" s="18" t="s">
        <v>400</v>
      </c>
      <c r="C149" s="19">
        <v>46258</v>
      </c>
      <c r="D149" s="18" t="s">
        <v>1254</v>
      </c>
      <c r="E149" s="18" t="s">
        <v>1255</v>
      </c>
      <c r="F149" s="18">
        <v>239</v>
      </c>
      <c r="G149" s="18" t="s">
        <v>1251</v>
      </c>
      <c r="H149" s="18" t="s">
        <v>1256</v>
      </c>
      <c r="I149" s="18" t="s">
        <v>1278</v>
      </c>
      <c r="J149" s="18" t="s">
        <v>1246</v>
      </c>
      <c r="K149" s="18" t="s">
        <v>1247</v>
      </c>
      <c r="L149" s="18" t="s">
        <v>176</v>
      </c>
    </row>
    <row r="150" spans="1:12">
      <c r="A150" s="18" t="s">
        <v>1411</v>
      </c>
      <c r="B150" s="18" t="s">
        <v>400</v>
      </c>
      <c r="C150" s="19">
        <v>46258</v>
      </c>
      <c r="D150" s="18" t="s">
        <v>1258</v>
      </c>
      <c r="E150" s="18" t="s">
        <v>1259</v>
      </c>
      <c r="F150" s="18">
        <v>13.9</v>
      </c>
      <c r="G150" s="18" t="s">
        <v>1260</v>
      </c>
      <c r="H150" s="18" t="s">
        <v>1261</v>
      </c>
      <c r="I150" s="18" t="s">
        <v>1245</v>
      </c>
      <c r="J150" s="18" t="s">
        <v>1246</v>
      </c>
      <c r="K150" s="18" t="s">
        <v>1247</v>
      </c>
      <c r="L150" s="18" t="s">
        <v>176</v>
      </c>
    </row>
    <row r="151" spans="1:12">
      <c r="A151" s="18" t="s">
        <v>1412</v>
      </c>
      <c r="B151" s="18" t="s">
        <v>400</v>
      </c>
      <c r="C151" s="19">
        <v>46258</v>
      </c>
      <c r="D151" s="18" t="s">
        <v>1263</v>
      </c>
      <c r="E151" s="18" t="s">
        <v>1264</v>
      </c>
      <c r="F151" s="18">
        <v>5</v>
      </c>
      <c r="G151" s="18" t="s">
        <v>1265</v>
      </c>
      <c r="H151" s="18" t="s">
        <v>1266</v>
      </c>
      <c r="I151" s="18" t="s">
        <v>1245</v>
      </c>
      <c r="J151" s="18" t="s">
        <v>1246</v>
      </c>
      <c r="K151" s="18" t="s">
        <v>1247</v>
      </c>
      <c r="L151" s="18" t="s">
        <v>176</v>
      </c>
    </row>
    <row r="152" spans="1:12">
      <c r="A152" s="18" t="s">
        <v>1413</v>
      </c>
      <c r="B152" s="18" t="s">
        <v>408</v>
      </c>
      <c r="C152" s="19">
        <v>46259</v>
      </c>
      <c r="D152" s="18" t="s">
        <v>1241</v>
      </c>
      <c r="E152" s="18" t="s">
        <v>1242</v>
      </c>
      <c r="F152" s="18">
        <v>5.0999999999999996</v>
      </c>
      <c r="G152" s="18" t="s">
        <v>1243</v>
      </c>
      <c r="H152" s="18" t="s">
        <v>1244</v>
      </c>
      <c r="I152" s="18" t="s">
        <v>1245</v>
      </c>
      <c r="J152" s="18" t="s">
        <v>1246</v>
      </c>
      <c r="K152" s="18" t="s">
        <v>1247</v>
      </c>
      <c r="L152" s="18" t="s">
        <v>98</v>
      </c>
    </row>
    <row r="153" spans="1:12">
      <c r="A153" s="18" t="s">
        <v>1414</v>
      </c>
      <c r="B153" s="18" t="s">
        <v>408</v>
      </c>
      <c r="C153" s="19">
        <v>46259</v>
      </c>
      <c r="D153" s="18" t="s">
        <v>1249</v>
      </c>
      <c r="E153" s="18" t="s">
        <v>1250</v>
      </c>
      <c r="F153" s="18">
        <v>114</v>
      </c>
      <c r="G153" s="18" t="s">
        <v>1251</v>
      </c>
      <c r="H153" s="18" t="s">
        <v>1252</v>
      </c>
      <c r="I153" s="18" t="s">
        <v>1278</v>
      </c>
      <c r="J153" s="18" t="s">
        <v>1246</v>
      </c>
      <c r="K153" s="18" t="s">
        <v>1247</v>
      </c>
      <c r="L153" s="18" t="s">
        <v>98</v>
      </c>
    </row>
    <row r="154" spans="1:12">
      <c r="A154" s="18" t="s">
        <v>1415</v>
      </c>
      <c r="B154" s="18" t="s">
        <v>408</v>
      </c>
      <c r="C154" s="19">
        <v>46259</v>
      </c>
      <c r="D154" s="18" t="s">
        <v>1254</v>
      </c>
      <c r="E154" s="18" t="s">
        <v>1255</v>
      </c>
      <c r="F154" s="18">
        <v>155</v>
      </c>
      <c r="G154" s="18" t="s">
        <v>1251</v>
      </c>
      <c r="H154" s="18" t="s">
        <v>1256</v>
      </c>
      <c r="I154" s="18" t="s">
        <v>1245</v>
      </c>
      <c r="J154" s="18" t="s">
        <v>1246</v>
      </c>
      <c r="K154" s="18" t="s">
        <v>1247</v>
      </c>
      <c r="L154" s="18" t="s">
        <v>98</v>
      </c>
    </row>
    <row r="155" spans="1:12">
      <c r="A155" s="18" t="s">
        <v>1416</v>
      </c>
      <c r="B155" s="18" t="s">
        <v>408</v>
      </c>
      <c r="C155" s="19">
        <v>46259</v>
      </c>
      <c r="D155" s="18" t="s">
        <v>1258</v>
      </c>
      <c r="E155" s="18" t="s">
        <v>1259</v>
      </c>
      <c r="F155" s="18">
        <v>14.3</v>
      </c>
      <c r="G155" s="18" t="s">
        <v>1260</v>
      </c>
      <c r="H155" s="18" t="s">
        <v>1261</v>
      </c>
      <c r="I155" s="18" t="s">
        <v>1245</v>
      </c>
      <c r="J155" s="18" t="s">
        <v>1246</v>
      </c>
      <c r="K155" s="18" t="s">
        <v>1247</v>
      </c>
      <c r="L155" s="18" t="s">
        <v>98</v>
      </c>
    </row>
    <row r="156" spans="1:12">
      <c r="A156" s="18" t="s">
        <v>1417</v>
      </c>
      <c r="B156" s="18" t="s">
        <v>408</v>
      </c>
      <c r="C156" s="19">
        <v>46259</v>
      </c>
      <c r="D156" s="18" t="s">
        <v>1263</v>
      </c>
      <c r="E156" s="18" t="s">
        <v>1264</v>
      </c>
      <c r="F156" s="18">
        <v>5.5</v>
      </c>
      <c r="G156" s="18" t="s">
        <v>1265</v>
      </c>
      <c r="H156" s="18" t="s">
        <v>1266</v>
      </c>
      <c r="I156" s="18" t="s">
        <v>1245</v>
      </c>
      <c r="J156" s="18" t="s">
        <v>1246</v>
      </c>
      <c r="K156" s="18" t="s">
        <v>1247</v>
      </c>
      <c r="L156" s="18" t="s">
        <v>98</v>
      </c>
    </row>
    <row r="157" spans="1:12">
      <c r="A157" s="18" t="s">
        <v>1418</v>
      </c>
      <c r="B157" s="18" t="s">
        <v>415</v>
      </c>
      <c r="C157" s="19">
        <v>46260</v>
      </c>
      <c r="D157" s="18" t="s">
        <v>1241</v>
      </c>
      <c r="E157" s="18" t="s">
        <v>1242</v>
      </c>
      <c r="F157" s="18">
        <v>5.3</v>
      </c>
      <c r="G157" s="18" t="s">
        <v>1243</v>
      </c>
      <c r="H157" s="18" t="s">
        <v>1244</v>
      </c>
      <c r="I157" s="18" t="s">
        <v>1245</v>
      </c>
      <c r="J157" s="18" t="s">
        <v>1246</v>
      </c>
      <c r="K157" s="18" t="s">
        <v>1247</v>
      </c>
      <c r="L157" s="18" t="s">
        <v>118</v>
      </c>
    </row>
    <row r="158" spans="1:12">
      <c r="A158" s="18" t="s">
        <v>1419</v>
      </c>
      <c r="B158" s="18" t="s">
        <v>415</v>
      </c>
      <c r="C158" s="19">
        <v>46260</v>
      </c>
      <c r="D158" s="18" t="s">
        <v>1249</v>
      </c>
      <c r="E158" s="18" t="s">
        <v>1250</v>
      </c>
      <c r="F158" s="18">
        <v>119</v>
      </c>
      <c r="G158" s="18" t="s">
        <v>1251</v>
      </c>
      <c r="H158" s="18" t="s">
        <v>1252</v>
      </c>
      <c r="I158" s="18" t="s">
        <v>1278</v>
      </c>
      <c r="J158" s="18" t="s">
        <v>1246</v>
      </c>
      <c r="K158" s="18" t="s">
        <v>1247</v>
      </c>
      <c r="L158" s="18" t="s">
        <v>118</v>
      </c>
    </row>
    <row r="159" spans="1:12">
      <c r="A159" s="18" t="s">
        <v>1420</v>
      </c>
      <c r="B159" s="18" t="s">
        <v>415</v>
      </c>
      <c r="C159" s="19">
        <v>46260</v>
      </c>
      <c r="D159" s="18" t="s">
        <v>1254</v>
      </c>
      <c r="E159" s="18" t="s">
        <v>1255</v>
      </c>
      <c r="F159" s="18">
        <v>161</v>
      </c>
      <c r="G159" s="18" t="s">
        <v>1251</v>
      </c>
      <c r="H159" s="18" t="s">
        <v>1256</v>
      </c>
      <c r="I159" s="18" t="s">
        <v>1245</v>
      </c>
      <c r="J159" s="18" t="s">
        <v>1246</v>
      </c>
      <c r="K159" s="18" t="s">
        <v>1247</v>
      </c>
      <c r="L159" s="18" t="s">
        <v>118</v>
      </c>
    </row>
    <row r="160" spans="1:12">
      <c r="A160" s="18" t="s">
        <v>1421</v>
      </c>
      <c r="B160" s="18" t="s">
        <v>415</v>
      </c>
      <c r="C160" s="19">
        <v>46260</v>
      </c>
      <c r="D160" s="18" t="s">
        <v>1258</v>
      </c>
      <c r="E160" s="18" t="s">
        <v>1259</v>
      </c>
      <c r="F160" s="18">
        <v>14.6</v>
      </c>
      <c r="G160" s="18" t="s">
        <v>1260</v>
      </c>
      <c r="H160" s="18" t="s">
        <v>1261</v>
      </c>
      <c r="I160" s="18" t="s">
        <v>1245</v>
      </c>
      <c r="J160" s="18" t="s">
        <v>1246</v>
      </c>
      <c r="K160" s="18" t="s">
        <v>1247</v>
      </c>
      <c r="L160" s="18" t="s">
        <v>118</v>
      </c>
    </row>
    <row r="161" spans="1:12">
      <c r="A161" s="18" t="s">
        <v>1422</v>
      </c>
      <c r="B161" s="18" t="s">
        <v>415</v>
      </c>
      <c r="C161" s="19">
        <v>46260</v>
      </c>
      <c r="D161" s="18" t="s">
        <v>1263</v>
      </c>
      <c r="E161" s="18" t="s">
        <v>1264</v>
      </c>
      <c r="F161" s="18">
        <v>5.9</v>
      </c>
      <c r="G161" s="18" t="s">
        <v>1265</v>
      </c>
      <c r="H161" s="18" t="s">
        <v>1266</v>
      </c>
      <c r="I161" s="18" t="s">
        <v>1245</v>
      </c>
      <c r="J161" s="18" t="s">
        <v>1246</v>
      </c>
      <c r="K161" s="18" t="s">
        <v>1247</v>
      </c>
      <c r="L161" s="18" t="s">
        <v>118</v>
      </c>
    </row>
    <row r="162" spans="1:12">
      <c r="A162" s="18" t="s">
        <v>1423</v>
      </c>
      <c r="B162" s="18" t="s">
        <v>423</v>
      </c>
      <c r="C162" s="19">
        <v>46261</v>
      </c>
      <c r="D162" s="18" t="s">
        <v>1241</v>
      </c>
      <c r="E162" s="18" t="s">
        <v>1242</v>
      </c>
      <c r="F162" s="18">
        <v>5.5</v>
      </c>
      <c r="G162" s="18" t="s">
        <v>1243</v>
      </c>
      <c r="H162" s="18" t="s">
        <v>1244</v>
      </c>
      <c r="I162" s="18" t="s">
        <v>1245</v>
      </c>
      <c r="J162" s="18" t="s">
        <v>1246</v>
      </c>
      <c r="K162" s="18" t="s">
        <v>1247</v>
      </c>
      <c r="L162" s="18" t="s">
        <v>134</v>
      </c>
    </row>
    <row r="163" spans="1:12">
      <c r="A163" s="18" t="s">
        <v>1424</v>
      </c>
      <c r="B163" s="18" t="s">
        <v>423</v>
      </c>
      <c r="C163" s="19">
        <v>46261</v>
      </c>
      <c r="D163" s="18" t="s">
        <v>1249</v>
      </c>
      <c r="E163" s="18" t="s">
        <v>1250</v>
      </c>
      <c r="F163" s="18">
        <v>124</v>
      </c>
      <c r="G163" s="18" t="s">
        <v>1251</v>
      </c>
      <c r="H163" s="18" t="s">
        <v>1252</v>
      </c>
      <c r="I163" s="18" t="s">
        <v>1278</v>
      </c>
      <c r="J163" s="18" t="s">
        <v>1246</v>
      </c>
      <c r="K163" s="18" t="s">
        <v>1247</v>
      </c>
      <c r="L163" s="18" t="s">
        <v>134</v>
      </c>
    </row>
    <row r="164" spans="1:12">
      <c r="A164" s="18" t="s">
        <v>1425</v>
      </c>
      <c r="B164" s="18" t="s">
        <v>423</v>
      </c>
      <c r="C164" s="19">
        <v>46261</v>
      </c>
      <c r="D164" s="18" t="s">
        <v>1254</v>
      </c>
      <c r="E164" s="18" t="s">
        <v>1255</v>
      </c>
      <c r="F164" s="18">
        <v>167</v>
      </c>
      <c r="G164" s="18" t="s">
        <v>1251</v>
      </c>
      <c r="H164" s="18" t="s">
        <v>1256</v>
      </c>
      <c r="I164" s="18" t="s">
        <v>1245</v>
      </c>
      <c r="J164" s="18" t="s">
        <v>1246</v>
      </c>
      <c r="K164" s="18" t="s">
        <v>1247</v>
      </c>
      <c r="L164" s="18" t="s">
        <v>134</v>
      </c>
    </row>
    <row r="165" spans="1:12">
      <c r="A165" s="18" t="s">
        <v>1426</v>
      </c>
      <c r="B165" s="18" t="s">
        <v>423</v>
      </c>
      <c r="C165" s="19">
        <v>46261</v>
      </c>
      <c r="D165" s="18" t="s">
        <v>1258</v>
      </c>
      <c r="E165" s="18" t="s">
        <v>1259</v>
      </c>
      <c r="F165" s="18">
        <v>15</v>
      </c>
      <c r="G165" s="18" t="s">
        <v>1260</v>
      </c>
      <c r="H165" s="18" t="s">
        <v>1261</v>
      </c>
      <c r="I165" s="18" t="s">
        <v>1245</v>
      </c>
      <c r="J165" s="18" t="s">
        <v>1246</v>
      </c>
      <c r="K165" s="18" t="s">
        <v>1247</v>
      </c>
      <c r="L165" s="18" t="s">
        <v>134</v>
      </c>
    </row>
    <row r="166" spans="1:12">
      <c r="A166" s="18" t="s">
        <v>1427</v>
      </c>
      <c r="B166" s="18" t="s">
        <v>423</v>
      </c>
      <c r="C166" s="19">
        <v>46261</v>
      </c>
      <c r="D166" s="18" t="s">
        <v>1263</v>
      </c>
      <c r="E166" s="18" t="s">
        <v>1264</v>
      </c>
      <c r="F166" s="18">
        <v>6.4</v>
      </c>
      <c r="G166" s="18" t="s">
        <v>1265</v>
      </c>
      <c r="H166" s="18" t="s">
        <v>1266</v>
      </c>
      <c r="I166" s="18" t="s">
        <v>1245</v>
      </c>
      <c r="J166" s="18" t="s">
        <v>1246</v>
      </c>
      <c r="K166" s="18" t="s">
        <v>1247</v>
      </c>
      <c r="L166" s="18" t="s">
        <v>134</v>
      </c>
    </row>
    <row r="167" spans="1:12">
      <c r="A167" s="18" t="s">
        <v>1428</v>
      </c>
      <c r="B167" s="18" t="s">
        <v>430</v>
      </c>
      <c r="C167" s="19">
        <v>46262</v>
      </c>
      <c r="D167" s="18" t="s">
        <v>1241</v>
      </c>
      <c r="E167" s="18" t="s">
        <v>1242</v>
      </c>
      <c r="F167" s="18">
        <v>5.8</v>
      </c>
      <c r="G167" s="18" t="s">
        <v>1243</v>
      </c>
      <c r="H167" s="18" t="s">
        <v>1244</v>
      </c>
      <c r="I167" s="18" t="s">
        <v>1278</v>
      </c>
      <c r="J167" s="18" t="s">
        <v>1246</v>
      </c>
      <c r="K167" s="18" t="s">
        <v>1247</v>
      </c>
      <c r="L167" s="18" t="s">
        <v>149</v>
      </c>
    </row>
    <row r="168" spans="1:12">
      <c r="A168" s="18" t="s">
        <v>1429</v>
      </c>
      <c r="B168" s="18" t="s">
        <v>430</v>
      </c>
      <c r="C168" s="19">
        <v>46262</v>
      </c>
      <c r="D168" s="18" t="s">
        <v>1249</v>
      </c>
      <c r="E168" s="18" t="s">
        <v>1250</v>
      </c>
      <c r="F168" s="18">
        <v>129</v>
      </c>
      <c r="G168" s="18" t="s">
        <v>1251</v>
      </c>
      <c r="H168" s="18" t="s">
        <v>1252</v>
      </c>
      <c r="I168" s="18" t="s">
        <v>1278</v>
      </c>
      <c r="J168" s="18" t="s">
        <v>1246</v>
      </c>
      <c r="K168" s="18" t="s">
        <v>1247</v>
      </c>
      <c r="L168" s="18" t="s">
        <v>149</v>
      </c>
    </row>
    <row r="169" spans="1:12">
      <c r="A169" s="18" t="s">
        <v>1430</v>
      </c>
      <c r="B169" s="18" t="s">
        <v>430</v>
      </c>
      <c r="C169" s="19">
        <v>46262</v>
      </c>
      <c r="D169" s="18" t="s">
        <v>1254</v>
      </c>
      <c r="E169" s="18" t="s">
        <v>1255</v>
      </c>
      <c r="F169" s="18">
        <v>173</v>
      </c>
      <c r="G169" s="18" t="s">
        <v>1251</v>
      </c>
      <c r="H169" s="18" t="s">
        <v>1256</v>
      </c>
      <c r="I169" s="18" t="s">
        <v>1245</v>
      </c>
      <c r="J169" s="18" t="s">
        <v>1246</v>
      </c>
      <c r="K169" s="18" t="s">
        <v>1247</v>
      </c>
      <c r="L169" s="18" t="s">
        <v>149</v>
      </c>
    </row>
    <row r="170" spans="1:12">
      <c r="A170" s="18" t="s">
        <v>1431</v>
      </c>
      <c r="B170" s="18" t="s">
        <v>430</v>
      </c>
      <c r="C170" s="19">
        <v>46262</v>
      </c>
      <c r="D170" s="18" t="s">
        <v>1258</v>
      </c>
      <c r="E170" s="18" t="s">
        <v>1259</v>
      </c>
      <c r="F170" s="18">
        <v>15.3</v>
      </c>
      <c r="G170" s="18" t="s">
        <v>1260</v>
      </c>
      <c r="H170" s="18" t="s">
        <v>1261</v>
      </c>
      <c r="I170" s="18" t="s">
        <v>1245</v>
      </c>
      <c r="J170" s="18" t="s">
        <v>1246</v>
      </c>
      <c r="K170" s="18" t="s">
        <v>1247</v>
      </c>
      <c r="L170" s="18" t="s">
        <v>149</v>
      </c>
    </row>
    <row r="171" spans="1:12">
      <c r="A171" s="18" t="s">
        <v>1432</v>
      </c>
      <c r="B171" s="18" t="s">
        <v>430</v>
      </c>
      <c r="C171" s="19">
        <v>46262</v>
      </c>
      <c r="D171" s="18" t="s">
        <v>1263</v>
      </c>
      <c r="E171" s="18" t="s">
        <v>1264</v>
      </c>
      <c r="F171" s="18">
        <v>6.8</v>
      </c>
      <c r="G171" s="18" t="s">
        <v>1265</v>
      </c>
      <c r="H171" s="18" t="s">
        <v>1266</v>
      </c>
      <c r="I171" s="18" t="s">
        <v>1245</v>
      </c>
      <c r="J171" s="18" t="s">
        <v>1246</v>
      </c>
      <c r="K171" s="18" t="s">
        <v>1247</v>
      </c>
      <c r="L171" s="18" t="s">
        <v>149</v>
      </c>
    </row>
    <row r="172" spans="1:12">
      <c r="A172" s="18" t="s">
        <v>1433</v>
      </c>
      <c r="B172" s="18" t="s">
        <v>438</v>
      </c>
      <c r="C172" s="19">
        <v>46263</v>
      </c>
      <c r="D172" s="18" t="s">
        <v>1241</v>
      </c>
      <c r="E172" s="18" t="s">
        <v>1242</v>
      </c>
      <c r="F172" s="18">
        <v>6</v>
      </c>
      <c r="G172" s="18" t="s">
        <v>1243</v>
      </c>
      <c r="H172" s="18" t="s">
        <v>1244</v>
      </c>
      <c r="I172" s="18" t="s">
        <v>1278</v>
      </c>
      <c r="J172" s="18" t="s">
        <v>1246</v>
      </c>
      <c r="K172" s="18" t="s">
        <v>1247</v>
      </c>
      <c r="L172" s="18" t="s">
        <v>162</v>
      </c>
    </row>
    <row r="173" spans="1:12">
      <c r="A173" s="18" t="s">
        <v>1434</v>
      </c>
      <c r="B173" s="18" t="s">
        <v>438</v>
      </c>
      <c r="C173" s="19">
        <v>46263</v>
      </c>
      <c r="D173" s="18" t="s">
        <v>1249</v>
      </c>
      <c r="E173" s="18" t="s">
        <v>1250</v>
      </c>
      <c r="F173" s="18">
        <v>134</v>
      </c>
      <c r="G173" s="18" t="s">
        <v>1251</v>
      </c>
      <c r="H173" s="18" t="s">
        <v>1252</v>
      </c>
      <c r="I173" s="18" t="s">
        <v>1278</v>
      </c>
      <c r="J173" s="18" t="s">
        <v>1246</v>
      </c>
      <c r="K173" s="18" t="s">
        <v>1247</v>
      </c>
      <c r="L173" s="18" t="s">
        <v>162</v>
      </c>
    </row>
    <row r="174" spans="1:12">
      <c r="A174" s="18" t="s">
        <v>1435</v>
      </c>
      <c r="B174" s="18" t="s">
        <v>438</v>
      </c>
      <c r="C174" s="19">
        <v>46263</v>
      </c>
      <c r="D174" s="18" t="s">
        <v>1254</v>
      </c>
      <c r="E174" s="18" t="s">
        <v>1255</v>
      </c>
      <c r="F174" s="18">
        <v>179</v>
      </c>
      <c r="G174" s="18" t="s">
        <v>1251</v>
      </c>
      <c r="H174" s="18" t="s">
        <v>1256</v>
      </c>
      <c r="I174" s="18" t="s">
        <v>1245</v>
      </c>
      <c r="J174" s="18" t="s">
        <v>1246</v>
      </c>
      <c r="K174" s="18" t="s">
        <v>1247</v>
      </c>
      <c r="L174" s="18" t="s">
        <v>162</v>
      </c>
    </row>
    <row r="175" spans="1:12">
      <c r="A175" s="18" t="s">
        <v>1436</v>
      </c>
      <c r="B175" s="18" t="s">
        <v>438</v>
      </c>
      <c r="C175" s="19">
        <v>46263</v>
      </c>
      <c r="D175" s="18" t="s">
        <v>1258</v>
      </c>
      <c r="E175" s="18" t="s">
        <v>1259</v>
      </c>
      <c r="F175" s="18">
        <v>15.7</v>
      </c>
      <c r="G175" s="18" t="s">
        <v>1260</v>
      </c>
      <c r="H175" s="18" t="s">
        <v>1261</v>
      </c>
      <c r="I175" s="18" t="s">
        <v>1245</v>
      </c>
      <c r="J175" s="18" t="s">
        <v>1246</v>
      </c>
      <c r="K175" s="18" t="s">
        <v>1247</v>
      </c>
      <c r="L175" s="18" t="s">
        <v>162</v>
      </c>
    </row>
    <row r="176" spans="1:12">
      <c r="A176" s="18" t="s">
        <v>1437</v>
      </c>
      <c r="B176" s="18" t="s">
        <v>438</v>
      </c>
      <c r="C176" s="19">
        <v>46263</v>
      </c>
      <c r="D176" s="18" t="s">
        <v>1263</v>
      </c>
      <c r="E176" s="18" t="s">
        <v>1264</v>
      </c>
      <c r="F176" s="18">
        <v>7.3</v>
      </c>
      <c r="G176" s="18" t="s">
        <v>1265</v>
      </c>
      <c r="H176" s="18" t="s">
        <v>1266</v>
      </c>
      <c r="I176" s="18" t="s">
        <v>1245</v>
      </c>
      <c r="J176" s="18" t="s">
        <v>1246</v>
      </c>
      <c r="K176" s="18" t="s">
        <v>1247</v>
      </c>
      <c r="L176" s="18" t="s">
        <v>162</v>
      </c>
    </row>
    <row r="177" spans="1:12">
      <c r="A177" s="18" t="s">
        <v>1438</v>
      </c>
      <c r="B177" s="18" t="s">
        <v>445</v>
      </c>
      <c r="C177" s="19">
        <v>46264</v>
      </c>
      <c r="D177" s="18" t="s">
        <v>1241</v>
      </c>
      <c r="E177" s="18" t="s">
        <v>1242</v>
      </c>
      <c r="F177" s="18">
        <v>6.2</v>
      </c>
      <c r="G177" s="18" t="s">
        <v>1243</v>
      </c>
      <c r="H177" s="18" t="s">
        <v>1244</v>
      </c>
      <c r="I177" s="18" t="s">
        <v>1278</v>
      </c>
      <c r="J177" s="18" t="s">
        <v>1246</v>
      </c>
      <c r="K177" s="18" t="s">
        <v>1247</v>
      </c>
      <c r="L177" s="18" t="s">
        <v>176</v>
      </c>
    </row>
    <row r="178" spans="1:12">
      <c r="A178" s="18" t="s">
        <v>1439</v>
      </c>
      <c r="B178" s="18" t="s">
        <v>445</v>
      </c>
      <c r="C178" s="19">
        <v>46264</v>
      </c>
      <c r="D178" s="18" t="s">
        <v>1249</v>
      </c>
      <c r="E178" s="18" t="s">
        <v>1250</v>
      </c>
      <c r="F178" s="18">
        <v>139</v>
      </c>
      <c r="G178" s="18" t="s">
        <v>1251</v>
      </c>
      <c r="H178" s="18" t="s">
        <v>1252</v>
      </c>
      <c r="I178" s="18" t="s">
        <v>1278</v>
      </c>
      <c r="J178" s="18" t="s">
        <v>1246</v>
      </c>
      <c r="K178" s="18" t="s">
        <v>1247</v>
      </c>
      <c r="L178" s="18" t="s">
        <v>176</v>
      </c>
    </row>
    <row r="179" spans="1:12">
      <c r="A179" s="18" t="s">
        <v>1440</v>
      </c>
      <c r="B179" s="18" t="s">
        <v>445</v>
      </c>
      <c r="C179" s="19">
        <v>46264</v>
      </c>
      <c r="D179" s="18" t="s">
        <v>1254</v>
      </c>
      <c r="E179" s="18" t="s">
        <v>1255</v>
      </c>
      <c r="F179" s="18">
        <v>185</v>
      </c>
      <c r="G179" s="18" t="s">
        <v>1251</v>
      </c>
      <c r="H179" s="18" t="s">
        <v>1256</v>
      </c>
      <c r="I179" s="18" t="s">
        <v>1245</v>
      </c>
      <c r="J179" s="18" t="s">
        <v>1246</v>
      </c>
      <c r="K179" s="18" t="s">
        <v>1247</v>
      </c>
      <c r="L179" s="18" t="s">
        <v>176</v>
      </c>
    </row>
    <row r="180" spans="1:12">
      <c r="A180" s="18" t="s">
        <v>1441</v>
      </c>
      <c r="B180" s="18" t="s">
        <v>445</v>
      </c>
      <c r="C180" s="19">
        <v>46264</v>
      </c>
      <c r="D180" s="18" t="s">
        <v>1258</v>
      </c>
      <c r="E180" s="18" t="s">
        <v>1259</v>
      </c>
      <c r="F180" s="18">
        <v>16</v>
      </c>
      <c r="G180" s="18" t="s">
        <v>1260</v>
      </c>
      <c r="H180" s="18" t="s">
        <v>1261</v>
      </c>
      <c r="I180" s="18" t="s">
        <v>1245</v>
      </c>
      <c r="J180" s="18" t="s">
        <v>1246</v>
      </c>
      <c r="K180" s="18" t="s">
        <v>1247</v>
      </c>
      <c r="L180" s="18" t="s">
        <v>176</v>
      </c>
    </row>
    <row r="181" spans="1:12">
      <c r="A181" s="18" t="s">
        <v>1442</v>
      </c>
      <c r="B181" s="18" t="s">
        <v>445</v>
      </c>
      <c r="C181" s="19">
        <v>46264</v>
      </c>
      <c r="D181" s="18" t="s">
        <v>1263</v>
      </c>
      <c r="E181" s="18" t="s">
        <v>1264</v>
      </c>
      <c r="F181" s="18">
        <v>7.8</v>
      </c>
      <c r="G181" s="18" t="s">
        <v>1265</v>
      </c>
      <c r="H181" s="18" t="s">
        <v>1266</v>
      </c>
      <c r="I181" s="18" t="s">
        <v>1245</v>
      </c>
      <c r="J181" s="18" t="s">
        <v>1246</v>
      </c>
      <c r="K181" s="18" t="s">
        <v>1247</v>
      </c>
      <c r="L181" s="18" t="s">
        <v>176</v>
      </c>
    </row>
    <row r="182" spans="1:12">
      <c r="A182" s="18" t="s">
        <v>1443</v>
      </c>
      <c r="B182" s="18" t="s">
        <v>453</v>
      </c>
      <c r="C182" s="19">
        <v>46265</v>
      </c>
      <c r="D182" s="18" t="s">
        <v>1241</v>
      </c>
      <c r="E182" s="18" t="s">
        <v>1242</v>
      </c>
      <c r="F182" s="18">
        <v>6.4</v>
      </c>
      <c r="G182" s="18" t="s">
        <v>1243</v>
      </c>
      <c r="H182" s="18" t="s">
        <v>1244</v>
      </c>
      <c r="I182" s="18" t="s">
        <v>1278</v>
      </c>
      <c r="J182" s="18" t="s">
        <v>1246</v>
      </c>
      <c r="K182" s="18" t="s">
        <v>1247</v>
      </c>
      <c r="L182" s="18" t="s">
        <v>98</v>
      </c>
    </row>
    <row r="183" spans="1:12">
      <c r="A183" s="18" t="s">
        <v>1444</v>
      </c>
      <c r="B183" s="18" t="s">
        <v>453</v>
      </c>
      <c r="C183" s="19">
        <v>46265</v>
      </c>
      <c r="D183" s="18" t="s">
        <v>1249</v>
      </c>
      <c r="E183" s="18" t="s">
        <v>1250</v>
      </c>
      <c r="F183" s="18">
        <v>84</v>
      </c>
      <c r="G183" s="18" t="s">
        <v>1251</v>
      </c>
      <c r="H183" s="18" t="s">
        <v>1252</v>
      </c>
      <c r="I183" s="18" t="s">
        <v>1245</v>
      </c>
      <c r="J183" s="18" t="s">
        <v>1246</v>
      </c>
      <c r="K183" s="18" t="s">
        <v>1247</v>
      </c>
      <c r="L183" s="18" t="s">
        <v>98</v>
      </c>
    </row>
    <row r="184" spans="1:12">
      <c r="A184" s="18" t="s">
        <v>1445</v>
      </c>
      <c r="B184" s="18" t="s">
        <v>453</v>
      </c>
      <c r="C184" s="19">
        <v>46265</v>
      </c>
      <c r="D184" s="18" t="s">
        <v>1254</v>
      </c>
      <c r="E184" s="18" t="s">
        <v>1255</v>
      </c>
      <c r="F184" s="18">
        <v>191</v>
      </c>
      <c r="G184" s="18" t="s">
        <v>1251</v>
      </c>
      <c r="H184" s="18" t="s">
        <v>1256</v>
      </c>
      <c r="I184" s="18" t="s">
        <v>1245</v>
      </c>
      <c r="J184" s="18" t="s">
        <v>1246</v>
      </c>
      <c r="K184" s="18" t="s">
        <v>1247</v>
      </c>
      <c r="L184" s="18" t="s">
        <v>98</v>
      </c>
    </row>
    <row r="185" spans="1:12">
      <c r="A185" s="18" t="s">
        <v>1446</v>
      </c>
      <c r="B185" s="18" t="s">
        <v>453</v>
      </c>
      <c r="C185" s="19">
        <v>46265</v>
      </c>
      <c r="D185" s="18" t="s">
        <v>1258</v>
      </c>
      <c r="E185" s="18" t="s">
        <v>1259</v>
      </c>
      <c r="F185" s="18">
        <v>12.2</v>
      </c>
      <c r="G185" s="18" t="s">
        <v>1260</v>
      </c>
      <c r="H185" s="18" t="s">
        <v>1261</v>
      </c>
      <c r="I185" s="18" t="s">
        <v>1245</v>
      </c>
      <c r="J185" s="18" t="s">
        <v>1246</v>
      </c>
      <c r="K185" s="18" t="s">
        <v>1247</v>
      </c>
      <c r="L185" s="18" t="s">
        <v>98</v>
      </c>
    </row>
    <row r="186" spans="1:12">
      <c r="A186" s="18" t="s">
        <v>1447</v>
      </c>
      <c r="B186" s="18" t="s">
        <v>453</v>
      </c>
      <c r="C186" s="19">
        <v>46265</v>
      </c>
      <c r="D186" s="18" t="s">
        <v>1263</v>
      </c>
      <c r="E186" s="18" t="s">
        <v>1264</v>
      </c>
      <c r="F186" s="18">
        <v>8.1999999999999993</v>
      </c>
      <c r="G186" s="18" t="s">
        <v>1265</v>
      </c>
      <c r="H186" s="18" t="s">
        <v>1266</v>
      </c>
      <c r="I186" s="18" t="s">
        <v>1245</v>
      </c>
      <c r="J186" s="18" t="s">
        <v>1246</v>
      </c>
      <c r="K186" s="18" t="s">
        <v>1247</v>
      </c>
      <c r="L186" s="18" t="s">
        <v>98</v>
      </c>
    </row>
    <row r="187" spans="1:12">
      <c r="A187" s="18" t="s">
        <v>1448</v>
      </c>
      <c r="B187" s="18" t="s">
        <v>460</v>
      </c>
      <c r="C187" s="19">
        <v>46266</v>
      </c>
      <c r="D187" s="18" t="s">
        <v>1241</v>
      </c>
      <c r="E187" s="18" t="s">
        <v>1242</v>
      </c>
      <c r="F187" s="18">
        <v>6.6</v>
      </c>
      <c r="G187" s="18" t="s">
        <v>1243</v>
      </c>
      <c r="H187" s="18" t="s">
        <v>1244</v>
      </c>
      <c r="I187" s="18" t="s">
        <v>1278</v>
      </c>
      <c r="J187" s="18" t="s">
        <v>1246</v>
      </c>
      <c r="K187" s="18" t="s">
        <v>1247</v>
      </c>
      <c r="L187" s="18" t="s">
        <v>118</v>
      </c>
    </row>
    <row r="188" spans="1:12">
      <c r="A188" s="18" t="s">
        <v>1449</v>
      </c>
      <c r="B188" s="18" t="s">
        <v>460</v>
      </c>
      <c r="C188" s="19">
        <v>46266</v>
      </c>
      <c r="D188" s="18" t="s">
        <v>1249</v>
      </c>
      <c r="E188" s="18" t="s">
        <v>1250</v>
      </c>
      <c r="F188" s="18">
        <v>89</v>
      </c>
      <c r="G188" s="18" t="s">
        <v>1251</v>
      </c>
      <c r="H188" s="18" t="s">
        <v>1252</v>
      </c>
      <c r="I188" s="18" t="s">
        <v>1245</v>
      </c>
      <c r="J188" s="18" t="s">
        <v>1246</v>
      </c>
      <c r="K188" s="18" t="s">
        <v>1247</v>
      </c>
      <c r="L188" s="18" t="s">
        <v>118</v>
      </c>
    </row>
    <row r="189" spans="1:12">
      <c r="A189" s="18" t="s">
        <v>1450</v>
      </c>
      <c r="B189" s="18" t="s">
        <v>460</v>
      </c>
      <c r="C189" s="19">
        <v>46266</v>
      </c>
      <c r="D189" s="18" t="s">
        <v>1254</v>
      </c>
      <c r="E189" s="18" t="s">
        <v>1255</v>
      </c>
      <c r="F189" s="18">
        <v>197</v>
      </c>
      <c r="G189" s="18" t="s">
        <v>1251</v>
      </c>
      <c r="H189" s="18" t="s">
        <v>1256</v>
      </c>
      <c r="I189" s="18" t="s">
        <v>1245</v>
      </c>
      <c r="J189" s="18" t="s">
        <v>1246</v>
      </c>
      <c r="K189" s="18" t="s">
        <v>1247</v>
      </c>
      <c r="L189" s="18" t="s">
        <v>118</v>
      </c>
    </row>
    <row r="190" spans="1:12">
      <c r="A190" s="18" t="s">
        <v>1451</v>
      </c>
      <c r="B190" s="18" t="s">
        <v>460</v>
      </c>
      <c r="C190" s="19">
        <v>46266</v>
      </c>
      <c r="D190" s="18" t="s">
        <v>1258</v>
      </c>
      <c r="E190" s="18" t="s">
        <v>1259</v>
      </c>
      <c r="F190" s="18">
        <v>12.5</v>
      </c>
      <c r="G190" s="18" t="s">
        <v>1260</v>
      </c>
      <c r="H190" s="18" t="s">
        <v>1261</v>
      </c>
      <c r="I190" s="18" t="s">
        <v>1245</v>
      </c>
      <c r="J190" s="18" t="s">
        <v>1246</v>
      </c>
      <c r="K190" s="18" t="s">
        <v>1247</v>
      </c>
      <c r="L190" s="18" t="s">
        <v>118</v>
      </c>
    </row>
    <row r="191" spans="1:12">
      <c r="A191" s="18" t="s">
        <v>1452</v>
      </c>
      <c r="B191" s="18" t="s">
        <v>460</v>
      </c>
      <c r="C191" s="19">
        <v>46266</v>
      </c>
      <c r="D191" s="18" t="s">
        <v>1263</v>
      </c>
      <c r="E191" s="18" t="s">
        <v>1264</v>
      </c>
      <c r="F191" s="18">
        <v>8.6</v>
      </c>
      <c r="G191" s="18" t="s">
        <v>1265</v>
      </c>
      <c r="H191" s="18" t="s">
        <v>1266</v>
      </c>
      <c r="I191" s="18" t="s">
        <v>1245</v>
      </c>
      <c r="J191" s="18" t="s">
        <v>1246</v>
      </c>
      <c r="K191" s="18" t="s">
        <v>1247</v>
      </c>
      <c r="L191" s="18" t="s">
        <v>118</v>
      </c>
    </row>
    <row r="192" spans="1:12">
      <c r="A192" s="18" t="s">
        <v>1453</v>
      </c>
      <c r="B192" s="18" t="s">
        <v>468</v>
      </c>
      <c r="C192" s="19">
        <v>46267</v>
      </c>
      <c r="D192" s="18" t="s">
        <v>1241</v>
      </c>
      <c r="E192" s="18" t="s">
        <v>1242</v>
      </c>
      <c r="F192" s="18">
        <v>6.9</v>
      </c>
      <c r="G192" s="18" t="s">
        <v>1243</v>
      </c>
      <c r="H192" s="18" t="s">
        <v>1244</v>
      </c>
      <c r="I192" s="18" t="s">
        <v>1278</v>
      </c>
      <c r="J192" s="18" t="s">
        <v>1246</v>
      </c>
      <c r="K192" s="18" t="s">
        <v>1247</v>
      </c>
      <c r="L192" s="18" t="s">
        <v>134</v>
      </c>
    </row>
    <row r="193" spans="1:12">
      <c r="A193" s="18" t="s">
        <v>1454</v>
      </c>
      <c r="B193" s="18" t="s">
        <v>468</v>
      </c>
      <c r="C193" s="19">
        <v>46267</v>
      </c>
      <c r="D193" s="18" t="s">
        <v>1249</v>
      </c>
      <c r="E193" s="18" t="s">
        <v>1250</v>
      </c>
      <c r="F193" s="18">
        <v>94</v>
      </c>
      <c r="G193" s="18" t="s">
        <v>1251</v>
      </c>
      <c r="H193" s="18" t="s">
        <v>1252</v>
      </c>
      <c r="I193" s="18" t="s">
        <v>1245</v>
      </c>
      <c r="J193" s="18" t="s">
        <v>1246</v>
      </c>
      <c r="K193" s="18" t="s">
        <v>1247</v>
      </c>
      <c r="L193" s="18" t="s">
        <v>134</v>
      </c>
    </row>
    <row r="194" spans="1:12">
      <c r="A194" s="18" t="s">
        <v>1455</v>
      </c>
      <c r="B194" s="18" t="s">
        <v>468</v>
      </c>
      <c r="C194" s="19">
        <v>46267</v>
      </c>
      <c r="D194" s="18" t="s">
        <v>1254</v>
      </c>
      <c r="E194" s="18" t="s">
        <v>1255</v>
      </c>
      <c r="F194" s="18">
        <v>203</v>
      </c>
      <c r="G194" s="18" t="s">
        <v>1251</v>
      </c>
      <c r="H194" s="18" t="s">
        <v>1256</v>
      </c>
      <c r="I194" s="18" t="s">
        <v>1278</v>
      </c>
      <c r="J194" s="18" t="s">
        <v>1246</v>
      </c>
      <c r="K194" s="18" t="s">
        <v>1247</v>
      </c>
      <c r="L194" s="18" t="s">
        <v>134</v>
      </c>
    </row>
    <row r="195" spans="1:12">
      <c r="A195" s="18" t="s">
        <v>1456</v>
      </c>
      <c r="B195" s="18" t="s">
        <v>468</v>
      </c>
      <c r="C195" s="19">
        <v>46267</v>
      </c>
      <c r="D195" s="18" t="s">
        <v>1258</v>
      </c>
      <c r="E195" s="18" t="s">
        <v>1259</v>
      </c>
      <c r="F195" s="18">
        <v>12.9</v>
      </c>
      <c r="G195" s="18" t="s">
        <v>1260</v>
      </c>
      <c r="H195" s="18" t="s">
        <v>1261</v>
      </c>
      <c r="I195" s="18" t="s">
        <v>1245</v>
      </c>
      <c r="J195" s="18" t="s">
        <v>1246</v>
      </c>
      <c r="K195" s="18" t="s">
        <v>1247</v>
      </c>
      <c r="L195" s="18" t="s">
        <v>134</v>
      </c>
    </row>
    <row r="196" spans="1:12">
      <c r="A196" s="18" t="s">
        <v>1457</v>
      </c>
      <c r="B196" s="18" t="s">
        <v>468</v>
      </c>
      <c r="C196" s="19">
        <v>46267</v>
      </c>
      <c r="D196" s="18" t="s">
        <v>1263</v>
      </c>
      <c r="E196" s="18" t="s">
        <v>1264</v>
      </c>
      <c r="F196" s="18">
        <v>9.1</v>
      </c>
      <c r="G196" s="18" t="s">
        <v>1265</v>
      </c>
      <c r="H196" s="18" t="s">
        <v>1266</v>
      </c>
      <c r="I196" s="18" t="s">
        <v>1245</v>
      </c>
      <c r="J196" s="18" t="s">
        <v>1246</v>
      </c>
      <c r="K196" s="18" t="s">
        <v>1247</v>
      </c>
      <c r="L196" s="18" t="s">
        <v>134</v>
      </c>
    </row>
    <row r="197" spans="1:12">
      <c r="A197" s="18" t="s">
        <v>1458</v>
      </c>
      <c r="B197" s="18" t="s">
        <v>475</v>
      </c>
      <c r="C197" s="19">
        <v>46268</v>
      </c>
      <c r="D197" s="18" t="s">
        <v>1241</v>
      </c>
      <c r="E197" s="18" t="s">
        <v>1242</v>
      </c>
      <c r="F197" s="18">
        <v>7.1</v>
      </c>
      <c r="G197" s="18" t="s">
        <v>1243</v>
      </c>
      <c r="H197" s="18" t="s">
        <v>1244</v>
      </c>
      <c r="I197" s="18" t="s">
        <v>1278</v>
      </c>
      <c r="J197" s="18" t="s">
        <v>1246</v>
      </c>
      <c r="K197" s="18" t="s">
        <v>1247</v>
      </c>
      <c r="L197" s="18" t="s">
        <v>149</v>
      </c>
    </row>
    <row r="198" spans="1:12">
      <c r="A198" s="18" t="s">
        <v>1459</v>
      </c>
      <c r="B198" s="18" t="s">
        <v>475</v>
      </c>
      <c r="C198" s="19">
        <v>46268</v>
      </c>
      <c r="D198" s="18" t="s">
        <v>1249</v>
      </c>
      <c r="E198" s="18" t="s">
        <v>1250</v>
      </c>
      <c r="F198" s="18">
        <v>99</v>
      </c>
      <c r="G198" s="18" t="s">
        <v>1251</v>
      </c>
      <c r="H198" s="18" t="s">
        <v>1252</v>
      </c>
      <c r="I198" s="18" t="s">
        <v>1245</v>
      </c>
      <c r="J198" s="18" t="s">
        <v>1246</v>
      </c>
      <c r="K198" s="18" t="s">
        <v>1247</v>
      </c>
      <c r="L198" s="18" t="s">
        <v>149</v>
      </c>
    </row>
    <row r="199" spans="1:12">
      <c r="A199" s="18" t="s">
        <v>1460</v>
      </c>
      <c r="B199" s="18" t="s">
        <v>475</v>
      </c>
      <c r="C199" s="19">
        <v>46268</v>
      </c>
      <c r="D199" s="18" t="s">
        <v>1254</v>
      </c>
      <c r="E199" s="18" t="s">
        <v>1255</v>
      </c>
      <c r="F199" s="18">
        <v>209</v>
      </c>
      <c r="G199" s="18" t="s">
        <v>1251</v>
      </c>
      <c r="H199" s="18" t="s">
        <v>1256</v>
      </c>
      <c r="I199" s="18" t="s">
        <v>1278</v>
      </c>
      <c r="J199" s="18" t="s">
        <v>1246</v>
      </c>
      <c r="K199" s="18" t="s">
        <v>1247</v>
      </c>
      <c r="L199" s="18" t="s">
        <v>149</v>
      </c>
    </row>
    <row r="200" spans="1:12">
      <c r="A200" s="18" t="s">
        <v>1461</v>
      </c>
      <c r="B200" s="18" t="s">
        <v>475</v>
      </c>
      <c r="C200" s="19">
        <v>46268</v>
      </c>
      <c r="D200" s="18" t="s">
        <v>1258</v>
      </c>
      <c r="E200" s="18" t="s">
        <v>1259</v>
      </c>
      <c r="F200" s="18">
        <v>13.2</v>
      </c>
      <c r="G200" s="18" t="s">
        <v>1260</v>
      </c>
      <c r="H200" s="18" t="s">
        <v>1261</v>
      </c>
      <c r="I200" s="18" t="s">
        <v>1245</v>
      </c>
      <c r="J200" s="18" t="s">
        <v>1246</v>
      </c>
      <c r="K200" s="18" t="s">
        <v>1247</v>
      </c>
      <c r="L200" s="18" t="s">
        <v>149</v>
      </c>
    </row>
    <row r="201" spans="1:12">
      <c r="A201" s="18" t="s">
        <v>1462</v>
      </c>
      <c r="B201" s="18" t="s">
        <v>475</v>
      </c>
      <c r="C201" s="19">
        <v>46268</v>
      </c>
      <c r="D201" s="18" t="s">
        <v>1263</v>
      </c>
      <c r="E201" s="18" t="s">
        <v>1264</v>
      </c>
      <c r="F201" s="18">
        <v>9.6</v>
      </c>
      <c r="G201" s="18" t="s">
        <v>1265</v>
      </c>
      <c r="H201" s="18" t="s">
        <v>1266</v>
      </c>
      <c r="I201" s="18" t="s">
        <v>1245</v>
      </c>
      <c r="J201" s="18" t="s">
        <v>1246</v>
      </c>
      <c r="K201" s="18" t="s">
        <v>1247</v>
      </c>
      <c r="L201" s="18" t="s">
        <v>149</v>
      </c>
    </row>
    <row r="202" spans="1:12">
      <c r="A202" s="18" t="s">
        <v>1463</v>
      </c>
      <c r="B202" s="18" t="s">
        <v>483</v>
      </c>
      <c r="C202" s="19">
        <v>46249</v>
      </c>
      <c r="D202" s="18" t="s">
        <v>1241</v>
      </c>
      <c r="E202" s="18" t="s">
        <v>1242</v>
      </c>
      <c r="F202" s="18">
        <v>5.0999999999999996</v>
      </c>
      <c r="G202" s="18" t="s">
        <v>1243</v>
      </c>
      <c r="H202" s="18" t="s">
        <v>1244</v>
      </c>
      <c r="I202" s="18" t="s">
        <v>1245</v>
      </c>
      <c r="J202" s="18" t="s">
        <v>1246</v>
      </c>
      <c r="K202" s="18" t="s">
        <v>1247</v>
      </c>
      <c r="L202" s="18" t="s">
        <v>162</v>
      </c>
    </row>
    <row r="203" spans="1:12">
      <c r="A203" s="18" t="s">
        <v>1464</v>
      </c>
      <c r="B203" s="18" t="s">
        <v>483</v>
      </c>
      <c r="C203" s="19">
        <v>46249</v>
      </c>
      <c r="D203" s="18" t="s">
        <v>1249</v>
      </c>
      <c r="E203" s="18" t="s">
        <v>1250</v>
      </c>
      <c r="F203" s="18">
        <v>104</v>
      </c>
      <c r="G203" s="18" t="s">
        <v>1251</v>
      </c>
      <c r="H203" s="18" t="s">
        <v>1252</v>
      </c>
      <c r="I203" s="18" t="s">
        <v>1278</v>
      </c>
      <c r="J203" s="18" t="s">
        <v>1246</v>
      </c>
      <c r="K203" s="18" t="s">
        <v>1247</v>
      </c>
      <c r="L203" s="18" t="s">
        <v>162</v>
      </c>
    </row>
    <row r="204" spans="1:12">
      <c r="A204" s="18" t="s">
        <v>1465</v>
      </c>
      <c r="B204" s="18" t="s">
        <v>483</v>
      </c>
      <c r="C204" s="19">
        <v>46249</v>
      </c>
      <c r="D204" s="18" t="s">
        <v>1254</v>
      </c>
      <c r="E204" s="18" t="s">
        <v>1255</v>
      </c>
      <c r="F204" s="18">
        <v>215</v>
      </c>
      <c r="G204" s="18" t="s">
        <v>1251</v>
      </c>
      <c r="H204" s="18" t="s">
        <v>1256</v>
      </c>
      <c r="I204" s="18" t="s">
        <v>1278</v>
      </c>
      <c r="J204" s="18" t="s">
        <v>1246</v>
      </c>
      <c r="K204" s="18" t="s">
        <v>1247</v>
      </c>
      <c r="L204" s="18" t="s">
        <v>162</v>
      </c>
    </row>
    <row r="205" spans="1:12">
      <c r="A205" s="18" t="s">
        <v>1466</v>
      </c>
      <c r="B205" s="18" t="s">
        <v>483</v>
      </c>
      <c r="C205" s="19">
        <v>46249</v>
      </c>
      <c r="D205" s="18" t="s">
        <v>1258</v>
      </c>
      <c r="E205" s="18" t="s">
        <v>1259</v>
      </c>
      <c r="F205" s="18">
        <v>13.6</v>
      </c>
      <c r="G205" s="18" t="s">
        <v>1260</v>
      </c>
      <c r="H205" s="18" t="s">
        <v>1261</v>
      </c>
      <c r="I205" s="18" t="s">
        <v>1245</v>
      </c>
      <c r="J205" s="18" t="s">
        <v>1246</v>
      </c>
      <c r="K205" s="18" t="s">
        <v>1247</v>
      </c>
      <c r="L205" s="18" t="s">
        <v>162</v>
      </c>
    </row>
    <row r="206" spans="1:12">
      <c r="A206" s="18" t="s">
        <v>1467</v>
      </c>
      <c r="B206" s="18" t="s">
        <v>483</v>
      </c>
      <c r="C206" s="19">
        <v>46249</v>
      </c>
      <c r="D206" s="18" t="s">
        <v>1263</v>
      </c>
      <c r="E206" s="18" t="s">
        <v>1264</v>
      </c>
      <c r="F206" s="18">
        <v>10</v>
      </c>
      <c r="G206" s="18" t="s">
        <v>1265</v>
      </c>
      <c r="H206" s="18" t="s">
        <v>1266</v>
      </c>
      <c r="I206" s="18" t="s">
        <v>1245</v>
      </c>
      <c r="J206" s="18" t="s">
        <v>1246</v>
      </c>
      <c r="K206" s="18" t="s">
        <v>1247</v>
      </c>
      <c r="L206" s="18" t="s">
        <v>162</v>
      </c>
    </row>
    <row r="207" spans="1:12">
      <c r="A207" s="18" t="s">
        <v>1468</v>
      </c>
      <c r="B207" s="18" t="s">
        <v>491</v>
      </c>
      <c r="C207" s="19">
        <v>46250</v>
      </c>
      <c r="D207" s="18" t="s">
        <v>1241</v>
      </c>
      <c r="E207" s="18" t="s">
        <v>1242</v>
      </c>
      <c r="F207" s="18">
        <v>5.3</v>
      </c>
      <c r="G207" s="18" t="s">
        <v>1243</v>
      </c>
      <c r="H207" s="18" t="s">
        <v>1244</v>
      </c>
      <c r="I207" s="18" t="s">
        <v>1245</v>
      </c>
      <c r="J207" s="18" t="s">
        <v>1246</v>
      </c>
      <c r="K207" s="18" t="s">
        <v>1247</v>
      </c>
      <c r="L207" s="18" t="s">
        <v>176</v>
      </c>
    </row>
    <row r="208" spans="1:12">
      <c r="A208" s="18" t="s">
        <v>1469</v>
      </c>
      <c r="B208" s="18" t="s">
        <v>491</v>
      </c>
      <c r="C208" s="19">
        <v>46250</v>
      </c>
      <c r="D208" s="18" t="s">
        <v>1249</v>
      </c>
      <c r="E208" s="18" t="s">
        <v>1250</v>
      </c>
      <c r="F208" s="18">
        <v>109</v>
      </c>
      <c r="G208" s="18" t="s">
        <v>1251</v>
      </c>
      <c r="H208" s="18" t="s">
        <v>1252</v>
      </c>
      <c r="I208" s="18" t="s">
        <v>1278</v>
      </c>
      <c r="J208" s="18" t="s">
        <v>1246</v>
      </c>
      <c r="K208" s="18" t="s">
        <v>1247</v>
      </c>
      <c r="L208" s="18" t="s">
        <v>176</v>
      </c>
    </row>
    <row r="209" spans="1:12">
      <c r="A209" s="18" t="s">
        <v>1470</v>
      </c>
      <c r="B209" s="18" t="s">
        <v>491</v>
      </c>
      <c r="C209" s="19">
        <v>46250</v>
      </c>
      <c r="D209" s="18" t="s">
        <v>1254</v>
      </c>
      <c r="E209" s="18" t="s">
        <v>1255</v>
      </c>
      <c r="F209" s="18">
        <v>221</v>
      </c>
      <c r="G209" s="18" t="s">
        <v>1251</v>
      </c>
      <c r="H209" s="18" t="s">
        <v>1256</v>
      </c>
      <c r="I209" s="18" t="s">
        <v>1278</v>
      </c>
      <c r="J209" s="18" t="s">
        <v>1246</v>
      </c>
      <c r="K209" s="18" t="s">
        <v>1247</v>
      </c>
      <c r="L209" s="18" t="s">
        <v>176</v>
      </c>
    </row>
    <row r="210" spans="1:12">
      <c r="A210" s="18" t="s">
        <v>1471</v>
      </c>
      <c r="B210" s="18" t="s">
        <v>491</v>
      </c>
      <c r="C210" s="19">
        <v>46250</v>
      </c>
      <c r="D210" s="18" t="s">
        <v>1258</v>
      </c>
      <c r="E210" s="18" t="s">
        <v>1259</v>
      </c>
      <c r="F210" s="18">
        <v>13.9</v>
      </c>
      <c r="G210" s="18" t="s">
        <v>1260</v>
      </c>
      <c r="H210" s="18" t="s">
        <v>1261</v>
      </c>
      <c r="I210" s="18" t="s">
        <v>1245</v>
      </c>
      <c r="J210" s="18" t="s">
        <v>1246</v>
      </c>
      <c r="K210" s="18" t="s">
        <v>1247</v>
      </c>
      <c r="L210" s="18" t="s">
        <v>176</v>
      </c>
    </row>
    <row r="211" spans="1:12">
      <c r="A211" s="18" t="s">
        <v>1472</v>
      </c>
      <c r="B211" s="18" t="s">
        <v>491</v>
      </c>
      <c r="C211" s="19">
        <v>46250</v>
      </c>
      <c r="D211" s="18" t="s">
        <v>1263</v>
      </c>
      <c r="E211" s="18" t="s">
        <v>1264</v>
      </c>
      <c r="F211" s="18">
        <v>10.4</v>
      </c>
      <c r="G211" s="18" t="s">
        <v>1265</v>
      </c>
      <c r="H211" s="18" t="s">
        <v>1266</v>
      </c>
      <c r="I211" s="18" t="s">
        <v>1245</v>
      </c>
      <c r="J211" s="18" t="s">
        <v>1246</v>
      </c>
      <c r="K211" s="18" t="s">
        <v>1247</v>
      </c>
      <c r="L211" s="18" t="s">
        <v>176</v>
      </c>
    </row>
    <row r="212" spans="1:12">
      <c r="A212" s="18" t="s">
        <v>1473</v>
      </c>
      <c r="B212" s="18" t="s">
        <v>499</v>
      </c>
      <c r="C212" s="19">
        <v>46251</v>
      </c>
      <c r="D212" s="18" t="s">
        <v>1241</v>
      </c>
      <c r="E212" s="18" t="s">
        <v>1242</v>
      </c>
      <c r="F212" s="18">
        <v>5.5</v>
      </c>
      <c r="G212" s="18" t="s">
        <v>1243</v>
      </c>
      <c r="H212" s="18" t="s">
        <v>1244</v>
      </c>
      <c r="I212" s="18" t="s">
        <v>1245</v>
      </c>
      <c r="J212" s="18" t="s">
        <v>1246</v>
      </c>
      <c r="K212" s="18" t="s">
        <v>1247</v>
      </c>
      <c r="L212" s="18" t="s">
        <v>98</v>
      </c>
    </row>
    <row r="213" spans="1:12">
      <c r="A213" s="18" t="s">
        <v>1474</v>
      </c>
      <c r="B213" s="18" t="s">
        <v>499</v>
      </c>
      <c r="C213" s="19">
        <v>46251</v>
      </c>
      <c r="D213" s="18" t="s">
        <v>1249</v>
      </c>
      <c r="E213" s="18" t="s">
        <v>1250</v>
      </c>
      <c r="F213" s="18">
        <v>114</v>
      </c>
      <c r="G213" s="18" t="s">
        <v>1251</v>
      </c>
      <c r="H213" s="18" t="s">
        <v>1252</v>
      </c>
      <c r="I213" s="18" t="s">
        <v>1278</v>
      </c>
      <c r="J213" s="18" t="s">
        <v>1246</v>
      </c>
      <c r="K213" s="18" t="s">
        <v>1247</v>
      </c>
      <c r="L213" s="18" t="s">
        <v>98</v>
      </c>
    </row>
    <row r="214" spans="1:12">
      <c r="A214" s="18" t="s">
        <v>1475</v>
      </c>
      <c r="B214" s="18" t="s">
        <v>499</v>
      </c>
      <c r="C214" s="19">
        <v>46251</v>
      </c>
      <c r="D214" s="18" t="s">
        <v>1254</v>
      </c>
      <c r="E214" s="18" t="s">
        <v>1255</v>
      </c>
      <c r="F214" s="18">
        <v>227</v>
      </c>
      <c r="G214" s="18" t="s">
        <v>1251</v>
      </c>
      <c r="H214" s="18" t="s">
        <v>1256</v>
      </c>
      <c r="I214" s="18" t="s">
        <v>1278</v>
      </c>
      <c r="J214" s="18" t="s">
        <v>1246</v>
      </c>
      <c r="K214" s="18" t="s">
        <v>1247</v>
      </c>
      <c r="L214" s="18" t="s">
        <v>98</v>
      </c>
    </row>
    <row r="215" spans="1:12">
      <c r="A215" s="18" t="s">
        <v>1476</v>
      </c>
      <c r="B215" s="18" t="s">
        <v>499</v>
      </c>
      <c r="C215" s="19">
        <v>46251</v>
      </c>
      <c r="D215" s="18" t="s">
        <v>1258</v>
      </c>
      <c r="E215" s="18" t="s">
        <v>1259</v>
      </c>
      <c r="F215" s="18">
        <v>14.3</v>
      </c>
      <c r="G215" s="18" t="s">
        <v>1260</v>
      </c>
      <c r="H215" s="18" t="s">
        <v>1261</v>
      </c>
      <c r="I215" s="18" t="s">
        <v>1245</v>
      </c>
      <c r="J215" s="18" t="s">
        <v>1246</v>
      </c>
      <c r="K215" s="18" t="s">
        <v>1247</v>
      </c>
      <c r="L215" s="18" t="s">
        <v>98</v>
      </c>
    </row>
    <row r="216" spans="1:12">
      <c r="A216" s="18" t="s">
        <v>1477</v>
      </c>
      <c r="B216" s="18" t="s">
        <v>499</v>
      </c>
      <c r="C216" s="19">
        <v>46251</v>
      </c>
      <c r="D216" s="18" t="s">
        <v>1263</v>
      </c>
      <c r="E216" s="18" t="s">
        <v>1264</v>
      </c>
      <c r="F216" s="18">
        <v>4.5999999999999996</v>
      </c>
      <c r="G216" s="18" t="s">
        <v>1265</v>
      </c>
      <c r="H216" s="18" t="s">
        <v>1266</v>
      </c>
      <c r="I216" s="18" t="s">
        <v>1245</v>
      </c>
      <c r="J216" s="18" t="s">
        <v>1246</v>
      </c>
      <c r="K216" s="18" t="s">
        <v>1247</v>
      </c>
      <c r="L216" s="18" t="s">
        <v>98</v>
      </c>
    </row>
    <row r="217" spans="1:12">
      <c r="A217" s="18" t="s">
        <v>1478</v>
      </c>
      <c r="B217" s="18" t="s">
        <v>507</v>
      </c>
      <c r="C217" s="19">
        <v>46252</v>
      </c>
      <c r="D217" s="18" t="s">
        <v>1241</v>
      </c>
      <c r="E217" s="18" t="s">
        <v>1242</v>
      </c>
      <c r="F217" s="18">
        <v>5.8</v>
      </c>
      <c r="G217" s="18" t="s">
        <v>1243</v>
      </c>
      <c r="H217" s="18" t="s">
        <v>1244</v>
      </c>
      <c r="I217" s="18" t="s">
        <v>1278</v>
      </c>
      <c r="J217" s="18" t="s">
        <v>1246</v>
      </c>
      <c r="K217" s="18" t="s">
        <v>1247</v>
      </c>
      <c r="L217" s="18" t="s">
        <v>118</v>
      </c>
    </row>
    <row r="218" spans="1:12">
      <c r="A218" s="18" t="s">
        <v>1479</v>
      </c>
      <c r="B218" s="18" t="s">
        <v>507</v>
      </c>
      <c r="C218" s="19">
        <v>46252</v>
      </c>
      <c r="D218" s="18" t="s">
        <v>1249</v>
      </c>
      <c r="E218" s="18" t="s">
        <v>1250</v>
      </c>
      <c r="F218" s="18">
        <v>119</v>
      </c>
      <c r="G218" s="18" t="s">
        <v>1251</v>
      </c>
      <c r="H218" s="18" t="s">
        <v>1252</v>
      </c>
      <c r="I218" s="18" t="s">
        <v>1278</v>
      </c>
      <c r="J218" s="18" t="s">
        <v>1246</v>
      </c>
      <c r="K218" s="18" t="s">
        <v>1247</v>
      </c>
      <c r="L218" s="18" t="s">
        <v>118</v>
      </c>
    </row>
    <row r="219" spans="1:12">
      <c r="A219" s="18" t="s">
        <v>1480</v>
      </c>
      <c r="B219" s="18" t="s">
        <v>507</v>
      </c>
      <c r="C219" s="19">
        <v>46252</v>
      </c>
      <c r="D219" s="18" t="s">
        <v>1254</v>
      </c>
      <c r="E219" s="18" t="s">
        <v>1255</v>
      </c>
      <c r="F219" s="18">
        <v>233</v>
      </c>
      <c r="G219" s="18" t="s">
        <v>1251</v>
      </c>
      <c r="H219" s="18" t="s">
        <v>1256</v>
      </c>
      <c r="I219" s="18" t="s">
        <v>1278</v>
      </c>
      <c r="J219" s="18" t="s">
        <v>1246</v>
      </c>
      <c r="K219" s="18" t="s">
        <v>1247</v>
      </c>
      <c r="L219" s="18" t="s">
        <v>118</v>
      </c>
    </row>
    <row r="220" spans="1:12">
      <c r="A220" s="18" t="s">
        <v>1481</v>
      </c>
      <c r="B220" s="18" t="s">
        <v>507</v>
      </c>
      <c r="C220" s="19">
        <v>46252</v>
      </c>
      <c r="D220" s="18" t="s">
        <v>1258</v>
      </c>
      <c r="E220" s="18" t="s">
        <v>1259</v>
      </c>
      <c r="F220" s="18">
        <v>14.6</v>
      </c>
      <c r="G220" s="18" t="s">
        <v>1260</v>
      </c>
      <c r="H220" s="18" t="s">
        <v>1261</v>
      </c>
      <c r="I220" s="18" t="s">
        <v>1245</v>
      </c>
      <c r="J220" s="18" t="s">
        <v>1246</v>
      </c>
      <c r="K220" s="18" t="s">
        <v>1247</v>
      </c>
      <c r="L220" s="18" t="s">
        <v>118</v>
      </c>
    </row>
    <row r="221" spans="1:12">
      <c r="A221" s="18" t="s">
        <v>1482</v>
      </c>
      <c r="B221" s="18" t="s">
        <v>507</v>
      </c>
      <c r="C221" s="19">
        <v>46252</v>
      </c>
      <c r="D221" s="18" t="s">
        <v>1263</v>
      </c>
      <c r="E221" s="18" t="s">
        <v>1264</v>
      </c>
      <c r="F221" s="18">
        <v>5</v>
      </c>
      <c r="G221" s="18" t="s">
        <v>1265</v>
      </c>
      <c r="H221" s="18" t="s">
        <v>1266</v>
      </c>
      <c r="I221" s="18" t="s">
        <v>1245</v>
      </c>
      <c r="J221" s="18" t="s">
        <v>1246</v>
      </c>
      <c r="K221" s="18" t="s">
        <v>1247</v>
      </c>
      <c r="L221" s="18" t="s">
        <v>118</v>
      </c>
    </row>
    <row r="222" spans="1:12">
      <c r="A222" s="18" t="s">
        <v>1483</v>
      </c>
      <c r="B222" s="18" t="s">
        <v>515</v>
      </c>
      <c r="C222" s="19">
        <v>46253</v>
      </c>
      <c r="D222" s="18" t="s">
        <v>1241</v>
      </c>
      <c r="E222" s="18" t="s">
        <v>1242</v>
      </c>
      <c r="F222" s="18">
        <v>6</v>
      </c>
      <c r="G222" s="18" t="s">
        <v>1243</v>
      </c>
      <c r="H222" s="18" t="s">
        <v>1244</v>
      </c>
      <c r="I222" s="18" t="s">
        <v>1278</v>
      </c>
      <c r="J222" s="18" t="s">
        <v>1246</v>
      </c>
      <c r="K222" s="18" t="s">
        <v>1247</v>
      </c>
      <c r="L222" s="18" t="s">
        <v>134</v>
      </c>
    </row>
    <row r="223" spans="1:12">
      <c r="A223" s="18" t="s">
        <v>1484</v>
      </c>
      <c r="B223" s="18" t="s">
        <v>515</v>
      </c>
      <c r="C223" s="19">
        <v>46253</v>
      </c>
      <c r="D223" s="18" t="s">
        <v>1249</v>
      </c>
      <c r="E223" s="18" t="s">
        <v>1250</v>
      </c>
      <c r="F223" s="18">
        <v>124</v>
      </c>
      <c r="G223" s="18" t="s">
        <v>1251</v>
      </c>
      <c r="H223" s="18" t="s">
        <v>1252</v>
      </c>
      <c r="I223" s="18" t="s">
        <v>1278</v>
      </c>
      <c r="J223" s="18" t="s">
        <v>1246</v>
      </c>
      <c r="K223" s="18" t="s">
        <v>1247</v>
      </c>
      <c r="L223" s="18" t="s">
        <v>134</v>
      </c>
    </row>
    <row r="224" spans="1:12">
      <c r="A224" s="18" t="s">
        <v>1485</v>
      </c>
      <c r="B224" s="18" t="s">
        <v>515</v>
      </c>
      <c r="C224" s="19">
        <v>46253</v>
      </c>
      <c r="D224" s="18" t="s">
        <v>1254</v>
      </c>
      <c r="E224" s="18" t="s">
        <v>1255</v>
      </c>
      <c r="F224" s="18">
        <v>239</v>
      </c>
      <c r="G224" s="18" t="s">
        <v>1251</v>
      </c>
      <c r="H224" s="18" t="s">
        <v>1256</v>
      </c>
      <c r="I224" s="18" t="s">
        <v>1278</v>
      </c>
      <c r="J224" s="18" t="s">
        <v>1246</v>
      </c>
      <c r="K224" s="18" t="s">
        <v>1247</v>
      </c>
      <c r="L224" s="18" t="s">
        <v>134</v>
      </c>
    </row>
    <row r="225" spans="1:12">
      <c r="A225" s="18" t="s">
        <v>1486</v>
      </c>
      <c r="B225" s="18" t="s">
        <v>515</v>
      </c>
      <c r="C225" s="19">
        <v>46253</v>
      </c>
      <c r="D225" s="18" t="s">
        <v>1258</v>
      </c>
      <c r="E225" s="18" t="s">
        <v>1259</v>
      </c>
      <c r="F225" s="18">
        <v>15</v>
      </c>
      <c r="G225" s="18" t="s">
        <v>1260</v>
      </c>
      <c r="H225" s="18" t="s">
        <v>1261</v>
      </c>
      <c r="I225" s="18" t="s">
        <v>1245</v>
      </c>
      <c r="J225" s="18" t="s">
        <v>1246</v>
      </c>
      <c r="K225" s="18" t="s">
        <v>1247</v>
      </c>
      <c r="L225" s="18" t="s">
        <v>134</v>
      </c>
    </row>
    <row r="226" spans="1:12">
      <c r="A226" s="18" t="s">
        <v>1487</v>
      </c>
      <c r="B226" s="18" t="s">
        <v>515</v>
      </c>
      <c r="C226" s="19">
        <v>46253</v>
      </c>
      <c r="D226" s="18" t="s">
        <v>1263</v>
      </c>
      <c r="E226" s="18" t="s">
        <v>1264</v>
      </c>
      <c r="F226" s="18">
        <v>5.5</v>
      </c>
      <c r="G226" s="18" t="s">
        <v>1265</v>
      </c>
      <c r="H226" s="18" t="s">
        <v>1266</v>
      </c>
      <c r="I226" s="18" t="s">
        <v>1245</v>
      </c>
      <c r="J226" s="18" t="s">
        <v>1246</v>
      </c>
      <c r="K226" s="18" t="s">
        <v>1247</v>
      </c>
      <c r="L226" s="18" t="s">
        <v>134</v>
      </c>
    </row>
    <row r="227" spans="1:12">
      <c r="A227" s="18" t="s">
        <v>1488</v>
      </c>
      <c r="B227" s="18" t="s">
        <v>523</v>
      </c>
      <c r="C227" s="19">
        <v>46254</v>
      </c>
      <c r="D227" s="18" t="s">
        <v>1241</v>
      </c>
      <c r="E227" s="18" t="s">
        <v>1242</v>
      </c>
      <c r="F227" s="18">
        <v>6.2</v>
      </c>
      <c r="G227" s="18" t="s">
        <v>1243</v>
      </c>
      <c r="H227" s="18" t="s">
        <v>1244</v>
      </c>
      <c r="I227" s="18" t="s">
        <v>1278</v>
      </c>
      <c r="J227" s="18" t="s">
        <v>1246</v>
      </c>
      <c r="K227" s="18" t="s">
        <v>1247</v>
      </c>
      <c r="L227" s="18" t="s">
        <v>149</v>
      </c>
    </row>
    <row r="228" spans="1:12">
      <c r="A228" s="18" t="s">
        <v>1489</v>
      </c>
      <c r="B228" s="18" t="s">
        <v>523</v>
      </c>
      <c r="C228" s="19">
        <v>46254</v>
      </c>
      <c r="D228" s="18" t="s">
        <v>1249</v>
      </c>
      <c r="E228" s="18" t="s">
        <v>1250</v>
      </c>
      <c r="F228" s="18">
        <v>129</v>
      </c>
      <c r="G228" s="18" t="s">
        <v>1251</v>
      </c>
      <c r="H228" s="18" t="s">
        <v>1252</v>
      </c>
      <c r="I228" s="18" t="s">
        <v>1278</v>
      </c>
      <c r="J228" s="18" t="s">
        <v>1246</v>
      </c>
      <c r="K228" s="18" t="s">
        <v>1247</v>
      </c>
      <c r="L228" s="18" t="s">
        <v>149</v>
      </c>
    </row>
    <row r="229" spans="1:12">
      <c r="A229" s="18" t="s">
        <v>1490</v>
      </c>
      <c r="B229" s="18" t="s">
        <v>523</v>
      </c>
      <c r="C229" s="19">
        <v>46254</v>
      </c>
      <c r="D229" s="18" t="s">
        <v>1254</v>
      </c>
      <c r="E229" s="18" t="s">
        <v>1255</v>
      </c>
      <c r="F229" s="18">
        <v>155</v>
      </c>
      <c r="G229" s="18" t="s">
        <v>1251</v>
      </c>
      <c r="H229" s="18" t="s">
        <v>1256</v>
      </c>
      <c r="I229" s="18" t="s">
        <v>1245</v>
      </c>
      <c r="J229" s="18" t="s">
        <v>1246</v>
      </c>
      <c r="K229" s="18" t="s">
        <v>1247</v>
      </c>
      <c r="L229" s="18" t="s">
        <v>149</v>
      </c>
    </row>
    <row r="230" spans="1:12">
      <c r="A230" s="18" t="s">
        <v>1491</v>
      </c>
      <c r="B230" s="18" t="s">
        <v>523</v>
      </c>
      <c r="C230" s="19">
        <v>46254</v>
      </c>
      <c r="D230" s="18" t="s">
        <v>1258</v>
      </c>
      <c r="E230" s="18" t="s">
        <v>1259</v>
      </c>
      <c r="F230" s="18">
        <v>15.3</v>
      </c>
      <c r="G230" s="18" t="s">
        <v>1260</v>
      </c>
      <c r="H230" s="18" t="s">
        <v>1261</v>
      </c>
      <c r="I230" s="18" t="s">
        <v>1245</v>
      </c>
      <c r="J230" s="18" t="s">
        <v>1246</v>
      </c>
      <c r="K230" s="18" t="s">
        <v>1247</v>
      </c>
      <c r="L230" s="18" t="s">
        <v>149</v>
      </c>
    </row>
    <row r="231" spans="1:12">
      <c r="A231" s="18" t="s">
        <v>1492</v>
      </c>
      <c r="B231" s="18" t="s">
        <v>523</v>
      </c>
      <c r="C231" s="19">
        <v>46254</v>
      </c>
      <c r="D231" s="18" t="s">
        <v>1263</v>
      </c>
      <c r="E231" s="18" t="s">
        <v>1264</v>
      </c>
      <c r="F231" s="18">
        <v>5.9</v>
      </c>
      <c r="G231" s="18" t="s">
        <v>1265</v>
      </c>
      <c r="H231" s="18" t="s">
        <v>1266</v>
      </c>
      <c r="I231" s="18" t="s">
        <v>1245</v>
      </c>
      <c r="J231" s="18" t="s">
        <v>1246</v>
      </c>
      <c r="K231" s="18" t="s">
        <v>1247</v>
      </c>
      <c r="L231" s="18" t="s">
        <v>149</v>
      </c>
    </row>
    <row r="232" spans="1:12">
      <c r="A232" s="18" t="s">
        <v>1493</v>
      </c>
      <c r="B232" s="18" t="s">
        <v>531</v>
      </c>
      <c r="C232" s="19">
        <v>46255</v>
      </c>
      <c r="D232" s="18" t="s">
        <v>1241</v>
      </c>
      <c r="E232" s="18" t="s">
        <v>1242</v>
      </c>
      <c r="F232" s="18">
        <v>6.4</v>
      </c>
      <c r="G232" s="18" t="s">
        <v>1243</v>
      </c>
      <c r="H232" s="18" t="s">
        <v>1244</v>
      </c>
      <c r="I232" s="18" t="s">
        <v>1278</v>
      </c>
      <c r="J232" s="18" t="s">
        <v>1246</v>
      </c>
      <c r="K232" s="18" t="s">
        <v>1247</v>
      </c>
      <c r="L232" s="18" t="s">
        <v>162</v>
      </c>
    </row>
    <row r="233" spans="1:12">
      <c r="A233" s="18" t="s">
        <v>1494</v>
      </c>
      <c r="B233" s="18" t="s">
        <v>531</v>
      </c>
      <c r="C233" s="19">
        <v>46255</v>
      </c>
      <c r="D233" s="18" t="s">
        <v>1249</v>
      </c>
      <c r="E233" s="18" t="s">
        <v>1250</v>
      </c>
      <c r="F233" s="18">
        <v>134</v>
      </c>
      <c r="G233" s="18" t="s">
        <v>1251</v>
      </c>
      <c r="H233" s="18" t="s">
        <v>1252</v>
      </c>
      <c r="I233" s="18" t="s">
        <v>1278</v>
      </c>
      <c r="J233" s="18" t="s">
        <v>1246</v>
      </c>
      <c r="K233" s="18" t="s">
        <v>1247</v>
      </c>
      <c r="L233" s="18" t="s">
        <v>162</v>
      </c>
    </row>
    <row r="234" spans="1:12">
      <c r="A234" s="18" t="s">
        <v>1495</v>
      </c>
      <c r="B234" s="18" t="s">
        <v>531</v>
      </c>
      <c r="C234" s="19">
        <v>46255</v>
      </c>
      <c r="D234" s="18" t="s">
        <v>1254</v>
      </c>
      <c r="E234" s="18" t="s">
        <v>1255</v>
      </c>
      <c r="F234" s="18">
        <v>161</v>
      </c>
      <c r="G234" s="18" t="s">
        <v>1251</v>
      </c>
      <c r="H234" s="18" t="s">
        <v>1256</v>
      </c>
      <c r="I234" s="18" t="s">
        <v>1245</v>
      </c>
      <c r="J234" s="18" t="s">
        <v>1246</v>
      </c>
      <c r="K234" s="18" t="s">
        <v>1247</v>
      </c>
      <c r="L234" s="18" t="s">
        <v>162</v>
      </c>
    </row>
    <row r="235" spans="1:12">
      <c r="A235" s="18" t="s">
        <v>1496</v>
      </c>
      <c r="B235" s="18" t="s">
        <v>531</v>
      </c>
      <c r="C235" s="19">
        <v>46255</v>
      </c>
      <c r="D235" s="18" t="s">
        <v>1258</v>
      </c>
      <c r="E235" s="18" t="s">
        <v>1259</v>
      </c>
      <c r="F235" s="18">
        <v>15.7</v>
      </c>
      <c r="G235" s="18" t="s">
        <v>1260</v>
      </c>
      <c r="H235" s="18" t="s">
        <v>1261</v>
      </c>
      <c r="I235" s="18" t="s">
        <v>1245</v>
      </c>
      <c r="J235" s="18" t="s">
        <v>1246</v>
      </c>
      <c r="K235" s="18" t="s">
        <v>1247</v>
      </c>
      <c r="L235" s="18" t="s">
        <v>162</v>
      </c>
    </row>
    <row r="236" spans="1:12">
      <c r="A236" s="18" t="s">
        <v>1497</v>
      </c>
      <c r="B236" s="18" t="s">
        <v>531</v>
      </c>
      <c r="C236" s="19">
        <v>46255</v>
      </c>
      <c r="D236" s="18" t="s">
        <v>1263</v>
      </c>
      <c r="E236" s="18" t="s">
        <v>1264</v>
      </c>
      <c r="F236" s="18">
        <v>6.4</v>
      </c>
      <c r="G236" s="18" t="s">
        <v>1265</v>
      </c>
      <c r="H236" s="18" t="s">
        <v>1266</v>
      </c>
      <c r="I236" s="18" t="s">
        <v>1245</v>
      </c>
      <c r="J236" s="18" t="s">
        <v>1246</v>
      </c>
      <c r="K236" s="18" t="s">
        <v>1247</v>
      </c>
      <c r="L236" s="18" t="s">
        <v>162</v>
      </c>
    </row>
    <row r="237" spans="1:12">
      <c r="A237" s="18" t="s">
        <v>1498</v>
      </c>
      <c r="B237" s="18" t="s">
        <v>539</v>
      </c>
      <c r="C237" s="19">
        <v>46256</v>
      </c>
      <c r="D237" s="18" t="s">
        <v>1241</v>
      </c>
      <c r="E237" s="18" t="s">
        <v>1242</v>
      </c>
      <c r="F237" s="18">
        <v>6.6</v>
      </c>
      <c r="G237" s="18" t="s">
        <v>1243</v>
      </c>
      <c r="H237" s="18" t="s">
        <v>1244</v>
      </c>
      <c r="I237" s="18" t="s">
        <v>1278</v>
      </c>
      <c r="J237" s="18" t="s">
        <v>1246</v>
      </c>
      <c r="K237" s="18" t="s">
        <v>1247</v>
      </c>
      <c r="L237" s="18" t="s">
        <v>176</v>
      </c>
    </row>
    <row r="238" spans="1:12">
      <c r="A238" s="18" t="s">
        <v>1499</v>
      </c>
      <c r="B238" s="18" t="s">
        <v>539</v>
      </c>
      <c r="C238" s="19">
        <v>46256</v>
      </c>
      <c r="D238" s="18" t="s">
        <v>1249</v>
      </c>
      <c r="E238" s="18" t="s">
        <v>1250</v>
      </c>
      <c r="F238" s="18">
        <v>139</v>
      </c>
      <c r="G238" s="18" t="s">
        <v>1251</v>
      </c>
      <c r="H238" s="18" t="s">
        <v>1252</v>
      </c>
      <c r="I238" s="18" t="s">
        <v>1278</v>
      </c>
      <c r="J238" s="18" t="s">
        <v>1246</v>
      </c>
      <c r="K238" s="18" t="s">
        <v>1247</v>
      </c>
      <c r="L238" s="18" t="s">
        <v>176</v>
      </c>
    </row>
    <row r="239" spans="1:12">
      <c r="A239" s="18" t="s">
        <v>1500</v>
      </c>
      <c r="B239" s="18" t="s">
        <v>539</v>
      </c>
      <c r="C239" s="19">
        <v>46256</v>
      </c>
      <c r="D239" s="18" t="s">
        <v>1254</v>
      </c>
      <c r="E239" s="18" t="s">
        <v>1255</v>
      </c>
      <c r="F239" s="18">
        <v>167</v>
      </c>
      <c r="G239" s="18" t="s">
        <v>1251</v>
      </c>
      <c r="H239" s="18" t="s">
        <v>1256</v>
      </c>
      <c r="I239" s="18" t="s">
        <v>1245</v>
      </c>
      <c r="J239" s="18" t="s">
        <v>1246</v>
      </c>
      <c r="K239" s="18" t="s">
        <v>1247</v>
      </c>
      <c r="L239" s="18" t="s">
        <v>176</v>
      </c>
    </row>
    <row r="240" spans="1:12">
      <c r="A240" s="18" t="s">
        <v>1501</v>
      </c>
      <c r="B240" s="18" t="s">
        <v>539</v>
      </c>
      <c r="C240" s="19">
        <v>46256</v>
      </c>
      <c r="D240" s="18" t="s">
        <v>1258</v>
      </c>
      <c r="E240" s="18" t="s">
        <v>1259</v>
      </c>
      <c r="F240" s="18">
        <v>16</v>
      </c>
      <c r="G240" s="18" t="s">
        <v>1260</v>
      </c>
      <c r="H240" s="18" t="s">
        <v>1261</v>
      </c>
      <c r="I240" s="18" t="s">
        <v>1245</v>
      </c>
      <c r="J240" s="18" t="s">
        <v>1246</v>
      </c>
      <c r="K240" s="18" t="s">
        <v>1247</v>
      </c>
      <c r="L240" s="18" t="s">
        <v>176</v>
      </c>
    </row>
    <row r="241" spans="1:12">
      <c r="A241" s="18" t="s">
        <v>1502</v>
      </c>
      <c r="B241" s="18" t="s">
        <v>539</v>
      </c>
      <c r="C241" s="19">
        <v>46256</v>
      </c>
      <c r="D241" s="18" t="s">
        <v>1263</v>
      </c>
      <c r="E241" s="18" t="s">
        <v>1264</v>
      </c>
      <c r="F241" s="18">
        <v>6.8</v>
      </c>
      <c r="G241" s="18" t="s">
        <v>1265</v>
      </c>
      <c r="H241" s="18" t="s">
        <v>1266</v>
      </c>
      <c r="I241" s="18" t="s">
        <v>1245</v>
      </c>
      <c r="J241" s="18" t="s">
        <v>1246</v>
      </c>
      <c r="K241" s="18" t="s">
        <v>1247</v>
      </c>
      <c r="L241" s="18" t="s">
        <v>176</v>
      </c>
    </row>
    <row r="242" spans="1:12">
      <c r="A242" s="18" t="s">
        <v>1503</v>
      </c>
      <c r="B242" s="18" t="s">
        <v>547</v>
      </c>
      <c r="C242" s="19">
        <v>46257</v>
      </c>
      <c r="D242" s="18" t="s">
        <v>1241</v>
      </c>
      <c r="E242" s="18" t="s">
        <v>1242</v>
      </c>
      <c r="F242" s="18">
        <v>6.9</v>
      </c>
      <c r="G242" s="18" t="s">
        <v>1243</v>
      </c>
      <c r="H242" s="18" t="s">
        <v>1244</v>
      </c>
      <c r="I242" s="18" t="s">
        <v>1278</v>
      </c>
      <c r="J242" s="18" t="s">
        <v>1246</v>
      </c>
      <c r="K242" s="18" t="s">
        <v>1247</v>
      </c>
      <c r="L242" s="18" t="s">
        <v>98</v>
      </c>
    </row>
    <row r="243" spans="1:12">
      <c r="A243" s="18" t="s">
        <v>1504</v>
      </c>
      <c r="B243" s="18" t="s">
        <v>547</v>
      </c>
      <c r="C243" s="19">
        <v>46257</v>
      </c>
      <c r="D243" s="18" t="s">
        <v>1249</v>
      </c>
      <c r="E243" s="18" t="s">
        <v>1250</v>
      </c>
      <c r="F243" s="18">
        <v>84</v>
      </c>
      <c r="G243" s="18" t="s">
        <v>1251</v>
      </c>
      <c r="H243" s="18" t="s">
        <v>1252</v>
      </c>
      <c r="I243" s="18" t="s">
        <v>1245</v>
      </c>
      <c r="J243" s="18" t="s">
        <v>1246</v>
      </c>
      <c r="K243" s="18" t="s">
        <v>1247</v>
      </c>
      <c r="L243" s="18" t="s">
        <v>98</v>
      </c>
    </row>
    <row r="244" spans="1:12">
      <c r="A244" s="18" t="s">
        <v>1505</v>
      </c>
      <c r="B244" s="18" t="s">
        <v>547</v>
      </c>
      <c r="C244" s="19">
        <v>46257</v>
      </c>
      <c r="D244" s="18" t="s">
        <v>1254</v>
      </c>
      <c r="E244" s="18" t="s">
        <v>1255</v>
      </c>
      <c r="F244" s="18">
        <v>173</v>
      </c>
      <c r="G244" s="18" t="s">
        <v>1251</v>
      </c>
      <c r="H244" s="18" t="s">
        <v>1256</v>
      </c>
      <c r="I244" s="18" t="s">
        <v>1245</v>
      </c>
      <c r="J244" s="18" t="s">
        <v>1246</v>
      </c>
      <c r="K244" s="18" t="s">
        <v>1247</v>
      </c>
      <c r="L244" s="18" t="s">
        <v>98</v>
      </c>
    </row>
    <row r="245" spans="1:12">
      <c r="A245" s="18" t="s">
        <v>1506</v>
      </c>
      <c r="B245" s="18" t="s">
        <v>547</v>
      </c>
      <c r="C245" s="19">
        <v>46257</v>
      </c>
      <c r="D245" s="18" t="s">
        <v>1258</v>
      </c>
      <c r="E245" s="18" t="s">
        <v>1259</v>
      </c>
      <c r="F245" s="18">
        <v>12.2</v>
      </c>
      <c r="G245" s="18" t="s">
        <v>1260</v>
      </c>
      <c r="H245" s="18" t="s">
        <v>1261</v>
      </c>
      <c r="I245" s="18" t="s">
        <v>1245</v>
      </c>
      <c r="J245" s="18" t="s">
        <v>1246</v>
      </c>
      <c r="K245" s="18" t="s">
        <v>1247</v>
      </c>
      <c r="L245" s="18" t="s">
        <v>98</v>
      </c>
    </row>
    <row r="246" spans="1:12">
      <c r="A246" s="18" t="s">
        <v>1507</v>
      </c>
      <c r="B246" s="18" t="s">
        <v>547</v>
      </c>
      <c r="C246" s="19">
        <v>46257</v>
      </c>
      <c r="D246" s="18" t="s">
        <v>1263</v>
      </c>
      <c r="E246" s="18" t="s">
        <v>1264</v>
      </c>
      <c r="F246" s="18">
        <v>7.3</v>
      </c>
      <c r="G246" s="18" t="s">
        <v>1265</v>
      </c>
      <c r="H246" s="18" t="s">
        <v>1266</v>
      </c>
      <c r="I246" s="18" t="s">
        <v>1245</v>
      </c>
      <c r="J246" s="18" t="s">
        <v>1246</v>
      </c>
      <c r="K246" s="18" t="s">
        <v>1247</v>
      </c>
      <c r="L246" s="18" t="s">
        <v>98</v>
      </c>
    </row>
    <row r="247" spans="1:12">
      <c r="A247" s="18" t="s">
        <v>1508</v>
      </c>
      <c r="B247" s="18" t="s">
        <v>555</v>
      </c>
      <c r="C247" s="19">
        <v>46258</v>
      </c>
      <c r="D247" s="18" t="s">
        <v>1241</v>
      </c>
      <c r="E247" s="18" t="s">
        <v>1242</v>
      </c>
      <c r="F247" s="18">
        <v>7.1</v>
      </c>
      <c r="G247" s="18" t="s">
        <v>1243</v>
      </c>
      <c r="H247" s="18" t="s">
        <v>1244</v>
      </c>
      <c r="I247" s="18" t="s">
        <v>1278</v>
      </c>
      <c r="J247" s="18" t="s">
        <v>1246</v>
      </c>
      <c r="K247" s="18" t="s">
        <v>1247</v>
      </c>
      <c r="L247" s="18" t="s">
        <v>118</v>
      </c>
    </row>
    <row r="248" spans="1:12">
      <c r="A248" s="18" t="s">
        <v>1509</v>
      </c>
      <c r="B248" s="18" t="s">
        <v>555</v>
      </c>
      <c r="C248" s="19">
        <v>46258</v>
      </c>
      <c r="D248" s="18" t="s">
        <v>1249</v>
      </c>
      <c r="E248" s="18" t="s">
        <v>1250</v>
      </c>
      <c r="F248" s="18">
        <v>89</v>
      </c>
      <c r="G248" s="18" t="s">
        <v>1251</v>
      </c>
      <c r="H248" s="18" t="s">
        <v>1252</v>
      </c>
      <c r="I248" s="18" t="s">
        <v>1245</v>
      </c>
      <c r="J248" s="18" t="s">
        <v>1246</v>
      </c>
      <c r="K248" s="18" t="s">
        <v>1247</v>
      </c>
      <c r="L248" s="18" t="s">
        <v>118</v>
      </c>
    </row>
    <row r="249" spans="1:12">
      <c r="A249" s="18" t="s">
        <v>1510</v>
      </c>
      <c r="B249" s="18" t="s">
        <v>555</v>
      </c>
      <c r="C249" s="19">
        <v>46258</v>
      </c>
      <c r="D249" s="18" t="s">
        <v>1254</v>
      </c>
      <c r="E249" s="18" t="s">
        <v>1255</v>
      </c>
      <c r="F249" s="18">
        <v>179</v>
      </c>
      <c r="G249" s="18" t="s">
        <v>1251</v>
      </c>
      <c r="H249" s="18" t="s">
        <v>1256</v>
      </c>
      <c r="I249" s="18" t="s">
        <v>1245</v>
      </c>
      <c r="J249" s="18" t="s">
        <v>1246</v>
      </c>
      <c r="K249" s="18" t="s">
        <v>1247</v>
      </c>
      <c r="L249" s="18" t="s">
        <v>118</v>
      </c>
    </row>
    <row r="250" spans="1:12">
      <c r="A250" s="18" t="s">
        <v>1511</v>
      </c>
      <c r="B250" s="18" t="s">
        <v>555</v>
      </c>
      <c r="C250" s="19">
        <v>46258</v>
      </c>
      <c r="D250" s="18" t="s">
        <v>1258</v>
      </c>
      <c r="E250" s="18" t="s">
        <v>1259</v>
      </c>
      <c r="F250" s="18">
        <v>12.5</v>
      </c>
      <c r="G250" s="18" t="s">
        <v>1260</v>
      </c>
      <c r="H250" s="18" t="s">
        <v>1261</v>
      </c>
      <c r="I250" s="18" t="s">
        <v>1245</v>
      </c>
      <c r="J250" s="18" t="s">
        <v>1246</v>
      </c>
      <c r="K250" s="18" t="s">
        <v>1247</v>
      </c>
      <c r="L250" s="18" t="s">
        <v>118</v>
      </c>
    </row>
    <row r="251" spans="1:12">
      <c r="A251" s="18" t="s">
        <v>1512</v>
      </c>
      <c r="B251" s="18" t="s">
        <v>555</v>
      </c>
      <c r="C251" s="19">
        <v>46258</v>
      </c>
      <c r="D251" s="18" t="s">
        <v>1263</v>
      </c>
      <c r="E251" s="18" t="s">
        <v>1264</v>
      </c>
      <c r="F251" s="18">
        <v>7.8</v>
      </c>
      <c r="G251" s="18" t="s">
        <v>1265</v>
      </c>
      <c r="H251" s="18" t="s">
        <v>1266</v>
      </c>
      <c r="I251" s="18" t="s">
        <v>1245</v>
      </c>
      <c r="J251" s="18" t="s">
        <v>1246</v>
      </c>
      <c r="K251" s="18" t="s">
        <v>1247</v>
      </c>
      <c r="L251" s="18" t="s">
        <v>118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6F9F"/>
  </sheetPr>
  <dimension ref="A1:K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5" width="16" customWidth="1"/>
    <col min="6" max="6" width="14" customWidth="1"/>
    <col min="7" max="7" width="38" customWidth="1"/>
    <col min="8" max="8" width="14" customWidth="1"/>
    <col min="9" max="9" width="24" customWidth="1"/>
    <col min="10" max="10" width="30" customWidth="1"/>
    <col min="11" max="11" width="12" customWidth="1"/>
  </cols>
  <sheetData>
    <row r="1" spans="1:11" ht="30" customHeight="1">
      <c r="A1" s="17" t="s">
        <v>1513</v>
      </c>
      <c r="B1" s="17" t="s">
        <v>66</v>
      </c>
      <c r="C1" s="17" t="s">
        <v>563</v>
      </c>
      <c r="D1" s="17" t="s">
        <v>1514</v>
      </c>
      <c r="E1" s="17" t="s">
        <v>1515</v>
      </c>
      <c r="F1" s="17" t="s">
        <v>1516</v>
      </c>
      <c r="G1" s="17" t="s">
        <v>1517</v>
      </c>
      <c r="H1" s="17" t="s">
        <v>58</v>
      </c>
      <c r="I1" s="17" t="s">
        <v>1239</v>
      </c>
      <c r="J1" s="17" t="s">
        <v>568</v>
      </c>
      <c r="K1" s="17" t="s">
        <v>571</v>
      </c>
    </row>
    <row r="2" spans="1:11">
      <c r="A2" s="18" t="s">
        <v>1518</v>
      </c>
      <c r="B2" s="18" t="s">
        <v>35</v>
      </c>
      <c r="C2" s="18" t="s">
        <v>573</v>
      </c>
      <c r="D2" s="19">
        <v>46285</v>
      </c>
      <c r="E2" s="18" t="s">
        <v>1519</v>
      </c>
      <c r="F2" s="18" t="s">
        <v>1520</v>
      </c>
      <c r="G2" s="18" t="s">
        <v>1521</v>
      </c>
      <c r="H2" s="18" t="s">
        <v>577</v>
      </c>
      <c r="I2" s="18" t="s">
        <v>98</v>
      </c>
      <c r="J2" s="18" t="s">
        <v>576</v>
      </c>
      <c r="K2" s="18" t="s">
        <v>580</v>
      </c>
    </row>
    <row r="3" spans="1:11">
      <c r="A3" s="18" t="s">
        <v>1522</v>
      </c>
      <c r="B3" s="18" t="s">
        <v>107</v>
      </c>
      <c r="C3" s="18" t="s">
        <v>591</v>
      </c>
      <c r="D3" s="19">
        <v>46283</v>
      </c>
      <c r="E3" s="18" t="s">
        <v>1519</v>
      </c>
      <c r="F3" s="18" t="s">
        <v>1523</v>
      </c>
      <c r="G3" s="18" t="s">
        <v>1524</v>
      </c>
      <c r="H3" s="18" t="s">
        <v>577</v>
      </c>
      <c r="I3" s="18" t="s">
        <v>118</v>
      </c>
      <c r="J3" s="18" t="s">
        <v>593</v>
      </c>
      <c r="K3" s="18" t="s">
        <v>580</v>
      </c>
    </row>
    <row r="4" spans="1:11">
      <c r="A4" s="18" t="s">
        <v>1525</v>
      </c>
      <c r="B4" s="18" t="s">
        <v>125</v>
      </c>
      <c r="C4" s="18" t="s">
        <v>599</v>
      </c>
      <c r="D4" s="19">
        <v>46281</v>
      </c>
      <c r="E4" s="18" t="s">
        <v>1519</v>
      </c>
      <c r="F4" s="18" t="s">
        <v>1526</v>
      </c>
      <c r="G4" s="18" t="s">
        <v>1527</v>
      </c>
      <c r="H4" s="18" t="s">
        <v>577</v>
      </c>
      <c r="I4" s="18" t="s">
        <v>134</v>
      </c>
      <c r="J4" s="18" t="s">
        <v>601</v>
      </c>
      <c r="K4" s="18" t="s">
        <v>580</v>
      </c>
    </row>
    <row r="5" spans="1:11">
      <c r="A5" s="18" t="s">
        <v>1528</v>
      </c>
      <c r="B5" s="18" t="s">
        <v>141</v>
      </c>
      <c r="C5" s="18" t="s">
        <v>607</v>
      </c>
      <c r="D5" s="19">
        <v>46279</v>
      </c>
      <c r="E5" s="18" t="s">
        <v>1519</v>
      </c>
      <c r="F5" s="18" t="s">
        <v>1529</v>
      </c>
      <c r="G5" s="18" t="s">
        <v>1530</v>
      </c>
      <c r="H5" s="18" t="s">
        <v>577</v>
      </c>
      <c r="I5" s="18" t="s">
        <v>149</v>
      </c>
      <c r="J5" s="18" t="s">
        <v>609</v>
      </c>
      <c r="K5" s="18" t="s">
        <v>580</v>
      </c>
    </row>
    <row r="6" spans="1:11">
      <c r="A6" s="18" t="s">
        <v>1531</v>
      </c>
      <c r="B6" s="18" t="s">
        <v>155</v>
      </c>
      <c r="C6" s="18" t="s">
        <v>615</v>
      </c>
      <c r="D6" s="19">
        <v>46277</v>
      </c>
      <c r="E6" s="18" t="s">
        <v>1519</v>
      </c>
      <c r="F6" s="18" t="s">
        <v>1520</v>
      </c>
      <c r="G6" s="18" t="s">
        <v>1521</v>
      </c>
      <c r="H6" s="18" t="s">
        <v>577</v>
      </c>
      <c r="I6" s="18" t="s">
        <v>162</v>
      </c>
      <c r="J6" s="18" t="s">
        <v>576</v>
      </c>
      <c r="K6" s="18" t="s">
        <v>580</v>
      </c>
    </row>
    <row r="7" spans="1:11">
      <c r="A7" s="18" t="s">
        <v>1532</v>
      </c>
      <c r="B7" s="18" t="s">
        <v>169</v>
      </c>
      <c r="C7" s="18" t="s">
        <v>620</v>
      </c>
      <c r="D7" s="19">
        <v>46275</v>
      </c>
      <c r="E7" s="18" t="s">
        <v>1519</v>
      </c>
      <c r="F7" s="18" t="s">
        <v>1523</v>
      </c>
      <c r="G7" s="18" t="s">
        <v>1524</v>
      </c>
      <c r="H7" s="18" t="s">
        <v>577</v>
      </c>
      <c r="I7" s="18" t="s">
        <v>176</v>
      </c>
      <c r="J7" s="18" t="s">
        <v>593</v>
      </c>
      <c r="K7" s="18" t="s">
        <v>580</v>
      </c>
    </row>
    <row r="8" spans="1:11">
      <c r="A8" s="18" t="s">
        <v>1533</v>
      </c>
      <c r="B8" s="18" t="s">
        <v>183</v>
      </c>
      <c r="C8" s="18" t="s">
        <v>625</v>
      </c>
      <c r="D8" s="19">
        <v>46273</v>
      </c>
      <c r="E8" s="18" t="s">
        <v>1519</v>
      </c>
      <c r="F8" s="18" t="s">
        <v>1526</v>
      </c>
      <c r="G8" s="18" t="s">
        <v>1527</v>
      </c>
      <c r="H8" s="18" t="s">
        <v>577</v>
      </c>
      <c r="I8" s="18" t="s">
        <v>98</v>
      </c>
      <c r="J8" s="18" t="s">
        <v>601</v>
      </c>
      <c r="K8" s="18" t="s">
        <v>580</v>
      </c>
    </row>
    <row r="9" spans="1:11">
      <c r="A9" s="18" t="s">
        <v>1534</v>
      </c>
      <c r="B9" s="18" t="s">
        <v>194</v>
      </c>
      <c r="C9" s="18" t="s">
        <v>630</v>
      </c>
      <c r="D9" s="19">
        <v>46271</v>
      </c>
      <c r="E9" s="18" t="s">
        <v>1519</v>
      </c>
      <c r="F9" s="18" t="s">
        <v>1529</v>
      </c>
      <c r="G9" s="18" t="s">
        <v>1530</v>
      </c>
      <c r="H9" s="18" t="s">
        <v>577</v>
      </c>
      <c r="I9" s="18" t="s">
        <v>118</v>
      </c>
      <c r="J9" s="18" t="s">
        <v>609</v>
      </c>
      <c r="K9" s="18" t="s">
        <v>580</v>
      </c>
    </row>
    <row r="10" spans="1:11">
      <c r="A10" s="18" t="s">
        <v>1535</v>
      </c>
      <c r="B10" s="18" t="s">
        <v>204</v>
      </c>
      <c r="C10" s="18" t="s">
        <v>635</v>
      </c>
      <c r="D10" s="19">
        <v>46269</v>
      </c>
      <c r="E10" s="18" t="s">
        <v>1519</v>
      </c>
      <c r="F10" s="18" t="s">
        <v>1520</v>
      </c>
      <c r="G10" s="18" t="s">
        <v>1521</v>
      </c>
      <c r="H10" s="18" t="s">
        <v>577</v>
      </c>
      <c r="I10" s="18" t="s">
        <v>134</v>
      </c>
      <c r="J10" s="18" t="s">
        <v>576</v>
      </c>
      <c r="K10" s="18" t="s">
        <v>580</v>
      </c>
    </row>
    <row r="11" spans="1:11">
      <c r="A11" s="18" t="s">
        <v>1536</v>
      </c>
      <c r="B11" s="18" t="s">
        <v>215</v>
      </c>
      <c r="C11" s="18" t="s">
        <v>638</v>
      </c>
      <c r="D11" s="19">
        <v>46267</v>
      </c>
      <c r="E11" s="18" t="s">
        <v>1519</v>
      </c>
      <c r="F11" s="18" t="s">
        <v>1523</v>
      </c>
      <c r="G11" s="18" t="s">
        <v>1524</v>
      </c>
      <c r="H11" s="18" t="s">
        <v>577</v>
      </c>
      <c r="I11" s="18" t="s">
        <v>149</v>
      </c>
      <c r="J11" s="18" t="s">
        <v>593</v>
      </c>
      <c r="K11" s="18" t="s">
        <v>580</v>
      </c>
    </row>
    <row r="12" spans="1:11">
      <c r="A12" s="18" t="s">
        <v>1537</v>
      </c>
      <c r="B12" s="18" t="s">
        <v>226</v>
      </c>
      <c r="C12" s="18" t="s">
        <v>641</v>
      </c>
      <c r="D12" s="19">
        <v>46265</v>
      </c>
      <c r="E12" s="18" t="s">
        <v>1519</v>
      </c>
      <c r="F12" s="18" t="s">
        <v>1526</v>
      </c>
      <c r="G12" s="18" t="s">
        <v>1527</v>
      </c>
      <c r="H12" s="18" t="s">
        <v>577</v>
      </c>
      <c r="I12" s="18" t="s">
        <v>162</v>
      </c>
      <c r="J12" s="18" t="s">
        <v>601</v>
      </c>
      <c r="K12" s="18" t="s">
        <v>580</v>
      </c>
    </row>
    <row r="13" spans="1:11">
      <c r="A13" s="18" t="s">
        <v>1538</v>
      </c>
      <c r="B13" s="18" t="s">
        <v>237</v>
      </c>
      <c r="C13" s="18" t="s">
        <v>644</v>
      </c>
      <c r="D13" s="19">
        <v>46263</v>
      </c>
      <c r="E13" s="18" t="s">
        <v>1519</v>
      </c>
      <c r="F13" s="18" t="s">
        <v>1529</v>
      </c>
      <c r="G13" s="18" t="s">
        <v>1530</v>
      </c>
      <c r="H13" s="18" t="s">
        <v>577</v>
      </c>
      <c r="I13" s="18" t="s">
        <v>176</v>
      </c>
      <c r="J13" s="18" t="s">
        <v>609</v>
      </c>
      <c r="K13" s="18" t="s">
        <v>580</v>
      </c>
    </row>
    <row r="14" spans="1:11">
      <c r="A14" s="18" t="s">
        <v>1539</v>
      </c>
      <c r="B14" s="18" t="s">
        <v>248</v>
      </c>
      <c r="C14" s="18" t="s">
        <v>647</v>
      </c>
      <c r="D14" s="19">
        <v>46261</v>
      </c>
      <c r="E14" s="18" t="s">
        <v>1519</v>
      </c>
      <c r="F14" s="18" t="s">
        <v>1520</v>
      </c>
      <c r="G14" s="18" t="s">
        <v>1521</v>
      </c>
      <c r="H14" s="18" t="s">
        <v>577</v>
      </c>
      <c r="I14" s="18" t="s">
        <v>98</v>
      </c>
      <c r="J14" s="18" t="s">
        <v>576</v>
      </c>
      <c r="K14" s="18" t="s">
        <v>580</v>
      </c>
    </row>
    <row r="15" spans="1:11">
      <c r="A15" s="18" t="s">
        <v>1540</v>
      </c>
      <c r="B15" s="18" t="s">
        <v>259</v>
      </c>
      <c r="C15" s="18" t="s">
        <v>650</v>
      </c>
      <c r="D15" s="19">
        <v>46259</v>
      </c>
      <c r="E15" s="18" t="s">
        <v>1519</v>
      </c>
      <c r="F15" s="18" t="s">
        <v>1523</v>
      </c>
      <c r="G15" s="18" t="s">
        <v>1524</v>
      </c>
      <c r="H15" s="18" t="s">
        <v>577</v>
      </c>
      <c r="I15" s="18" t="s">
        <v>118</v>
      </c>
      <c r="J15" s="18" t="s">
        <v>593</v>
      </c>
      <c r="K15" s="18" t="s">
        <v>580</v>
      </c>
    </row>
    <row r="16" spans="1:11">
      <c r="A16" s="18" t="s">
        <v>1541</v>
      </c>
      <c r="B16" s="18" t="s">
        <v>270</v>
      </c>
      <c r="C16" s="18" t="s">
        <v>653</v>
      </c>
      <c r="D16" s="19">
        <v>46257</v>
      </c>
      <c r="E16" s="18" t="s">
        <v>1519</v>
      </c>
      <c r="F16" s="18" t="s">
        <v>1526</v>
      </c>
      <c r="G16" s="18" t="s">
        <v>1527</v>
      </c>
      <c r="H16" s="18" t="s">
        <v>577</v>
      </c>
      <c r="I16" s="18" t="s">
        <v>134</v>
      </c>
      <c r="J16" s="18" t="s">
        <v>601</v>
      </c>
      <c r="K16" s="18" t="s">
        <v>580</v>
      </c>
    </row>
    <row r="17" spans="1:11">
      <c r="A17" s="18" t="s">
        <v>1542</v>
      </c>
      <c r="B17" s="18" t="s">
        <v>281</v>
      </c>
      <c r="C17" s="18" t="s">
        <v>656</v>
      </c>
      <c r="D17" s="19">
        <v>46255</v>
      </c>
      <c r="E17" s="18" t="s">
        <v>1519</v>
      </c>
      <c r="F17" s="18" t="s">
        <v>1529</v>
      </c>
      <c r="G17" s="18" t="s">
        <v>1530</v>
      </c>
      <c r="H17" s="18" t="s">
        <v>577</v>
      </c>
      <c r="I17" s="18" t="s">
        <v>149</v>
      </c>
      <c r="J17" s="18" t="s">
        <v>609</v>
      </c>
      <c r="K17" s="18" t="s">
        <v>580</v>
      </c>
    </row>
    <row r="18" spans="1:11">
      <c r="A18" s="18" t="s">
        <v>1543</v>
      </c>
      <c r="B18" s="18" t="s">
        <v>292</v>
      </c>
      <c r="C18" s="18" t="s">
        <v>659</v>
      </c>
      <c r="D18" s="19">
        <v>46253</v>
      </c>
      <c r="E18" s="18" t="s">
        <v>1519</v>
      </c>
      <c r="F18" s="18" t="s">
        <v>1520</v>
      </c>
      <c r="G18" s="18" t="s">
        <v>1521</v>
      </c>
      <c r="H18" s="18" t="s">
        <v>577</v>
      </c>
      <c r="I18" s="18" t="s">
        <v>162</v>
      </c>
      <c r="J18" s="18" t="s">
        <v>576</v>
      </c>
      <c r="K18" s="18" t="s">
        <v>580</v>
      </c>
    </row>
    <row r="19" spans="1:11">
      <c r="A19" s="18" t="s">
        <v>1544</v>
      </c>
      <c r="B19" s="18" t="s">
        <v>303</v>
      </c>
      <c r="C19" s="18" t="s">
        <v>662</v>
      </c>
      <c r="D19" s="19">
        <v>46251</v>
      </c>
      <c r="E19" s="18" t="s">
        <v>1519</v>
      </c>
      <c r="F19" s="18" t="s">
        <v>1523</v>
      </c>
      <c r="G19" s="18" t="s">
        <v>1524</v>
      </c>
      <c r="H19" s="18" t="s">
        <v>577</v>
      </c>
      <c r="I19" s="18" t="s">
        <v>176</v>
      </c>
      <c r="J19" s="18" t="s">
        <v>593</v>
      </c>
      <c r="K19" s="18" t="s">
        <v>580</v>
      </c>
    </row>
    <row r="20" spans="1:11">
      <c r="A20" s="18" t="s">
        <v>1545</v>
      </c>
      <c r="B20" s="18" t="s">
        <v>313</v>
      </c>
      <c r="C20" s="18" t="s">
        <v>665</v>
      </c>
      <c r="D20" s="19">
        <v>46249</v>
      </c>
      <c r="E20" s="18" t="s">
        <v>1519</v>
      </c>
      <c r="F20" s="18" t="s">
        <v>1526</v>
      </c>
      <c r="G20" s="18" t="s">
        <v>1527</v>
      </c>
      <c r="H20" s="18" t="s">
        <v>577</v>
      </c>
      <c r="I20" s="18" t="s">
        <v>98</v>
      </c>
      <c r="J20" s="18" t="s">
        <v>601</v>
      </c>
      <c r="K20" s="18" t="s">
        <v>580</v>
      </c>
    </row>
    <row r="21" spans="1:11">
      <c r="A21" s="18" t="s">
        <v>1546</v>
      </c>
      <c r="B21" s="18" t="s">
        <v>324</v>
      </c>
      <c r="C21" s="18" t="s">
        <v>668</v>
      </c>
      <c r="D21" s="19">
        <v>46247</v>
      </c>
      <c r="E21" s="18" t="s">
        <v>1519</v>
      </c>
      <c r="F21" s="18" t="s">
        <v>1529</v>
      </c>
      <c r="G21" s="18" t="s">
        <v>1530</v>
      </c>
      <c r="H21" s="18" t="s">
        <v>577</v>
      </c>
      <c r="I21" s="18" t="s">
        <v>118</v>
      </c>
      <c r="J21" s="18" t="s">
        <v>609</v>
      </c>
      <c r="K21" s="18" t="s">
        <v>580</v>
      </c>
    </row>
    <row r="22" spans="1:11">
      <c r="A22" s="18" t="s">
        <v>1547</v>
      </c>
      <c r="B22" s="18" t="s">
        <v>335</v>
      </c>
      <c r="C22" s="18" t="s">
        <v>671</v>
      </c>
      <c r="D22" s="19">
        <v>46245</v>
      </c>
      <c r="E22" s="18" t="s">
        <v>1519</v>
      </c>
      <c r="F22" s="18" t="s">
        <v>1520</v>
      </c>
      <c r="G22" s="18" t="s">
        <v>1521</v>
      </c>
      <c r="H22" s="18" t="s">
        <v>577</v>
      </c>
      <c r="I22" s="18" t="s">
        <v>134</v>
      </c>
      <c r="J22" s="18" t="s">
        <v>576</v>
      </c>
      <c r="K22" s="18" t="s">
        <v>580</v>
      </c>
    </row>
    <row r="23" spans="1:11">
      <c r="A23" s="18" t="s">
        <v>1548</v>
      </c>
      <c r="B23" s="18" t="s">
        <v>342</v>
      </c>
      <c r="C23" s="18" t="s">
        <v>674</v>
      </c>
      <c r="D23" s="19">
        <v>46243</v>
      </c>
      <c r="E23" s="18" t="s">
        <v>1519</v>
      </c>
      <c r="F23" s="18" t="s">
        <v>1523</v>
      </c>
      <c r="G23" s="18" t="s">
        <v>1524</v>
      </c>
      <c r="H23" s="18" t="s">
        <v>577</v>
      </c>
      <c r="I23" s="18" t="s">
        <v>149</v>
      </c>
      <c r="J23" s="18" t="s">
        <v>593</v>
      </c>
      <c r="K23" s="18" t="s">
        <v>580</v>
      </c>
    </row>
    <row r="24" spans="1:11">
      <c r="A24" s="18" t="s">
        <v>1549</v>
      </c>
      <c r="B24" s="18" t="s">
        <v>350</v>
      </c>
      <c r="C24" s="18" t="s">
        <v>677</v>
      </c>
      <c r="D24" s="19">
        <v>46241</v>
      </c>
      <c r="E24" s="18" t="s">
        <v>1519</v>
      </c>
      <c r="F24" s="18" t="s">
        <v>1526</v>
      </c>
      <c r="G24" s="18" t="s">
        <v>1527</v>
      </c>
      <c r="H24" s="18" t="s">
        <v>577</v>
      </c>
      <c r="I24" s="18" t="s">
        <v>162</v>
      </c>
      <c r="J24" s="18" t="s">
        <v>601</v>
      </c>
      <c r="K24" s="18" t="s">
        <v>580</v>
      </c>
    </row>
    <row r="25" spans="1:11">
      <c r="A25" s="18" t="s">
        <v>1550</v>
      </c>
      <c r="B25" s="18" t="s">
        <v>356</v>
      </c>
      <c r="C25" s="18" t="s">
        <v>680</v>
      </c>
      <c r="D25" s="19">
        <v>46239</v>
      </c>
      <c r="E25" s="18" t="s">
        <v>1519</v>
      </c>
      <c r="F25" s="18" t="s">
        <v>1529</v>
      </c>
      <c r="G25" s="18" t="s">
        <v>1530</v>
      </c>
      <c r="H25" s="18" t="s">
        <v>577</v>
      </c>
      <c r="I25" s="18" t="s">
        <v>176</v>
      </c>
      <c r="J25" s="18" t="s">
        <v>609</v>
      </c>
      <c r="K25" s="18" t="s">
        <v>580</v>
      </c>
    </row>
    <row r="26" spans="1:11">
      <c r="A26" s="18" t="s">
        <v>1551</v>
      </c>
      <c r="B26" s="18" t="s">
        <v>364</v>
      </c>
      <c r="C26" s="18" t="s">
        <v>683</v>
      </c>
      <c r="D26" s="19">
        <v>46237</v>
      </c>
      <c r="E26" s="18" t="s">
        <v>1519</v>
      </c>
      <c r="F26" s="18" t="s">
        <v>1520</v>
      </c>
      <c r="G26" s="18" t="s">
        <v>1521</v>
      </c>
      <c r="H26" s="18" t="s">
        <v>577</v>
      </c>
      <c r="I26" s="18" t="s">
        <v>98</v>
      </c>
      <c r="J26" s="18" t="s">
        <v>576</v>
      </c>
      <c r="K26" s="18" t="s">
        <v>580</v>
      </c>
    </row>
    <row r="27" spans="1:11">
      <c r="A27" s="18" t="s">
        <v>1552</v>
      </c>
      <c r="B27" s="18" t="s">
        <v>371</v>
      </c>
      <c r="C27" s="18" t="s">
        <v>686</v>
      </c>
      <c r="D27" s="19">
        <v>46235</v>
      </c>
      <c r="E27" s="18" t="s">
        <v>1519</v>
      </c>
      <c r="F27" s="18" t="s">
        <v>1523</v>
      </c>
      <c r="G27" s="18" t="s">
        <v>1524</v>
      </c>
      <c r="H27" s="18" t="s">
        <v>577</v>
      </c>
      <c r="I27" s="18" t="s">
        <v>118</v>
      </c>
      <c r="J27" s="18" t="s">
        <v>593</v>
      </c>
      <c r="K27" s="18" t="s">
        <v>580</v>
      </c>
    </row>
    <row r="28" spans="1:11">
      <c r="A28" s="18" t="s">
        <v>1553</v>
      </c>
      <c r="B28" s="18" t="s">
        <v>379</v>
      </c>
      <c r="C28" s="18" t="s">
        <v>689</v>
      </c>
      <c r="D28" s="19">
        <v>46233</v>
      </c>
      <c r="E28" s="18" t="s">
        <v>1519</v>
      </c>
      <c r="F28" s="18" t="s">
        <v>1526</v>
      </c>
      <c r="G28" s="18" t="s">
        <v>1527</v>
      </c>
      <c r="H28" s="18" t="s">
        <v>577</v>
      </c>
      <c r="I28" s="18" t="s">
        <v>134</v>
      </c>
      <c r="J28" s="18" t="s">
        <v>601</v>
      </c>
      <c r="K28" s="18" t="s">
        <v>580</v>
      </c>
    </row>
    <row r="29" spans="1:11">
      <c r="A29" s="18" t="s">
        <v>1554</v>
      </c>
      <c r="B29" s="18" t="s">
        <v>386</v>
      </c>
      <c r="C29" s="18" t="s">
        <v>692</v>
      </c>
      <c r="D29" s="19">
        <v>46231</v>
      </c>
      <c r="E29" s="18" t="s">
        <v>1519</v>
      </c>
      <c r="F29" s="18" t="s">
        <v>1529</v>
      </c>
      <c r="G29" s="18" t="s">
        <v>1530</v>
      </c>
      <c r="H29" s="18" t="s">
        <v>577</v>
      </c>
      <c r="I29" s="18" t="s">
        <v>149</v>
      </c>
      <c r="J29" s="18" t="s">
        <v>609</v>
      </c>
      <c r="K29" s="18" t="s">
        <v>580</v>
      </c>
    </row>
    <row r="30" spans="1:11">
      <c r="A30" s="18" t="s">
        <v>1555</v>
      </c>
      <c r="B30" s="18" t="s">
        <v>393</v>
      </c>
      <c r="C30" s="18" t="s">
        <v>695</v>
      </c>
      <c r="D30" s="19">
        <v>46229</v>
      </c>
      <c r="E30" s="18" t="s">
        <v>1519</v>
      </c>
      <c r="F30" s="18" t="s">
        <v>1520</v>
      </c>
      <c r="G30" s="18" t="s">
        <v>1521</v>
      </c>
      <c r="H30" s="18" t="s">
        <v>577</v>
      </c>
      <c r="I30" s="18" t="s">
        <v>162</v>
      </c>
      <c r="J30" s="18" t="s">
        <v>576</v>
      </c>
      <c r="K30" s="18" t="s">
        <v>580</v>
      </c>
    </row>
    <row r="31" spans="1:11">
      <c r="A31" s="18" t="s">
        <v>1556</v>
      </c>
      <c r="B31" s="18" t="s">
        <v>400</v>
      </c>
      <c r="C31" s="18" t="s">
        <v>698</v>
      </c>
      <c r="D31" s="19">
        <v>46227</v>
      </c>
      <c r="E31" s="18" t="s">
        <v>1519</v>
      </c>
      <c r="F31" s="18" t="s">
        <v>1523</v>
      </c>
      <c r="G31" s="18" t="s">
        <v>1524</v>
      </c>
      <c r="H31" s="18" t="s">
        <v>577</v>
      </c>
      <c r="I31" s="18" t="s">
        <v>176</v>
      </c>
      <c r="J31" s="18" t="s">
        <v>593</v>
      </c>
      <c r="K31" s="18" t="s">
        <v>580</v>
      </c>
    </row>
    <row r="32" spans="1:11">
      <c r="A32" s="18" t="s">
        <v>1557</v>
      </c>
      <c r="B32" s="18" t="s">
        <v>408</v>
      </c>
      <c r="C32" s="18" t="s">
        <v>701</v>
      </c>
      <c r="D32" s="19">
        <v>46225</v>
      </c>
      <c r="E32" s="18" t="s">
        <v>1519</v>
      </c>
      <c r="F32" s="18" t="s">
        <v>1526</v>
      </c>
      <c r="G32" s="18" t="s">
        <v>1527</v>
      </c>
      <c r="H32" s="18" t="s">
        <v>577</v>
      </c>
      <c r="I32" s="18" t="s">
        <v>98</v>
      </c>
      <c r="J32" s="18" t="s">
        <v>601</v>
      </c>
      <c r="K32" s="18" t="s">
        <v>580</v>
      </c>
    </row>
    <row r="33" spans="1:11">
      <c r="A33" s="18" t="s">
        <v>1558</v>
      </c>
      <c r="B33" s="18" t="s">
        <v>415</v>
      </c>
      <c r="C33" s="18" t="s">
        <v>704</v>
      </c>
      <c r="D33" s="19">
        <v>46223</v>
      </c>
      <c r="E33" s="18" t="s">
        <v>1519</v>
      </c>
      <c r="F33" s="18" t="s">
        <v>1529</v>
      </c>
      <c r="G33" s="18" t="s">
        <v>1530</v>
      </c>
      <c r="H33" s="18" t="s">
        <v>577</v>
      </c>
      <c r="I33" s="18" t="s">
        <v>118</v>
      </c>
      <c r="J33" s="18" t="s">
        <v>609</v>
      </c>
      <c r="K33" s="18" t="s">
        <v>580</v>
      </c>
    </row>
    <row r="34" spans="1:11">
      <c r="A34" s="18" t="s">
        <v>1559</v>
      </c>
      <c r="B34" s="18" t="s">
        <v>423</v>
      </c>
      <c r="C34" s="18" t="s">
        <v>707</v>
      </c>
      <c r="D34" s="19">
        <v>46221</v>
      </c>
      <c r="E34" s="18" t="s">
        <v>1519</v>
      </c>
      <c r="F34" s="18" t="s">
        <v>1520</v>
      </c>
      <c r="G34" s="18" t="s">
        <v>1521</v>
      </c>
      <c r="H34" s="18" t="s">
        <v>577</v>
      </c>
      <c r="I34" s="18" t="s">
        <v>134</v>
      </c>
      <c r="J34" s="18" t="s">
        <v>576</v>
      </c>
      <c r="K34" s="18" t="s">
        <v>580</v>
      </c>
    </row>
    <row r="35" spans="1:11">
      <c r="A35" s="18" t="s">
        <v>1560</v>
      </c>
      <c r="B35" s="18" t="s">
        <v>430</v>
      </c>
      <c r="C35" s="18" t="s">
        <v>710</v>
      </c>
      <c r="D35" s="19">
        <v>46219</v>
      </c>
      <c r="E35" s="18" t="s">
        <v>1519</v>
      </c>
      <c r="F35" s="18" t="s">
        <v>1523</v>
      </c>
      <c r="G35" s="18" t="s">
        <v>1524</v>
      </c>
      <c r="H35" s="18" t="s">
        <v>577</v>
      </c>
      <c r="I35" s="18" t="s">
        <v>149</v>
      </c>
      <c r="J35" s="18" t="s">
        <v>593</v>
      </c>
      <c r="K35" s="18" t="s">
        <v>580</v>
      </c>
    </row>
    <row r="36" spans="1:11">
      <c r="A36" s="18" t="s">
        <v>1561</v>
      </c>
      <c r="B36" s="18" t="s">
        <v>438</v>
      </c>
      <c r="C36" s="18" t="s">
        <v>713</v>
      </c>
      <c r="D36" s="19">
        <v>46217</v>
      </c>
      <c r="E36" s="18" t="s">
        <v>1519</v>
      </c>
      <c r="F36" s="18" t="s">
        <v>1526</v>
      </c>
      <c r="G36" s="18" t="s">
        <v>1527</v>
      </c>
      <c r="H36" s="18" t="s">
        <v>577</v>
      </c>
      <c r="I36" s="18" t="s">
        <v>162</v>
      </c>
      <c r="J36" s="18" t="s">
        <v>601</v>
      </c>
      <c r="K36" s="18" t="s">
        <v>580</v>
      </c>
    </row>
    <row r="37" spans="1:11">
      <c r="A37" s="18" t="s">
        <v>1562</v>
      </c>
      <c r="B37" s="18" t="s">
        <v>445</v>
      </c>
      <c r="C37" s="18" t="s">
        <v>716</v>
      </c>
      <c r="D37" s="19">
        <v>46215</v>
      </c>
      <c r="E37" s="18" t="s">
        <v>1519</v>
      </c>
      <c r="F37" s="18" t="s">
        <v>1529</v>
      </c>
      <c r="G37" s="18" t="s">
        <v>1530</v>
      </c>
      <c r="H37" s="18" t="s">
        <v>577</v>
      </c>
      <c r="I37" s="18" t="s">
        <v>176</v>
      </c>
      <c r="J37" s="18" t="s">
        <v>609</v>
      </c>
      <c r="K37" s="18" t="s">
        <v>580</v>
      </c>
    </row>
    <row r="38" spans="1:11">
      <c r="A38" s="18" t="s">
        <v>1563</v>
      </c>
      <c r="B38" s="18" t="s">
        <v>453</v>
      </c>
      <c r="C38" s="18" t="s">
        <v>719</v>
      </c>
      <c r="D38" s="19">
        <v>46213</v>
      </c>
      <c r="E38" s="18" t="s">
        <v>1519</v>
      </c>
      <c r="F38" s="18" t="s">
        <v>1520</v>
      </c>
      <c r="G38" s="18" t="s">
        <v>1521</v>
      </c>
      <c r="H38" s="18" t="s">
        <v>577</v>
      </c>
      <c r="I38" s="18" t="s">
        <v>98</v>
      </c>
      <c r="J38" s="18" t="s">
        <v>576</v>
      </c>
      <c r="K38" s="18" t="s">
        <v>580</v>
      </c>
    </row>
    <row r="39" spans="1:11">
      <c r="A39" s="18" t="s">
        <v>1564</v>
      </c>
      <c r="B39" s="18" t="s">
        <v>460</v>
      </c>
      <c r="C39" s="18" t="s">
        <v>722</v>
      </c>
      <c r="D39" s="19">
        <v>46211</v>
      </c>
      <c r="E39" s="18" t="s">
        <v>1519</v>
      </c>
      <c r="F39" s="18" t="s">
        <v>1523</v>
      </c>
      <c r="G39" s="18" t="s">
        <v>1524</v>
      </c>
      <c r="H39" s="18" t="s">
        <v>577</v>
      </c>
      <c r="I39" s="18" t="s">
        <v>118</v>
      </c>
      <c r="J39" s="18" t="s">
        <v>593</v>
      </c>
      <c r="K39" s="18" t="s">
        <v>580</v>
      </c>
    </row>
    <row r="40" spans="1:11">
      <c r="A40" s="18" t="s">
        <v>1565</v>
      </c>
      <c r="B40" s="18" t="s">
        <v>468</v>
      </c>
      <c r="C40" s="18" t="s">
        <v>725</v>
      </c>
      <c r="D40" s="19">
        <v>46209</v>
      </c>
      <c r="E40" s="18" t="s">
        <v>1519</v>
      </c>
      <c r="F40" s="18" t="s">
        <v>1526</v>
      </c>
      <c r="G40" s="18" t="s">
        <v>1527</v>
      </c>
      <c r="H40" s="18" t="s">
        <v>577</v>
      </c>
      <c r="I40" s="18" t="s">
        <v>134</v>
      </c>
      <c r="J40" s="18" t="s">
        <v>601</v>
      </c>
      <c r="K40" s="18" t="s">
        <v>580</v>
      </c>
    </row>
    <row r="41" spans="1:11">
      <c r="A41" s="18" t="s">
        <v>1566</v>
      </c>
      <c r="B41" s="18" t="s">
        <v>475</v>
      </c>
      <c r="C41" s="18" t="s">
        <v>728</v>
      </c>
      <c r="D41" s="19">
        <v>46207</v>
      </c>
      <c r="E41" s="18" t="s">
        <v>1519</v>
      </c>
      <c r="F41" s="18" t="s">
        <v>1529</v>
      </c>
      <c r="G41" s="18" t="s">
        <v>1530</v>
      </c>
      <c r="H41" s="18" t="s">
        <v>577</v>
      </c>
      <c r="I41" s="18" t="s">
        <v>149</v>
      </c>
      <c r="J41" s="18" t="s">
        <v>609</v>
      </c>
      <c r="K41" s="18" t="s">
        <v>580</v>
      </c>
    </row>
    <row r="42" spans="1:11">
      <c r="A42" s="18" t="s">
        <v>1567</v>
      </c>
      <c r="B42" s="18" t="s">
        <v>483</v>
      </c>
      <c r="C42" s="18" t="s">
        <v>731</v>
      </c>
      <c r="D42" s="19">
        <v>46205</v>
      </c>
      <c r="E42" s="18" t="s">
        <v>1519</v>
      </c>
      <c r="F42" s="18" t="s">
        <v>1520</v>
      </c>
      <c r="G42" s="18" t="s">
        <v>1521</v>
      </c>
      <c r="H42" s="18" t="s">
        <v>577</v>
      </c>
      <c r="I42" s="18" t="s">
        <v>162</v>
      </c>
      <c r="J42" s="18" t="s">
        <v>576</v>
      </c>
      <c r="K42" s="18" t="s">
        <v>580</v>
      </c>
    </row>
    <row r="43" spans="1:11">
      <c r="A43" s="18" t="s">
        <v>1568</v>
      </c>
      <c r="B43" s="18" t="s">
        <v>491</v>
      </c>
      <c r="C43" s="18" t="s">
        <v>734</v>
      </c>
      <c r="D43" s="19">
        <v>46203</v>
      </c>
      <c r="E43" s="18" t="s">
        <v>1519</v>
      </c>
      <c r="F43" s="18" t="s">
        <v>1523</v>
      </c>
      <c r="G43" s="18" t="s">
        <v>1524</v>
      </c>
      <c r="H43" s="18" t="s">
        <v>577</v>
      </c>
      <c r="I43" s="18" t="s">
        <v>176</v>
      </c>
      <c r="J43" s="18" t="s">
        <v>593</v>
      </c>
      <c r="K43" s="18" t="s">
        <v>580</v>
      </c>
    </row>
    <row r="44" spans="1:11">
      <c r="A44" s="18" t="s">
        <v>1569</v>
      </c>
      <c r="B44" s="18" t="s">
        <v>499</v>
      </c>
      <c r="C44" s="18" t="s">
        <v>737</v>
      </c>
      <c r="D44" s="19">
        <v>46201</v>
      </c>
      <c r="E44" s="18" t="s">
        <v>1519</v>
      </c>
      <c r="F44" s="18" t="s">
        <v>1526</v>
      </c>
      <c r="G44" s="18" t="s">
        <v>1527</v>
      </c>
      <c r="H44" s="18" t="s">
        <v>577</v>
      </c>
      <c r="I44" s="18" t="s">
        <v>98</v>
      </c>
      <c r="J44" s="18" t="s">
        <v>601</v>
      </c>
      <c r="K44" s="18" t="s">
        <v>580</v>
      </c>
    </row>
    <row r="45" spans="1:11">
      <c r="A45" s="18" t="s">
        <v>1570</v>
      </c>
      <c r="B45" s="18" t="s">
        <v>507</v>
      </c>
      <c r="C45" s="18" t="s">
        <v>740</v>
      </c>
      <c r="D45" s="19">
        <v>46199</v>
      </c>
      <c r="E45" s="18" t="s">
        <v>1519</v>
      </c>
      <c r="F45" s="18" t="s">
        <v>1529</v>
      </c>
      <c r="G45" s="18" t="s">
        <v>1530</v>
      </c>
      <c r="H45" s="18" t="s">
        <v>577</v>
      </c>
      <c r="I45" s="18" t="s">
        <v>118</v>
      </c>
      <c r="J45" s="18" t="s">
        <v>609</v>
      </c>
      <c r="K45" s="18" t="s">
        <v>580</v>
      </c>
    </row>
    <row r="46" spans="1:11">
      <c r="A46" s="18" t="s">
        <v>1571</v>
      </c>
      <c r="B46" s="18" t="s">
        <v>515</v>
      </c>
      <c r="C46" s="18" t="s">
        <v>743</v>
      </c>
      <c r="D46" s="19">
        <v>46197</v>
      </c>
      <c r="E46" s="18" t="s">
        <v>1519</v>
      </c>
      <c r="F46" s="18" t="s">
        <v>1520</v>
      </c>
      <c r="G46" s="18" t="s">
        <v>1521</v>
      </c>
      <c r="H46" s="18" t="s">
        <v>577</v>
      </c>
      <c r="I46" s="18" t="s">
        <v>134</v>
      </c>
      <c r="J46" s="18" t="s">
        <v>576</v>
      </c>
      <c r="K46" s="18" t="s">
        <v>580</v>
      </c>
    </row>
    <row r="47" spans="1:11">
      <c r="A47" s="18" t="s">
        <v>1572</v>
      </c>
      <c r="B47" s="18" t="s">
        <v>523</v>
      </c>
      <c r="C47" s="18" t="s">
        <v>746</v>
      </c>
      <c r="D47" s="19">
        <v>46195</v>
      </c>
      <c r="E47" s="18" t="s">
        <v>1519</v>
      </c>
      <c r="F47" s="18" t="s">
        <v>1523</v>
      </c>
      <c r="G47" s="18" t="s">
        <v>1524</v>
      </c>
      <c r="H47" s="18" t="s">
        <v>577</v>
      </c>
      <c r="I47" s="18" t="s">
        <v>149</v>
      </c>
      <c r="J47" s="18" t="s">
        <v>593</v>
      </c>
      <c r="K47" s="18" t="s">
        <v>580</v>
      </c>
    </row>
    <row r="48" spans="1:11">
      <c r="A48" s="18" t="s">
        <v>1573</v>
      </c>
      <c r="B48" s="18" t="s">
        <v>531</v>
      </c>
      <c r="C48" s="18" t="s">
        <v>749</v>
      </c>
      <c r="D48" s="19">
        <v>46193</v>
      </c>
      <c r="E48" s="18" t="s">
        <v>1519</v>
      </c>
      <c r="F48" s="18" t="s">
        <v>1526</v>
      </c>
      <c r="G48" s="18" t="s">
        <v>1527</v>
      </c>
      <c r="H48" s="18" t="s">
        <v>577</v>
      </c>
      <c r="I48" s="18" t="s">
        <v>162</v>
      </c>
      <c r="J48" s="18" t="s">
        <v>601</v>
      </c>
      <c r="K48" s="18" t="s">
        <v>580</v>
      </c>
    </row>
    <row r="49" spans="1:11">
      <c r="A49" s="18" t="s">
        <v>1574</v>
      </c>
      <c r="B49" s="18" t="s">
        <v>539</v>
      </c>
      <c r="C49" s="18" t="s">
        <v>752</v>
      </c>
      <c r="D49" s="19">
        <v>46191</v>
      </c>
      <c r="E49" s="18" t="s">
        <v>1519</v>
      </c>
      <c r="F49" s="18" t="s">
        <v>1529</v>
      </c>
      <c r="G49" s="18" t="s">
        <v>1530</v>
      </c>
      <c r="H49" s="18" t="s">
        <v>577</v>
      </c>
      <c r="I49" s="18" t="s">
        <v>176</v>
      </c>
      <c r="J49" s="18" t="s">
        <v>609</v>
      </c>
      <c r="K49" s="18" t="s">
        <v>580</v>
      </c>
    </row>
    <row r="50" spans="1:11">
      <c r="A50" s="18" t="s">
        <v>1575</v>
      </c>
      <c r="B50" s="18" t="s">
        <v>547</v>
      </c>
      <c r="C50" s="18" t="s">
        <v>755</v>
      </c>
      <c r="D50" s="19">
        <v>46189</v>
      </c>
      <c r="E50" s="18" t="s">
        <v>1519</v>
      </c>
      <c r="F50" s="18" t="s">
        <v>1520</v>
      </c>
      <c r="G50" s="18" t="s">
        <v>1521</v>
      </c>
      <c r="H50" s="18" t="s">
        <v>577</v>
      </c>
      <c r="I50" s="18" t="s">
        <v>98</v>
      </c>
      <c r="J50" s="18" t="s">
        <v>576</v>
      </c>
      <c r="K50" s="18" t="s">
        <v>580</v>
      </c>
    </row>
    <row r="51" spans="1:11">
      <c r="A51" s="18" t="s">
        <v>1576</v>
      </c>
      <c r="B51" s="18" t="s">
        <v>555</v>
      </c>
      <c r="C51" s="18" t="s">
        <v>758</v>
      </c>
      <c r="D51" s="19">
        <v>46187</v>
      </c>
      <c r="E51" s="18" t="s">
        <v>1519</v>
      </c>
      <c r="F51" s="18" t="s">
        <v>1523</v>
      </c>
      <c r="G51" s="18" t="s">
        <v>1524</v>
      </c>
      <c r="H51" s="18" t="s">
        <v>577</v>
      </c>
      <c r="I51" s="18" t="s">
        <v>118</v>
      </c>
      <c r="J51" s="18" t="s">
        <v>593</v>
      </c>
      <c r="K51" s="18" t="s">
        <v>580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6F9F"/>
  </sheetPr>
  <dimension ref="A1:J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38" customWidth="1"/>
    <col min="4" max="4" width="12" customWidth="1"/>
    <col min="5" max="5" width="20" customWidth="1"/>
    <col min="6" max="7" width="12" customWidth="1"/>
    <col min="8" max="8" width="16" customWidth="1"/>
    <col min="9" max="9" width="24" customWidth="1"/>
    <col min="10" max="10" width="18" customWidth="1"/>
  </cols>
  <sheetData>
    <row r="1" spans="1:10" ht="30" customHeight="1">
      <c r="A1" s="17" t="s">
        <v>1577</v>
      </c>
      <c r="B1" s="17" t="s">
        <v>66</v>
      </c>
      <c r="C1" s="17" t="s">
        <v>1578</v>
      </c>
      <c r="D1" s="17" t="s">
        <v>1579</v>
      </c>
      <c r="E1" s="17" t="s">
        <v>1580</v>
      </c>
      <c r="F1" s="17" t="s">
        <v>57</v>
      </c>
      <c r="G1" s="17" t="s">
        <v>944</v>
      </c>
      <c r="H1" s="17" t="s">
        <v>1581</v>
      </c>
      <c r="I1" s="17" t="s">
        <v>1582</v>
      </c>
      <c r="J1" s="17" t="s">
        <v>1583</v>
      </c>
    </row>
    <row r="2" spans="1:10">
      <c r="A2" s="18" t="s">
        <v>1584</v>
      </c>
      <c r="B2" s="18" t="s">
        <v>35</v>
      </c>
      <c r="C2" s="18" t="s">
        <v>1585</v>
      </c>
      <c r="D2" s="18" t="s">
        <v>1586</v>
      </c>
      <c r="E2" s="19">
        <v>45920</v>
      </c>
      <c r="F2" s="18" t="s">
        <v>1587</v>
      </c>
      <c r="G2" s="18" t="s">
        <v>1588</v>
      </c>
      <c r="H2" s="18" t="s">
        <v>1589</v>
      </c>
      <c r="I2" s="18" t="s">
        <v>98</v>
      </c>
      <c r="J2" s="18" t="s">
        <v>1590</v>
      </c>
    </row>
    <row r="3" spans="1:10">
      <c r="A3" s="18" t="s">
        <v>1591</v>
      </c>
      <c r="B3" s="18" t="s">
        <v>107</v>
      </c>
      <c r="C3" s="18" t="s">
        <v>1585</v>
      </c>
      <c r="D3" s="18" t="s">
        <v>1586</v>
      </c>
      <c r="E3" s="19">
        <v>45921</v>
      </c>
      <c r="F3" s="18" t="s">
        <v>1587</v>
      </c>
      <c r="G3" s="18" t="s">
        <v>1588</v>
      </c>
      <c r="H3" s="18" t="s">
        <v>1589</v>
      </c>
      <c r="I3" s="18" t="s">
        <v>118</v>
      </c>
      <c r="J3" s="18" t="s">
        <v>1592</v>
      </c>
    </row>
    <row r="4" spans="1:10">
      <c r="A4" s="18" t="s">
        <v>1593</v>
      </c>
      <c r="B4" s="18" t="s">
        <v>125</v>
      </c>
      <c r="C4" s="18" t="s">
        <v>1585</v>
      </c>
      <c r="D4" s="18" t="s">
        <v>1586</v>
      </c>
      <c r="E4" s="19">
        <v>45922</v>
      </c>
      <c r="F4" s="18" t="s">
        <v>1587</v>
      </c>
      <c r="G4" s="18" t="s">
        <v>1588</v>
      </c>
      <c r="H4" s="18" t="s">
        <v>1589</v>
      </c>
      <c r="I4" s="18" t="s">
        <v>134</v>
      </c>
      <c r="J4" s="18" t="s">
        <v>1594</v>
      </c>
    </row>
    <row r="5" spans="1:10">
      <c r="A5" s="18" t="s">
        <v>1595</v>
      </c>
      <c r="B5" s="18" t="s">
        <v>141</v>
      </c>
      <c r="C5" s="18" t="s">
        <v>1585</v>
      </c>
      <c r="D5" s="18" t="s">
        <v>1586</v>
      </c>
      <c r="E5" s="19">
        <v>45923</v>
      </c>
      <c r="F5" s="18" t="s">
        <v>1587</v>
      </c>
      <c r="G5" s="18" t="s">
        <v>1588</v>
      </c>
      <c r="H5" s="18" t="s">
        <v>1589</v>
      </c>
      <c r="I5" s="18" t="s">
        <v>149</v>
      </c>
      <c r="J5" s="18" t="s">
        <v>1596</v>
      </c>
    </row>
    <row r="6" spans="1:10">
      <c r="A6" s="18" t="s">
        <v>1597</v>
      </c>
      <c r="B6" s="18" t="s">
        <v>155</v>
      </c>
      <c r="C6" s="18" t="s">
        <v>1585</v>
      </c>
      <c r="D6" s="18" t="s">
        <v>1586</v>
      </c>
      <c r="E6" s="19">
        <v>45924</v>
      </c>
      <c r="F6" s="18" t="s">
        <v>1587</v>
      </c>
      <c r="G6" s="18" t="s">
        <v>1588</v>
      </c>
      <c r="H6" s="18" t="s">
        <v>1589</v>
      </c>
      <c r="I6" s="18" t="s">
        <v>162</v>
      </c>
      <c r="J6" s="18" t="s">
        <v>1598</v>
      </c>
    </row>
    <row r="7" spans="1:10">
      <c r="A7" s="18" t="s">
        <v>1599</v>
      </c>
      <c r="B7" s="18" t="s">
        <v>169</v>
      </c>
      <c r="C7" s="18" t="s">
        <v>1585</v>
      </c>
      <c r="D7" s="18" t="s">
        <v>1586</v>
      </c>
      <c r="E7" s="19">
        <v>45925</v>
      </c>
      <c r="F7" s="18" t="s">
        <v>1587</v>
      </c>
      <c r="G7" s="18" t="s">
        <v>1588</v>
      </c>
      <c r="H7" s="18" t="s">
        <v>1589</v>
      </c>
      <c r="I7" s="18" t="s">
        <v>176</v>
      </c>
      <c r="J7" s="18" t="s">
        <v>1600</v>
      </c>
    </row>
    <row r="8" spans="1:10">
      <c r="A8" s="18" t="s">
        <v>1601</v>
      </c>
      <c r="B8" s="18" t="s">
        <v>183</v>
      </c>
      <c r="C8" s="18" t="s">
        <v>1585</v>
      </c>
      <c r="D8" s="18" t="s">
        <v>1586</v>
      </c>
      <c r="E8" s="19">
        <v>45926</v>
      </c>
      <c r="F8" s="18" t="s">
        <v>1587</v>
      </c>
      <c r="G8" s="18" t="s">
        <v>1588</v>
      </c>
      <c r="H8" s="18" t="s">
        <v>1589</v>
      </c>
      <c r="I8" s="18" t="s">
        <v>98</v>
      </c>
      <c r="J8" s="18" t="s">
        <v>1602</v>
      </c>
    </row>
    <row r="9" spans="1:10">
      <c r="A9" s="18" t="s">
        <v>1603</v>
      </c>
      <c r="B9" s="18" t="s">
        <v>194</v>
      </c>
      <c r="C9" s="18" t="s">
        <v>1585</v>
      </c>
      <c r="D9" s="18" t="s">
        <v>1586</v>
      </c>
      <c r="E9" s="19">
        <v>45927</v>
      </c>
      <c r="F9" s="18" t="s">
        <v>1587</v>
      </c>
      <c r="G9" s="18" t="s">
        <v>1588</v>
      </c>
      <c r="H9" s="18" t="s">
        <v>1589</v>
      </c>
      <c r="I9" s="18" t="s">
        <v>118</v>
      </c>
      <c r="J9" s="18" t="s">
        <v>1604</v>
      </c>
    </row>
    <row r="10" spans="1:10">
      <c r="A10" s="18" t="s">
        <v>1605</v>
      </c>
      <c r="B10" s="18" t="s">
        <v>204</v>
      </c>
      <c r="C10" s="18" t="s">
        <v>1585</v>
      </c>
      <c r="D10" s="18" t="s">
        <v>1586</v>
      </c>
      <c r="E10" s="19">
        <v>45928</v>
      </c>
      <c r="F10" s="18" t="s">
        <v>1587</v>
      </c>
      <c r="G10" s="18" t="s">
        <v>1588</v>
      </c>
      <c r="H10" s="18" t="s">
        <v>1589</v>
      </c>
      <c r="I10" s="18" t="s">
        <v>134</v>
      </c>
      <c r="J10" s="18" t="s">
        <v>1606</v>
      </c>
    </row>
    <row r="11" spans="1:10">
      <c r="A11" s="18" t="s">
        <v>1607</v>
      </c>
      <c r="B11" s="18" t="s">
        <v>215</v>
      </c>
      <c r="C11" s="18" t="s">
        <v>1585</v>
      </c>
      <c r="D11" s="18" t="s">
        <v>1586</v>
      </c>
      <c r="E11" s="19">
        <v>45929</v>
      </c>
      <c r="F11" s="18" t="s">
        <v>1587</v>
      </c>
      <c r="G11" s="18" t="s">
        <v>1588</v>
      </c>
      <c r="H11" s="18" t="s">
        <v>1589</v>
      </c>
      <c r="I11" s="18" t="s">
        <v>149</v>
      </c>
      <c r="J11" s="18" t="s">
        <v>1608</v>
      </c>
    </row>
    <row r="12" spans="1:10">
      <c r="A12" s="18" t="s">
        <v>1609</v>
      </c>
      <c r="B12" s="18" t="s">
        <v>226</v>
      </c>
      <c r="C12" s="18" t="s">
        <v>1585</v>
      </c>
      <c r="D12" s="18" t="s">
        <v>1586</v>
      </c>
      <c r="E12" s="19">
        <v>45930</v>
      </c>
      <c r="F12" s="18" t="s">
        <v>1587</v>
      </c>
      <c r="G12" s="18" t="s">
        <v>1588</v>
      </c>
      <c r="H12" s="18" t="s">
        <v>1589</v>
      </c>
      <c r="I12" s="18" t="s">
        <v>162</v>
      </c>
      <c r="J12" s="18" t="s">
        <v>1610</v>
      </c>
    </row>
    <row r="13" spans="1:10">
      <c r="A13" s="18" t="s">
        <v>1611</v>
      </c>
      <c r="B13" s="18" t="s">
        <v>237</v>
      </c>
      <c r="C13" s="18" t="s">
        <v>1585</v>
      </c>
      <c r="D13" s="18" t="s">
        <v>1586</v>
      </c>
      <c r="E13" s="19">
        <v>45931</v>
      </c>
      <c r="F13" s="18" t="s">
        <v>1587</v>
      </c>
      <c r="G13" s="18" t="s">
        <v>1588</v>
      </c>
      <c r="H13" s="18" t="s">
        <v>1589</v>
      </c>
      <c r="I13" s="18" t="s">
        <v>176</v>
      </c>
      <c r="J13" s="18" t="s">
        <v>1612</v>
      </c>
    </row>
    <row r="14" spans="1:10">
      <c r="A14" s="18" t="s">
        <v>1613</v>
      </c>
      <c r="B14" s="18" t="s">
        <v>248</v>
      </c>
      <c r="C14" s="18" t="s">
        <v>1585</v>
      </c>
      <c r="D14" s="18" t="s">
        <v>1586</v>
      </c>
      <c r="E14" s="19">
        <v>45932</v>
      </c>
      <c r="F14" s="18" t="s">
        <v>1587</v>
      </c>
      <c r="G14" s="18" t="s">
        <v>1588</v>
      </c>
      <c r="H14" s="18" t="s">
        <v>1589</v>
      </c>
      <c r="I14" s="18" t="s">
        <v>98</v>
      </c>
      <c r="J14" s="18" t="s">
        <v>1614</v>
      </c>
    </row>
    <row r="15" spans="1:10">
      <c r="A15" s="18" t="s">
        <v>1615</v>
      </c>
      <c r="B15" s="18" t="s">
        <v>259</v>
      </c>
      <c r="C15" s="18" t="s">
        <v>1585</v>
      </c>
      <c r="D15" s="18" t="s">
        <v>1586</v>
      </c>
      <c r="E15" s="19">
        <v>45933</v>
      </c>
      <c r="F15" s="18" t="s">
        <v>1587</v>
      </c>
      <c r="G15" s="18" t="s">
        <v>1588</v>
      </c>
      <c r="H15" s="18" t="s">
        <v>1589</v>
      </c>
      <c r="I15" s="18" t="s">
        <v>118</v>
      </c>
      <c r="J15" s="18" t="s">
        <v>1616</v>
      </c>
    </row>
    <row r="16" spans="1:10">
      <c r="A16" s="18" t="s">
        <v>1617</v>
      </c>
      <c r="B16" s="18" t="s">
        <v>270</v>
      </c>
      <c r="C16" s="18" t="s">
        <v>1585</v>
      </c>
      <c r="D16" s="18" t="s">
        <v>1586</v>
      </c>
      <c r="E16" s="19">
        <v>45934</v>
      </c>
      <c r="F16" s="18" t="s">
        <v>1587</v>
      </c>
      <c r="G16" s="18" t="s">
        <v>1588</v>
      </c>
      <c r="H16" s="18" t="s">
        <v>1589</v>
      </c>
      <c r="I16" s="18" t="s">
        <v>134</v>
      </c>
      <c r="J16" s="18" t="s">
        <v>1618</v>
      </c>
    </row>
    <row r="17" spans="1:10">
      <c r="A17" s="18" t="s">
        <v>1619</v>
      </c>
      <c r="B17" s="18" t="s">
        <v>281</v>
      </c>
      <c r="C17" s="18" t="s">
        <v>1585</v>
      </c>
      <c r="D17" s="18" t="s">
        <v>1586</v>
      </c>
      <c r="E17" s="19">
        <v>45935</v>
      </c>
      <c r="F17" s="18" t="s">
        <v>1587</v>
      </c>
      <c r="G17" s="18" t="s">
        <v>1588</v>
      </c>
      <c r="H17" s="18" t="s">
        <v>1589</v>
      </c>
      <c r="I17" s="18" t="s">
        <v>149</v>
      </c>
      <c r="J17" s="18" t="s">
        <v>1620</v>
      </c>
    </row>
    <row r="18" spans="1:10">
      <c r="A18" s="18" t="s">
        <v>1621</v>
      </c>
      <c r="B18" s="18" t="s">
        <v>292</v>
      </c>
      <c r="C18" s="18" t="s">
        <v>1585</v>
      </c>
      <c r="D18" s="18" t="s">
        <v>1586</v>
      </c>
      <c r="E18" s="19">
        <v>45936</v>
      </c>
      <c r="F18" s="18" t="s">
        <v>1587</v>
      </c>
      <c r="G18" s="18" t="s">
        <v>1588</v>
      </c>
      <c r="H18" s="18" t="s">
        <v>1589</v>
      </c>
      <c r="I18" s="18" t="s">
        <v>162</v>
      </c>
      <c r="J18" s="18" t="s">
        <v>1622</v>
      </c>
    </row>
    <row r="19" spans="1:10">
      <c r="A19" s="18" t="s">
        <v>1623</v>
      </c>
      <c r="B19" s="18" t="s">
        <v>303</v>
      </c>
      <c r="C19" s="18" t="s">
        <v>1585</v>
      </c>
      <c r="D19" s="18" t="s">
        <v>1586</v>
      </c>
      <c r="E19" s="19">
        <v>45937</v>
      </c>
      <c r="F19" s="18" t="s">
        <v>1587</v>
      </c>
      <c r="G19" s="18" t="s">
        <v>1588</v>
      </c>
      <c r="H19" s="18" t="s">
        <v>1589</v>
      </c>
      <c r="I19" s="18" t="s">
        <v>176</v>
      </c>
      <c r="J19" s="18" t="s">
        <v>1624</v>
      </c>
    </row>
    <row r="20" spans="1:10">
      <c r="A20" s="18" t="s">
        <v>1625</v>
      </c>
      <c r="B20" s="18" t="s">
        <v>313</v>
      </c>
      <c r="C20" s="18" t="s">
        <v>1585</v>
      </c>
      <c r="D20" s="18" t="s">
        <v>1586</v>
      </c>
      <c r="E20" s="19">
        <v>45938</v>
      </c>
      <c r="F20" s="18" t="s">
        <v>1587</v>
      </c>
      <c r="G20" s="18" t="s">
        <v>1588</v>
      </c>
      <c r="H20" s="18" t="s">
        <v>1589</v>
      </c>
      <c r="I20" s="18" t="s">
        <v>98</v>
      </c>
      <c r="J20" s="18" t="s">
        <v>1626</v>
      </c>
    </row>
    <row r="21" spans="1:10">
      <c r="A21" s="18" t="s">
        <v>1627</v>
      </c>
      <c r="B21" s="18" t="s">
        <v>324</v>
      </c>
      <c r="C21" s="18" t="s">
        <v>1585</v>
      </c>
      <c r="D21" s="18" t="s">
        <v>1586</v>
      </c>
      <c r="E21" s="19">
        <v>45939</v>
      </c>
      <c r="F21" s="18" t="s">
        <v>1587</v>
      </c>
      <c r="G21" s="18" t="s">
        <v>1588</v>
      </c>
      <c r="H21" s="18" t="s">
        <v>1589</v>
      </c>
      <c r="I21" s="18" t="s">
        <v>118</v>
      </c>
      <c r="J21" s="18" t="s">
        <v>1628</v>
      </c>
    </row>
    <row r="22" spans="1:10">
      <c r="A22" s="18" t="s">
        <v>1629</v>
      </c>
      <c r="B22" s="18" t="s">
        <v>335</v>
      </c>
      <c r="C22" s="18" t="s">
        <v>1585</v>
      </c>
      <c r="D22" s="18" t="s">
        <v>1586</v>
      </c>
      <c r="E22" s="19">
        <v>45940</v>
      </c>
      <c r="F22" s="18" t="s">
        <v>1587</v>
      </c>
      <c r="G22" s="18" t="s">
        <v>1588</v>
      </c>
      <c r="H22" s="18" t="s">
        <v>1589</v>
      </c>
      <c r="I22" s="18" t="s">
        <v>134</v>
      </c>
      <c r="J22" s="18" t="s">
        <v>1630</v>
      </c>
    </row>
    <row r="23" spans="1:10">
      <c r="A23" s="18" t="s">
        <v>1631</v>
      </c>
      <c r="B23" s="18" t="s">
        <v>342</v>
      </c>
      <c r="C23" s="18" t="s">
        <v>1585</v>
      </c>
      <c r="D23" s="18" t="s">
        <v>1586</v>
      </c>
      <c r="E23" s="19">
        <v>45941</v>
      </c>
      <c r="F23" s="18" t="s">
        <v>1587</v>
      </c>
      <c r="G23" s="18" t="s">
        <v>1588</v>
      </c>
      <c r="H23" s="18" t="s">
        <v>1589</v>
      </c>
      <c r="I23" s="18" t="s">
        <v>149</v>
      </c>
      <c r="J23" s="18" t="s">
        <v>1632</v>
      </c>
    </row>
    <row r="24" spans="1:10">
      <c r="A24" s="18" t="s">
        <v>1633</v>
      </c>
      <c r="B24" s="18" t="s">
        <v>350</v>
      </c>
      <c r="C24" s="18" t="s">
        <v>1585</v>
      </c>
      <c r="D24" s="18" t="s">
        <v>1586</v>
      </c>
      <c r="E24" s="19">
        <v>45942</v>
      </c>
      <c r="F24" s="18" t="s">
        <v>1587</v>
      </c>
      <c r="G24" s="18" t="s">
        <v>1588</v>
      </c>
      <c r="H24" s="18" t="s">
        <v>1589</v>
      </c>
      <c r="I24" s="18" t="s">
        <v>162</v>
      </c>
      <c r="J24" s="18" t="s">
        <v>1634</v>
      </c>
    </row>
    <row r="25" spans="1:10">
      <c r="A25" s="18" t="s">
        <v>1635</v>
      </c>
      <c r="B25" s="18" t="s">
        <v>356</v>
      </c>
      <c r="C25" s="18" t="s">
        <v>1585</v>
      </c>
      <c r="D25" s="18" t="s">
        <v>1586</v>
      </c>
      <c r="E25" s="19">
        <v>45943</v>
      </c>
      <c r="F25" s="18" t="s">
        <v>1587</v>
      </c>
      <c r="G25" s="18" t="s">
        <v>1588</v>
      </c>
      <c r="H25" s="18" t="s">
        <v>1589</v>
      </c>
      <c r="I25" s="18" t="s">
        <v>176</v>
      </c>
      <c r="J25" s="18" t="s">
        <v>1636</v>
      </c>
    </row>
    <row r="26" spans="1:10">
      <c r="A26" s="18" t="s">
        <v>1637</v>
      </c>
      <c r="B26" s="18" t="s">
        <v>364</v>
      </c>
      <c r="C26" s="18" t="s">
        <v>1585</v>
      </c>
      <c r="D26" s="18" t="s">
        <v>1586</v>
      </c>
      <c r="E26" s="19">
        <v>45944</v>
      </c>
      <c r="F26" s="18" t="s">
        <v>1587</v>
      </c>
      <c r="G26" s="18" t="s">
        <v>1588</v>
      </c>
      <c r="H26" s="18" t="s">
        <v>1589</v>
      </c>
      <c r="I26" s="18" t="s">
        <v>98</v>
      </c>
      <c r="J26" s="18" t="s">
        <v>1638</v>
      </c>
    </row>
    <row r="27" spans="1:10">
      <c r="A27" s="18" t="s">
        <v>1639</v>
      </c>
      <c r="B27" s="18" t="s">
        <v>371</v>
      </c>
      <c r="C27" s="18" t="s">
        <v>1585</v>
      </c>
      <c r="D27" s="18" t="s">
        <v>1586</v>
      </c>
      <c r="E27" s="19">
        <v>45945</v>
      </c>
      <c r="F27" s="18" t="s">
        <v>1587</v>
      </c>
      <c r="G27" s="18" t="s">
        <v>1588</v>
      </c>
      <c r="H27" s="18" t="s">
        <v>1589</v>
      </c>
      <c r="I27" s="18" t="s">
        <v>118</v>
      </c>
      <c r="J27" s="18" t="s">
        <v>1640</v>
      </c>
    </row>
    <row r="28" spans="1:10">
      <c r="A28" s="18" t="s">
        <v>1641</v>
      </c>
      <c r="B28" s="18" t="s">
        <v>379</v>
      </c>
      <c r="C28" s="18" t="s">
        <v>1585</v>
      </c>
      <c r="D28" s="18" t="s">
        <v>1586</v>
      </c>
      <c r="E28" s="19">
        <v>45946</v>
      </c>
      <c r="F28" s="18" t="s">
        <v>1587</v>
      </c>
      <c r="G28" s="18" t="s">
        <v>1588</v>
      </c>
      <c r="H28" s="18" t="s">
        <v>1589</v>
      </c>
      <c r="I28" s="18" t="s">
        <v>134</v>
      </c>
      <c r="J28" s="18" t="s">
        <v>1642</v>
      </c>
    </row>
    <row r="29" spans="1:10">
      <c r="A29" s="18" t="s">
        <v>1643</v>
      </c>
      <c r="B29" s="18" t="s">
        <v>386</v>
      </c>
      <c r="C29" s="18" t="s">
        <v>1585</v>
      </c>
      <c r="D29" s="18" t="s">
        <v>1586</v>
      </c>
      <c r="E29" s="19">
        <v>45947</v>
      </c>
      <c r="F29" s="18" t="s">
        <v>1587</v>
      </c>
      <c r="G29" s="18" t="s">
        <v>1588</v>
      </c>
      <c r="H29" s="18" t="s">
        <v>1589</v>
      </c>
      <c r="I29" s="18" t="s">
        <v>149</v>
      </c>
      <c r="J29" s="18" t="s">
        <v>1644</v>
      </c>
    </row>
    <row r="30" spans="1:10">
      <c r="A30" s="18" t="s">
        <v>1645</v>
      </c>
      <c r="B30" s="18" t="s">
        <v>393</v>
      </c>
      <c r="C30" s="18" t="s">
        <v>1585</v>
      </c>
      <c r="D30" s="18" t="s">
        <v>1586</v>
      </c>
      <c r="E30" s="19">
        <v>45948</v>
      </c>
      <c r="F30" s="18" t="s">
        <v>1587</v>
      </c>
      <c r="G30" s="18" t="s">
        <v>1588</v>
      </c>
      <c r="H30" s="18" t="s">
        <v>1589</v>
      </c>
      <c r="I30" s="18" t="s">
        <v>162</v>
      </c>
      <c r="J30" s="18" t="s">
        <v>1646</v>
      </c>
    </row>
    <row r="31" spans="1:10">
      <c r="A31" s="18" t="s">
        <v>1647</v>
      </c>
      <c r="B31" s="18" t="s">
        <v>400</v>
      </c>
      <c r="C31" s="18" t="s">
        <v>1585</v>
      </c>
      <c r="D31" s="18" t="s">
        <v>1586</v>
      </c>
      <c r="E31" s="19">
        <v>45949</v>
      </c>
      <c r="F31" s="18" t="s">
        <v>1587</v>
      </c>
      <c r="G31" s="18" t="s">
        <v>1588</v>
      </c>
      <c r="H31" s="18" t="s">
        <v>1589</v>
      </c>
      <c r="I31" s="18" t="s">
        <v>176</v>
      </c>
      <c r="J31" s="18" t="s">
        <v>1648</v>
      </c>
    </row>
    <row r="32" spans="1:10">
      <c r="A32" s="18" t="s">
        <v>1649</v>
      </c>
      <c r="B32" s="18" t="s">
        <v>408</v>
      </c>
      <c r="C32" s="18" t="s">
        <v>1585</v>
      </c>
      <c r="D32" s="18" t="s">
        <v>1586</v>
      </c>
      <c r="E32" s="19">
        <v>45950</v>
      </c>
      <c r="F32" s="18" t="s">
        <v>1587</v>
      </c>
      <c r="G32" s="18" t="s">
        <v>1588</v>
      </c>
      <c r="H32" s="18" t="s">
        <v>1589</v>
      </c>
      <c r="I32" s="18" t="s">
        <v>98</v>
      </c>
      <c r="J32" s="18" t="s">
        <v>1650</v>
      </c>
    </row>
    <row r="33" spans="1:10">
      <c r="A33" s="18" t="s">
        <v>1651</v>
      </c>
      <c r="B33" s="18" t="s">
        <v>415</v>
      </c>
      <c r="C33" s="18" t="s">
        <v>1585</v>
      </c>
      <c r="D33" s="18" t="s">
        <v>1586</v>
      </c>
      <c r="E33" s="19">
        <v>45951</v>
      </c>
      <c r="F33" s="18" t="s">
        <v>1587</v>
      </c>
      <c r="G33" s="18" t="s">
        <v>1588</v>
      </c>
      <c r="H33" s="18" t="s">
        <v>1589</v>
      </c>
      <c r="I33" s="18" t="s">
        <v>118</v>
      </c>
      <c r="J33" s="18" t="s">
        <v>1652</v>
      </c>
    </row>
    <row r="34" spans="1:10">
      <c r="A34" s="18" t="s">
        <v>1653</v>
      </c>
      <c r="B34" s="18" t="s">
        <v>423</v>
      </c>
      <c r="C34" s="18" t="s">
        <v>1585</v>
      </c>
      <c r="D34" s="18" t="s">
        <v>1586</v>
      </c>
      <c r="E34" s="19">
        <v>45952</v>
      </c>
      <c r="F34" s="18" t="s">
        <v>1587</v>
      </c>
      <c r="G34" s="18" t="s">
        <v>1588</v>
      </c>
      <c r="H34" s="18" t="s">
        <v>1589</v>
      </c>
      <c r="I34" s="18" t="s">
        <v>134</v>
      </c>
      <c r="J34" s="18" t="s">
        <v>1654</v>
      </c>
    </row>
    <row r="35" spans="1:10">
      <c r="A35" s="18" t="s">
        <v>1655</v>
      </c>
      <c r="B35" s="18" t="s">
        <v>430</v>
      </c>
      <c r="C35" s="18" t="s">
        <v>1585</v>
      </c>
      <c r="D35" s="18" t="s">
        <v>1586</v>
      </c>
      <c r="E35" s="19">
        <v>45953</v>
      </c>
      <c r="F35" s="18" t="s">
        <v>1587</v>
      </c>
      <c r="G35" s="18" t="s">
        <v>1588</v>
      </c>
      <c r="H35" s="18" t="s">
        <v>1589</v>
      </c>
      <c r="I35" s="18" t="s">
        <v>149</v>
      </c>
      <c r="J35" s="18" t="s">
        <v>1656</v>
      </c>
    </row>
    <row r="36" spans="1:10">
      <c r="A36" s="18" t="s">
        <v>1657</v>
      </c>
      <c r="B36" s="18" t="s">
        <v>438</v>
      </c>
      <c r="C36" s="18" t="s">
        <v>1585</v>
      </c>
      <c r="D36" s="18" t="s">
        <v>1586</v>
      </c>
      <c r="E36" s="19">
        <v>45954</v>
      </c>
      <c r="F36" s="18" t="s">
        <v>1587</v>
      </c>
      <c r="G36" s="18" t="s">
        <v>1588</v>
      </c>
      <c r="H36" s="18" t="s">
        <v>1589</v>
      </c>
      <c r="I36" s="18" t="s">
        <v>162</v>
      </c>
      <c r="J36" s="18" t="s">
        <v>1658</v>
      </c>
    </row>
    <row r="37" spans="1:10">
      <c r="A37" s="18" t="s">
        <v>1659</v>
      </c>
      <c r="B37" s="18" t="s">
        <v>445</v>
      </c>
      <c r="C37" s="18" t="s">
        <v>1585</v>
      </c>
      <c r="D37" s="18" t="s">
        <v>1586</v>
      </c>
      <c r="E37" s="19">
        <v>45955</v>
      </c>
      <c r="F37" s="18" t="s">
        <v>1587</v>
      </c>
      <c r="G37" s="18" t="s">
        <v>1588</v>
      </c>
      <c r="H37" s="18" t="s">
        <v>1589</v>
      </c>
      <c r="I37" s="18" t="s">
        <v>176</v>
      </c>
      <c r="J37" s="18" t="s">
        <v>1660</v>
      </c>
    </row>
    <row r="38" spans="1:10">
      <c r="A38" s="18" t="s">
        <v>1661</v>
      </c>
      <c r="B38" s="18" t="s">
        <v>453</v>
      </c>
      <c r="C38" s="18" t="s">
        <v>1585</v>
      </c>
      <c r="D38" s="18" t="s">
        <v>1586</v>
      </c>
      <c r="E38" s="19">
        <v>45956</v>
      </c>
      <c r="F38" s="18" t="s">
        <v>1587</v>
      </c>
      <c r="G38" s="18" t="s">
        <v>1588</v>
      </c>
      <c r="H38" s="18" t="s">
        <v>1589</v>
      </c>
      <c r="I38" s="18" t="s">
        <v>98</v>
      </c>
      <c r="J38" s="18" t="s">
        <v>1662</v>
      </c>
    </row>
    <row r="39" spans="1:10">
      <c r="A39" s="18" t="s">
        <v>1663</v>
      </c>
      <c r="B39" s="18" t="s">
        <v>460</v>
      </c>
      <c r="C39" s="18" t="s">
        <v>1585</v>
      </c>
      <c r="D39" s="18" t="s">
        <v>1586</v>
      </c>
      <c r="E39" s="19">
        <v>45957</v>
      </c>
      <c r="F39" s="18" t="s">
        <v>1587</v>
      </c>
      <c r="G39" s="18" t="s">
        <v>1588</v>
      </c>
      <c r="H39" s="18" t="s">
        <v>1589</v>
      </c>
      <c r="I39" s="18" t="s">
        <v>118</v>
      </c>
      <c r="J39" s="18" t="s">
        <v>1664</v>
      </c>
    </row>
    <row r="40" spans="1:10">
      <c r="A40" s="18" t="s">
        <v>1665</v>
      </c>
      <c r="B40" s="18" t="s">
        <v>468</v>
      </c>
      <c r="C40" s="18" t="s">
        <v>1585</v>
      </c>
      <c r="D40" s="18" t="s">
        <v>1586</v>
      </c>
      <c r="E40" s="19">
        <v>45958</v>
      </c>
      <c r="F40" s="18" t="s">
        <v>1587</v>
      </c>
      <c r="G40" s="18" t="s">
        <v>1588</v>
      </c>
      <c r="H40" s="18" t="s">
        <v>1589</v>
      </c>
      <c r="I40" s="18" t="s">
        <v>134</v>
      </c>
      <c r="J40" s="18" t="s">
        <v>1666</v>
      </c>
    </row>
    <row r="41" spans="1:10">
      <c r="A41" s="18" t="s">
        <v>1667</v>
      </c>
      <c r="B41" s="18" t="s">
        <v>475</v>
      </c>
      <c r="C41" s="18" t="s">
        <v>1585</v>
      </c>
      <c r="D41" s="18" t="s">
        <v>1586</v>
      </c>
      <c r="E41" s="19">
        <v>45959</v>
      </c>
      <c r="F41" s="18" t="s">
        <v>1587</v>
      </c>
      <c r="G41" s="18" t="s">
        <v>1588</v>
      </c>
      <c r="H41" s="18" t="s">
        <v>1589</v>
      </c>
      <c r="I41" s="18" t="s">
        <v>149</v>
      </c>
      <c r="J41" s="18" t="s">
        <v>1668</v>
      </c>
    </row>
    <row r="42" spans="1:10">
      <c r="A42" s="18" t="s">
        <v>1669</v>
      </c>
      <c r="B42" s="18" t="s">
        <v>483</v>
      </c>
      <c r="C42" s="18" t="s">
        <v>1585</v>
      </c>
      <c r="D42" s="18" t="s">
        <v>1586</v>
      </c>
      <c r="E42" s="19">
        <v>45960</v>
      </c>
      <c r="F42" s="18" t="s">
        <v>1587</v>
      </c>
      <c r="G42" s="18" t="s">
        <v>1588</v>
      </c>
      <c r="H42" s="18" t="s">
        <v>1589</v>
      </c>
      <c r="I42" s="18" t="s">
        <v>162</v>
      </c>
      <c r="J42" s="18" t="s">
        <v>1670</v>
      </c>
    </row>
    <row r="43" spans="1:10">
      <c r="A43" s="18" t="s">
        <v>1671</v>
      </c>
      <c r="B43" s="18" t="s">
        <v>491</v>
      </c>
      <c r="C43" s="18" t="s">
        <v>1585</v>
      </c>
      <c r="D43" s="18" t="s">
        <v>1586</v>
      </c>
      <c r="E43" s="19">
        <v>45961</v>
      </c>
      <c r="F43" s="18" t="s">
        <v>1587</v>
      </c>
      <c r="G43" s="18" t="s">
        <v>1588</v>
      </c>
      <c r="H43" s="18" t="s">
        <v>1589</v>
      </c>
      <c r="I43" s="18" t="s">
        <v>176</v>
      </c>
      <c r="J43" s="18" t="s">
        <v>1672</v>
      </c>
    </row>
    <row r="44" spans="1:10">
      <c r="A44" s="18" t="s">
        <v>1673</v>
      </c>
      <c r="B44" s="18" t="s">
        <v>499</v>
      </c>
      <c r="C44" s="18" t="s">
        <v>1585</v>
      </c>
      <c r="D44" s="18" t="s">
        <v>1586</v>
      </c>
      <c r="E44" s="19">
        <v>45962</v>
      </c>
      <c r="F44" s="18" t="s">
        <v>1587</v>
      </c>
      <c r="G44" s="18" t="s">
        <v>1588</v>
      </c>
      <c r="H44" s="18" t="s">
        <v>1589</v>
      </c>
      <c r="I44" s="18" t="s">
        <v>98</v>
      </c>
      <c r="J44" s="18" t="s">
        <v>1674</v>
      </c>
    </row>
    <row r="45" spans="1:10">
      <c r="A45" s="18" t="s">
        <v>1675</v>
      </c>
      <c r="B45" s="18" t="s">
        <v>507</v>
      </c>
      <c r="C45" s="18" t="s">
        <v>1585</v>
      </c>
      <c r="D45" s="18" t="s">
        <v>1586</v>
      </c>
      <c r="E45" s="19">
        <v>45963</v>
      </c>
      <c r="F45" s="18" t="s">
        <v>1587</v>
      </c>
      <c r="G45" s="18" t="s">
        <v>1588</v>
      </c>
      <c r="H45" s="18" t="s">
        <v>1589</v>
      </c>
      <c r="I45" s="18" t="s">
        <v>118</v>
      </c>
      <c r="J45" s="18" t="s">
        <v>1676</v>
      </c>
    </row>
    <row r="46" spans="1:10">
      <c r="A46" s="18" t="s">
        <v>1677</v>
      </c>
      <c r="B46" s="18" t="s">
        <v>515</v>
      </c>
      <c r="C46" s="18" t="s">
        <v>1585</v>
      </c>
      <c r="D46" s="18" t="s">
        <v>1586</v>
      </c>
      <c r="E46" s="19">
        <v>45964</v>
      </c>
      <c r="F46" s="18" t="s">
        <v>1587</v>
      </c>
      <c r="G46" s="18" t="s">
        <v>1588</v>
      </c>
      <c r="H46" s="18" t="s">
        <v>1589</v>
      </c>
      <c r="I46" s="18" t="s">
        <v>134</v>
      </c>
      <c r="J46" s="18" t="s">
        <v>1678</v>
      </c>
    </row>
    <row r="47" spans="1:10">
      <c r="A47" s="18" t="s">
        <v>1679</v>
      </c>
      <c r="B47" s="18" t="s">
        <v>523</v>
      </c>
      <c r="C47" s="18" t="s">
        <v>1585</v>
      </c>
      <c r="D47" s="18" t="s">
        <v>1586</v>
      </c>
      <c r="E47" s="19">
        <v>45920</v>
      </c>
      <c r="F47" s="18" t="s">
        <v>1587</v>
      </c>
      <c r="G47" s="18" t="s">
        <v>1588</v>
      </c>
      <c r="H47" s="18" t="s">
        <v>1589</v>
      </c>
      <c r="I47" s="18" t="s">
        <v>149</v>
      </c>
      <c r="J47" s="18" t="s">
        <v>1680</v>
      </c>
    </row>
    <row r="48" spans="1:10">
      <c r="A48" s="18" t="s">
        <v>1681</v>
      </c>
      <c r="B48" s="18" t="s">
        <v>531</v>
      </c>
      <c r="C48" s="18" t="s">
        <v>1585</v>
      </c>
      <c r="D48" s="18" t="s">
        <v>1586</v>
      </c>
      <c r="E48" s="19">
        <v>45921</v>
      </c>
      <c r="F48" s="18" t="s">
        <v>1587</v>
      </c>
      <c r="G48" s="18" t="s">
        <v>1588</v>
      </c>
      <c r="H48" s="18" t="s">
        <v>1589</v>
      </c>
      <c r="I48" s="18" t="s">
        <v>162</v>
      </c>
      <c r="J48" s="18" t="s">
        <v>1682</v>
      </c>
    </row>
    <row r="49" spans="1:10">
      <c r="A49" s="18" t="s">
        <v>1683</v>
      </c>
      <c r="B49" s="18" t="s">
        <v>539</v>
      </c>
      <c r="C49" s="18" t="s">
        <v>1585</v>
      </c>
      <c r="D49" s="18" t="s">
        <v>1586</v>
      </c>
      <c r="E49" s="19">
        <v>45922</v>
      </c>
      <c r="F49" s="18" t="s">
        <v>1587</v>
      </c>
      <c r="G49" s="18" t="s">
        <v>1588</v>
      </c>
      <c r="H49" s="18" t="s">
        <v>1589</v>
      </c>
      <c r="I49" s="18" t="s">
        <v>176</v>
      </c>
      <c r="J49" s="18" t="s">
        <v>1684</v>
      </c>
    </row>
    <row r="50" spans="1:10">
      <c r="A50" s="18" t="s">
        <v>1685</v>
      </c>
      <c r="B50" s="18" t="s">
        <v>547</v>
      </c>
      <c r="C50" s="18" t="s">
        <v>1585</v>
      </c>
      <c r="D50" s="18" t="s">
        <v>1586</v>
      </c>
      <c r="E50" s="19">
        <v>45923</v>
      </c>
      <c r="F50" s="18" t="s">
        <v>1587</v>
      </c>
      <c r="G50" s="18" t="s">
        <v>1588</v>
      </c>
      <c r="H50" s="18" t="s">
        <v>1589</v>
      </c>
      <c r="I50" s="18" t="s">
        <v>98</v>
      </c>
      <c r="J50" s="18" t="s">
        <v>1686</v>
      </c>
    </row>
    <row r="51" spans="1:10">
      <c r="A51" s="18" t="s">
        <v>1687</v>
      </c>
      <c r="B51" s="18" t="s">
        <v>555</v>
      </c>
      <c r="C51" s="18" t="s">
        <v>1585</v>
      </c>
      <c r="D51" s="18" t="s">
        <v>1586</v>
      </c>
      <c r="E51" s="19">
        <v>45924</v>
      </c>
      <c r="F51" s="18" t="s">
        <v>1587</v>
      </c>
      <c r="G51" s="18" t="s">
        <v>1588</v>
      </c>
      <c r="H51" s="18" t="s">
        <v>1589</v>
      </c>
      <c r="I51" s="18" t="s">
        <v>118</v>
      </c>
      <c r="J51" s="18" t="s">
        <v>1688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F6F9F"/>
  </sheetPr>
  <dimension ref="A1:J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14" customWidth="1"/>
    <col min="4" max="4" width="10" customWidth="1"/>
    <col min="5" max="5" width="20" customWidth="1"/>
    <col min="6" max="6" width="24" customWidth="1"/>
    <col min="7" max="7" width="30" customWidth="1"/>
    <col min="8" max="8" width="16" customWidth="1"/>
    <col min="9" max="9" width="30" customWidth="1"/>
    <col min="10" max="10" width="14" customWidth="1"/>
  </cols>
  <sheetData>
    <row r="1" spans="1:10" ht="30" customHeight="1">
      <c r="A1" s="17" t="s">
        <v>1689</v>
      </c>
      <c r="B1" s="17" t="s">
        <v>66</v>
      </c>
      <c r="C1" s="17" t="s">
        <v>564</v>
      </c>
      <c r="D1" s="17" t="s">
        <v>1690</v>
      </c>
      <c r="E1" s="17" t="s">
        <v>566</v>
      </c>
      <c r="F1" s="17" t="s">
        <v>567</v>
      </c>
      <c r="G1" s="17" t="s">
        <v>43</v>
      </c>
      <c r="H1" s="17" t="s">
        <v>58</v>
      </c>
      <c r="I1" s="17" t="s">
        <v>63</v>
      </c>
      <c r="J1" s="17" t="s">
        <v>1691</v>
      </c>
    </row>
    <row r="2" spans="1:10">
      <c r="A2" s="18" t="s">
        <v>1692</v>
      </c>
      <c r="B2" s="18" t="s">
        <v>35</v>
      </c>
      <c r="C2" s="19">
        <v>46300</v>
      </c>
      <c r="D2" s="18" t="s">
        <v>1693</v>
      </c>
      <c r="E2" s="18" t="s">
        <v>575</v>
      </c>
      <c r="F2" s="18" t="s">
        <v>98</v>
      </c>
      <c r="G2" s="18" t="s">
        <v>576</v>
      </c>
      <c r="H2" s="18" t="s">
        <v>1694</v>
      </c>
      <c r="I2" s="18" t="s">
        <v>1695</v>
      </c>
      <c r="J2" s="18" t="s">
        <v>1696</v>
      </c>
    </row>
    <row r="3" spans="1:10">
      <c r="A3" s="18" t="s">
        <v>1697</v>
      </c>
      <c r="B3" s="18" t="s">
        <v>107</v>
      </c>
      <c r="C3" s="19">
        <v>46301</v>
      </c>
      <c r="D3" s="18" t="s">
        <v>1698</v>
      </c>
      <c r="E3" s="18" t="s">
        <v>575</v>
      </c>
      <c r="F3" s="18" t="s">
        <v>118</v>
      </c>
      <c r="G3" s="18" t="s">
        <v>593</v>
      </c>
      <c r="H3" s="18" t="s">
        <v>1694</v>
      </c>
      <c r="I3" s="18" t="s">
        <v>1695</v>
      </c>
      <c r="J3" s="18" t="s">
        <v>1696</v>
      </c>
    </row>
    <row r="4" spans="1:10">
      <c r="A4" s="18" t="s">
        <v>1699</v>
      </c>
      <c r="B4" s="18" t="s">
        <v>125</v>
      </c>
      <c r="C4" s="19">
        <v>46302</v>
      </c>
      <c r="D4" s="18" t="s">
        <v>1700</v>
      </c>
      <c r="E4" s="18" t="s">
        <v>575</v>
      </c>
      <c r="F4" s="18" t="s">
        <v>134</v>
      </c>
      <c r="G4" s="18" t="s">
        <v>601</v>
      </c>
      <c r="H4" s="18" t="s">
        <v>1694</v>
      </c>
      <c r="I4" s="18" t="s">
        <v>1695</v>
      </c>
      <c r="J4" s="18" t="s">
        <v>1696</v>
      </c>
    </row>
    <row r="5" spans="1:10">
      <c r="A5" s="18" t="s">
        <v>1701</v>
      </c>
      <c r="B5" s="18" t="s">
        <v>141</v>
      </c>
      <c r="C5" s="19">
        <v>46303</v>
      </c>
      <c r="D5" s="18" t="s">
        <v>1702</v>
      </c>
      <c r="E5" s="18" t="s">
        <v>575</v>
      </c>
      <c r="F5" s="18" t="s">
        <v>149</v>
      </c>
      <c r="G5" s="18" t="s">
        <v>609</v>
      </c>
      <c r="H5" s="18" t="s">
        <v>1694</v>
      </c>
      <c r="I5" s="18" t="s">
        <v>1695</v>
      </c>
      <c r="J5" s="18" t="s">
        <v>1696</v>
      </c>
    </row>
    <row r="6" spans="1:10">
      <c r="A6" s="18" t="s">
        <v>1703</v>
      </c>
      <c r="B6" s="18" t="s">
        <v>155</v>
      </c>
      <c r="C6" s="19">
        <v>46304</v>
      </c>
      <c r="D6" s="18" t="s">
        <v>1704</v>
      </c>
      <c r="E6" s="18" t="s">
        <v>575</v>
      </c>
      <c r="F6" s="18" t="s">
        <v>162</v>
      </c>
      <c r="G6" s="18" t="s">
        <v>576</v>
      </c>
      <c r="H6" s="18" t="s">
        <v>1694</v>
      </c>
      <c r="I6" s="18" t="s">
        <v>1695</v>
      </c>
      <c r="J6" s="18" t="s">
        <v>1696</v>
      </c>
    </row>
    <row r="7" spans="1:10">
      <c r="A7" s="18" t="s">
        <v>1705</v>
      </c>
      <c r="B7" s="18" t="s">
        <v>169</v>
      </c>
      <c r="C7" s="19">
        <v>46305</v>
      </c>
      <c r="D7" s="18" t="s">
        <v>1706</v>
      </c>
      <c r="E7" s="18" t="s">
        <v>575</v>
      </c>
      <c r="F7" s="18" t="s">
        <v>176</v>
      </c>
      <c r="G7" s="18" t="s">
        <v>593</v>
      </c>
      <c r="H7" s="18" t="s">
        <v>1694</v>
      </c>
      <c r="I7" s="18" t="s">
        <v>1695</v>
      </c>
      <c r="J7" s="18" t="s">
        <v>1696</v>
      </c>
    </row>
    <row r="8" spans="1:10">
      <c r="A8" s="18" t="s">
        <v>1707</v>
      </c>
      <c r="B8" s="18" t="s">
        <v>183</v>
      </c>
      <c r="C8" s="19">
        <v>46306</v>
      </c>
      <c r="D8" s="18" t="s">
        <v>1708</v>
      </c>
      <c r="E8" s="18" t="s">
        <v>575</v>
      </c>
      <c r="F8" s="18" t="s">
        <v>98</v>
      </c>
      <c r="G8" s="18" t="s">
        <v>601</v>
      </c>
      <c r="H8" s="18" t="s">
        <v>1694</v>
      </c>
      <c r="I8" s="18" t="s">
        <v>1695</v>
      </c>
      <c r="J8" s="18" t="s">
        <v>1696</v>
      </c>
    </row>
    <row r="9" spans="1:10">
      <c r="A9" s="18" t="s">
        <v>1709</v>
      </c>
      <c r="B9" s="18" t="s">
        <v>194</v>
      </c>
      <c r="C9" s="19">
        <v>46307</v>
      </c>
      <c r="D9" s="18" t="s">
        <v>1710</v>
      </c>
      <c r="E9" s="18" t="s">
        <v>575</v>
      </c>
      <c r="F9" s="18" t="s">
        <v>118</v>
      </c>
      <c r="G9" s="18" t="s">
        <v>609</v>
      </c>
      <c r="H9" s="18" t="s">
        <v>1694</v>
      </c>
      <c r="I9" s="18" t="s">
        <v>1695</v>
      </c>
      <c r="J9" s="18" t="s">
        <v>1696</v>
      </c>
    </row>
    <row r="10" spans="1:10">
      <c r="A10" s="18" t="s">
        <v>1711</v>
      </c>
      <c r="B10" s="18" t="s">
        <v>204</v>
      </c>
      <c r="C10" s="19">
        <v>46308</v>
      </c>
      <c r="D10" s="18" t="s">
        <v>1712</v>
      </c>
      <c r="E10" s="18" t="s">
        <v>575</v>
      </c>
      <c r="F10" s="18" t="s">
        <v>134</v>
      </c>
      <c r="G10" s="18" t="s">
        <v>576</v>
      </c>
      <c r="H10" s="18" t="s">
        <v>1694</v>
      </c>
      <c r="I10" s="18" t="s">
        <v>1695</v>
      </c>
      <c r="J10" s="18" t="s">
        <v>1696</v>
      </c>
    </row>
    <row r="11" spans="1:10">
      <c r="A11" s="18" t="s">
        <v>1713</v>
      </c>
      <c r="B11" s="18" t="s">
        <v>215</v>
      </c>
      <c r="C11" s="19">
        <v>46309</v>
      </c>
      <c r="D11" s="18" t="s">
        <v>1693</v>
      </c>
      <c r="E11" s="18" t="s">
        <v>575</v>
      </c>
      <c r="F11" s="18" t="s">
        <v>149</v>
      </c>
      <c r="G11" s="18" t="s">
        <v>593</v>
      </c>
      <c r="H11" s="18" t="s">
        <v>1694</v>
      </c>
      <c r="I11" s="18" t="s">
        <v>1695</v>
      </c>
      <c r="J11" s="18" t="s">
        <v>1696</v>
      </c>
    </row>
    <row r="12" spans="1:10">
      <c r="A12" s="18" t="s">
        <v>1714</v>
      </c>
      <c r="B12" s="18" t="s">
        <v>226</v>
      </c>
      <c r="C12" s="19">
        <v>46310</v>
      </c>
      <c r="D12" s="18" t="s">
        <v>1698</v>
      </c>
      <c r="E12" s="18" t="s">
        <v>575</v>
      </c>
      <c r="F12" s="18" t="s">
        <v>162</v>
      </c>
      <c r="G12" s="18" t="s">
        <v>601</v>
      </c>
      <c r="H12" s="18" t="s">
        <v>1694</v>
      </c>
      <c r="I12" s="18" t="s">
        <v>1695</v>
      </c>
      <c r="J12" s="18" t="s">
        <v>1696</v>
      </c>
    </row>
    <row r="13" spans="1:10">
      <c r="A13" s="18" t="s">
        <v>1715</v>
      </c>
      <c r="B13" s="18" t="s">
        <v>237</v>
      </c>
      <c r="C13" s="19">
        <v>46311</v>
      </c>
      <c r="D13" s="18" t="s">
        <v>1700</v>
      </c>
      <c r="E13" s="18" t="s">
        <v>575</v>
      </c>
      <c r="F13" s="18" t="s">
        <v>176</v>
      </c>
      <c r="G13" s="18" t="s">
        <v>609</v>
      </c>
      <c r="H13" s="18" t="s">
        <v>1694</v>
      </c>
      <c r="I13" s="18" t="s">
        <v>1695</v>
      </c>
      <c r="J13" s="18" t="s">
        <v>1696</v>
      </c>
    </row>
    <row r="14" spans="1:10">
      <c r="A14" s="18" t="s">
        <v>1716</v>
      </c>
      <c r="B14" s="18" t="s">
        <v>248</v>
      </c>
      <c r="C14" s="19">
        <v>46312</v>
      </c>
      <c r="D14" s="18" t="s">
        <v>1702</v>
      </c>
      <c r="E14" s="18" t="s">
        <v>575</v>
      </c>
      <c r="F14" s="18" t="s">
        <v>98</v>
      </c>
      <c r="G14" s="18" t="s">
        <v>576</v>
      </c>
      <c r="H14" s="18" t="s">
        <v>1694</v>
      </c>
      <c r="I14" s="18" t="s">
        <v>1695</v>
      </c>
      <c r="J14" s="18" t="s">
        <v>1696</v>
      </c>
    </row>
    <row r="15" spans="1:10">
      <c r="A15" s="18" t="s">
        <v>1717</v>
      </c>
      <c r="B15" s="18" t="s">
        <v>259</v>
      </c>
      <c r="C15" s="19">
        <v>46313</v>
      </c>
      <c r="D15" s="18" t="s">
        <v>1704</v>
      </c>
      <c r="E15" s="18" t="s">
        <v>575</v>
      </c>
      <c r="F15" s="18" t="s">
        <v>118</v>
      </c>
      <c r="G15" s="18" t="s">
        <v>593</v>
      </c>
      <c r="H15" s="18" t="s">
        <v>1694</v>
      </c>
      <c r="I15" s="18" t="s">
        <v>1695</v>
      </c>
      <c r="J15" s="18" t="s">
        <v>1696</v>
      </c>
    </row>
    <row r="16" spans="1:10">
      <c r="A16" s="18" t="s">
        <v>1718</v>
      </c>
      <c r="B16" s="18" t="s">
        <v>270</v>
      </c>
      <c r="C16" s="19">
        <v>46314</v>
      </c>
      <c r="D16" s="18" t="s">
        <v>1706</v>
      </c>
      <c r="E16" s="18" t="s">
        <v>575</v>
      </c>
      <c r="F16" s="18" t="s">
        <v>134</v>
      </c>
      <c r="G16" s="18" t="s">
        <v>601</v>
      </c>
      <c r="H16" s="18" t="s">
        <v>1694</v>
      </c>
      <c r="I16" s="18" t="s">
        <v>1695</v>
      </c>
      <c r="J16" s="18" t="s">
        <v>1696</v>
      </c>
    </row>
    <row r="17" spans="1:10">
      <c r="A17" s="18" t="s">
        <v>1719</v>
      </c>
      <c r="B17" s="18" t="s">
        <v>281</v>
      </c>
      <c r="C17" s="19">
        <v>46315</v>
      </c>
      <c r="D17" s="18" t="s">
        <v>1708</v>
      </c>
      <c r="E17" s="18" t="s">
        <v>575</v>
      </c>
      <c r="F17" s="18" t="s">
        <v>149</v>
      </c>
      <c r="G17" s="18" t="s">
        <v>609</v>
      </c>
      <c r="H17" s="18" t="s">
        <v>1694</v>
      </c>
      <c r="I17" s="18" t="s">
        <v>1695</v>
      </c>
      <c r="J17" s="18" t="s">
        <v>1696</v>
      </c>
    </row>
    <row r="18" spans="1:10">
      <c r="A18" s="18" t="s">
        <v>1720</v>
      </c>
      <c r="B18" s="18" t="s">
        <v>292</v>
      </c>
      <c r="C18" s="19">
        <v>46316</v>
      </c>
      <c r="D18" s="18" t="s">
        <v>1710</v>
      </c>
      <c r="E18" s="18" t="s">
        <v>575</v>
      </c>
      <c r="F18" s="18" t="s">
        <v>162</v>
      </c>
      <c r="G18" s="18" t="s">
        <v>576</v>
      </c>
      <c r="H18" s="18" t="s">
        <v>1694</v>
      </c>
      <c r="I18" s="18" t="s">
        <v>1695</v>
      </c>
      <c r="J18" s="18" t="s">
        <v>1696</v>
      </c>
    </row>
    <row r="19" spans="1:10">
      <c r="A19" s="18" t="s">
        <v>1721</v>
      </c>
      <c r="B19" s="18" t="s">
        <v>303</v>
      </c>
      <c r="C19" s="19">
        <v>46317</v>
      </c>
      <c r="D19" s="18" t="s">
        <v>1712</v>
      </c>
      <c r="E19" s="18" t="s">
        <v>575</v>
      </c>
      <c r="F19" s="18" t="s">
        <v>176</v>
      </c>
      <c r="G19" s="18" t="s">
        <v>593</v>
      </c>
      <c r="H19" s="18" t="s">
        <v>1694</v>
      </c>
      <c r="I19" s="18" t="s">
        <v>1695</v>
      </c>
      <c r="J19" s="18" t="s">
        <v>1696</v>
      </c>
    </row>
    <row r="20" spans="1:10">
      <c r="A20" s="18" t="s">
        <v>1722</v>
      </c>
      <c r="B20" s="18" t="s">
        <v>313</v>
      </c>
      <c r="C20" s="19">
        <v>46318</v>
      </c>
      <c r="D20" s="18" t="s">
        <v>1693</v>
      </c>
      <c r="E20" s="18" t="s">
        <v>575</v>
      </c>
      <c r="F20" s="18" t="s">
        <v>98</v>
      </c>
      <c r="G20" s="18" t="s">
        <v>601</v>
      </c>
      <c r="H20" s="18" t="s">
        <v>1694</v>
      </c>
      <c r="I20" s="18" t="s">
        <v>1695</v>
      </c>
      <c r="J20" s="18" t="s">
        <v>1696</v>
      </c>
    </row>
    <row r="21" spans="1:10">
      <c r="A21" s="18" t="s">
        <v>1723</v>
      </c>
      <c r="B21" s="18" t="s">
        <v>324</v>
      </c>
      <c r="C21" s="19">
        <v>46319</v>
      </c>
      <c r="D21" s="18" t="s">
        <v>1698</v>
      </c>
      <c r="E21" s="18" t="s">
        <v>575</v>
      </c>
      <c r="F21" s="18" t="s">
        <v>118</v>
      </c>
      <c r="G21" s="18" t="s">
        <v>609</v>
      </c>
      <c r="H21" s="18" t="s">
        <v>1694</v>
      </c>
      <c r="I21" s="18" t="s">
        <v>1695</v>
      </c>
      <c r="J21" s="18" t="s">
        <v>1696</v>
      </c>
    </row>
    <row r="22" spans="1:10">
      <c r="A22" s="18" t="s">
        <v>1724</v>
      </c>
      <c r="B22" s="18" t="s">
        <v>335</v>
      </c>
      <c r="C22" s="19">
        <v>46320</v>
      </c>
      <c r="D22" s="18" t="s">
        <v>1700</v>
      </c>
      <c r="E22" s="18" t="s">
        <v>575</v>
      </c>
      <c r="F22" s="18" t="s">
        <v>134</v>
      </c>
      <c r="G22" s="18" t="s">
        <v>576</v>
      </c>
      <c r="H22" s="18" t="s">
        <v>1694</v>
      </c>
      <c r="I22" s="18" t="s">
        <v>1695</v>
      </c>
      <c r="J22" s="18" t="s">
        <v>1696</v>
      </c>
    </row>
    <row r="23" spans="1:10">
      <c r="A23" s="18" t="s">
        <v>1725</v>
      </c>
      <c r="B23" s="18" t="s">
        <v>342</v>
      </c>
      <c r="C23" s="19">
        <v>46321</v>
      </c>
      <c r="D23" s="18" t="s">
        <v>1702</v>
      </c>
      <c r="E23" s="18" t="s">
        <v>575</v>
      </c>
      <c r="F23" s="18" t="s">
        <v>149</v>
      </c>
      <c r="G23" s="18" t="s">
        <v>593</v>
      </c>
      <c r="H23" s="18" t="s">
        <v>1694</v>
      </c>
      <c r="I23" s="18" t="s">
        <v>1695</v>
      </c>
      <c r="J23" s="18" t="s">
        <v>1696</v>
      </c>
    </row>
    <row r="24" spans="1:10">
      <c r="A24" s="18" t="s">
        <v>1726</v>
      </c>
      <c r="B24" s="18" t="s">
        <v>350</v>
      </c>
      <c r="C24" s="19">
        <v>46322</v>
      </c>
      <c r="D24" s="18" t="s">
        <v>1704</v>
      </c>
      <c r="E24" s="18" t="s">
        <v>575</v>
      </c>
      <c r="F24" s="18" t="s">
        <v>162</v>
      </c>
      <c r="G24" s="18" t="s">
        <v>601</v>
      </c>
      <c r="H24" s="18" t="s">
        <v>1694</v>
      </c>
      <c r="I24" s="18" t="s">
        <v>1695</v>
      </c>
      <c r="J24" s="18" t="s">
        <v>1696</v>
      </c>
    </row>
    <row r="25" spans="1:10">
      <c r="A25" s="18" t="s">
        <v>1727</v>
      </c>
      <c r="B25" s="18" t="s">
        <v>356</v>
      </c>
      <c r="C25" s="19">
        <v>46323</v>
      </c>
      <c r="D25" s="18" t="s">
        <v>1706</v>
      </c>
      <c r="E25" s="18" t="s">
        <v>575</v>
      </c>
      <c r="F25" s="18" t="s">
        <v>176</v>
      </c>
      <c r="G25" s="18" t="s">
        <v>609</v>
      </c>
      <c r="H25" s="18" t="s">
        <v>1694</v>
      </c>
      <c r="I25" s="18" t="s">
        <v>1695</v>
      </c>
      <c r="J25" s="18" t="s">
        <v>1696</v>
      </c>
    </row>
    <row r="26" spans="1:10">
      <c r="A26" s="18" t="s">
        <v>1728</v>
      </c>
      <c r="B26" s="18" t="s">
        <v>364</v>
      </c>
      <c r="C26" s="19">
        <v>46324</v>
      </c>
      <c r="D26" s="18" t="s">
        <v>1708</v>
      </c>
      <c r="E26" s="18" t="s">
        <v>575</v>
      </c>
      <c r="F26" s="18" t="s">
        <v>98</v>
      </c>
      <c r="G26" s="18" t="s">
        <v>576</v>
      </c>
      <c r="H26" s="18" t="s">
        <v>1694</v>
      </c>
      <c r="I26" s="18" t="s">
        <v>1695</v>
      </c>
      <c r="J26" s="18" t="s">
        <v>1696</v>
      </c>
    </row>
    <row r="27" spans="1:10">
      <c r="A27" s="18" t="s">
        <v>1729</v>
      </c>
      <c r="B27" s="18" t="s">
        <v>371</v>
      </c>
      <c r="C27" s="19">
        <v>46300</v>
      </c>
      <c r="D27" s="18" t="s">
        <v>1710</v>
      </c>
      <c r="E27" s="18" t="s">
        <v>575</v>
      </c>
      <c r="F27" s="18" t="s">
        <v>118</v>
      </c>
      <c r="G27" s="18" t="s">
        <v>593</v>
      </c>
      <c r="H27" s="18" t="s">
        <v>1694</v>
      </c>
      <c r="I27" s="18" t="s">
        <v>1695</v>
      </c>
      <c r="J27" s="18" t="s">
        <v>1696</v>
      </c>
    </row>
    <row r="28" spans="1:10">
      <c r="A28" s="18" t="s">
        <v>1730</v>
      </c>
      <c r="B28" s="18" t="s">
        <v>379</v>
      </c>
      <c r="C28" s="19">
        <v>46301</v>
      </c>
      <c r="D28" s="18" t="s">
        <v>1712</v>
      </c>
      <c r="E28" s="18" t="s">
        <v>575</v>
      </c>
      <c r="F28" s="18" t="s">
        <v>134</v>
      </c>
      <c r="G28" s="18" t="s">
        <v>601</v>
      </c>
      <c r="H28" s="18" t="s">
        <v>1694</v>
      </c>
      <c r="I28" s="18" t="s">
        <v>1695</v>
      </c>
      <c r="J28" s="18" t="s">
        <v>1696</v>
      </c>
    </row>
    <row r="29" spans="1:10">
      <c r="A29" s="18" t="s">
        <v>1731</v>
      </c>
      <c r="B29" s="18" t="s">
        <v>386</v>
      </c>
      <c r="C29" s="19">
        <v>46302</v>
      </c>
      <c r="D29" s="18" t="s">
        <v>1693</v>
      </c>
      <c r="E29" s="18" t="s">
        <v>575</v>
      </c>
      <c r="F29" s="18" t="s">
        <v>149</v>
      </c>
      <c r="G29" s="18" t="s">
        <v>609</v>
      </c>
      <c r="H29" s="18" t="s">
        <v>1694</v>
      </c>
      <c r="I29" s="18" t="s">
        <v>1695</v>
      </c>
      <c r="J29" s="18" t="s">
        <v>1696</v>
      </c>
    </row>
    <row r="30" spans="1:10">
      <c r="A30" s="18" t="s">
        <v>1732</v>
      </c>
      <c r="B30" s="18" t="s">
        <v>393</v>
      </c>
      <c r="C30" s="19">
        <v>46303</v>
      </c>
      <c r="D30" s="18" t="s">
        <v>1698</v>
      </c>
      <c r="E30" s="18" t="s">
        <v>575</v>
      </c>
      <c r="F30" s="18" t="s">
        <v>162</v>
      </c>
      <c r="G30" s="18" t="s">
        <v>576</v>
      </c>
      <c r="H30" s="18" t="s">
        <v>1694</v>
      </c>
      <c r="I30" s="18" t="s">
        <v>1695</v>
      </c>
      <c r="J30" s="18" t="s">
        <v>1696</v>
      </c>
    </row>
    <row r="31" spans="1:10">
      <c r="A31" s="18" t="s">
        <v>1733</v>
      </c>
      <c r="B31" s="18" t="s">
        <v>400</v>
      </c>
      <c r="C31" s="19">
        <v>46304</v>
      </c>
      <c r="D31" s="18" t="s">
        <v>1700</v>
      </c>
      <c r="E31" s="18" t="s">
        <v>575</v>
      </c>
      <c r="F31" s="18" t="s">
        <v>176</v>
      </c>
      <c r="G31" s="18" t="s">
        <v>593</v>
      </c>
      <c r="H31" s="18" t="s">
        <v>1694</v>
      </c>
      <c r="I31" s="18" t="s">
        <v>1695</v>
      </c>
      <c r="J31" s="18" t="s">
        <v>1696</v>
      </c>
    </row>
    <row r="32" spans="1:10">
      <c r="A32" s="18" t="s">
        <v>1734</v>
      </c>
      <c r="B32" s="18" t="s">
        <v>408</v>
      </c>
      <c r="C32" s="19">
        <v>46305</v>
      </c>
      <c r="D32" s="18" t="s">
        <v>1702</v>
      </c>
      <c r="E32" s="18" t="s">
        <v>575</v>
      </c>
      <c r="F32" s="18" t="s">
        <v>98</v>
      </c>
      <c r="G32" s="18" t="s">
        <v>601</v>
      </c>
      <c r="H32" s="18" t="s">
        <v>1694</v>
      </c>
      <c r="I32" s="18" t="s">
        <v>1695</v>
      </c>
      <c r="J32" s="18" t="s">
        <v>1696</v>
      </c>
    </row>
    <row r="33" spans="1:10">
      <c r="A33" s="18" t="s">
        <v>1735</v>
      </c>
      <c r="B33" s="18" t="s">
        <v>415</v>
      </c>
      <c r="C33" s="19">
        <v>46306</v>
      </c>
      <c r="D33" s="18" t="s">
        <v>1704</v>
      </c>
      <c r="E33" s="18" t="s">
        <v>575</v>
      </c>
      <c r="F33" s="18" t="s">
        <v>118</v>
      </c>
      <c r="G33" s="18" t="s">
        <v>609</v>
      </c>
      <c r="H33" s="18" t="s">
        <v>1694</v>
      </c>
      <c r="I33" s="18" t="s">
        <v>1695</v>
      </c>
      <c r="J33" s="18" t="s">
        <v>1696</v>
      </c>
    </row>
    <row r="34" spans="1:10">
      <c r="A34" s="18" t="s">
        <v>1736</v>
      </c>
      <c r="B34" s="18" t="s">
        <v>423</v>
      </c>
      <c r="C34" s="19">
        <v>46307</v>
      </c>
      <c r="D34" s="18" t="s">
        <v>1706</v>
      </c>
      <c r="E34" s="18" t="s">
        <v>575</v>
      </c>
      <c r="F34" s="18" t="s">
        <v>134</v>
      </c>
      <c r="G34" s="18" t="s">
        <v>576</v>
      </c>
      <c r="H34" s="18" t="s">
        <v>1694</v>
      </c>
      <c r="I34" s="18" t="s">
        <v>1695</v>
      </c>
      <c r="J34" s="18" t="s">
        <v>1696</v>
      </c>
    </row>
    <row r="35" spans="1:10">
      <c r="A35" s="18" t="s">
        <v>1737</v>
      </c>
      <c r="B35" s="18" t="s">
        <v>430</v>
      </c>
      <c r="C35" s="19">
        <v>46308</v>
      </c>
      <c r="D35" s="18" t="s">
        <v>1708</v>
      </c>
      <c r="E35" s="18" t="s">
        <v>575</v>
      </c>
      <c r="F35" s="18" t="s">
        <v>149</v>
      </c>
      <c r="G35" s="18" t="s">
        <v>593</v>
      </c>
      <c r="H35" s="18" t="s">
        <v>1694</v>
      </c>
      <c r="I35" s="18" t="s">
        <v>1695</v>
      </c>
      <c r="J35" s="18" t="s">
        <v>1696</v>
      </c>
    </row>
    <row r="36" spans="1:10">
      <c r="A36" s="18" t="s">
        <v>1738</v>
      </c>
      <c r="B36" s="18" t="s">
        <v>438</v>
      </c>
      <c r="C36" s="19">
        <v>46309</v>
      </c>
      <c r="D36" s="18" t="s">
        <v>1710</v>
      </c>
      <c r="E36" s="18" t="s">
        <v>575</v>
      </c>
      <c r="F36" s="18" t="s">
        <v>162</v>
      </c>
      <c r="G36" s="18" t="s">
        <v>601</v>
      </c>
      <c r="H36" s="18" t="s">
        <v>1694</v>
      </c>
      <c r="I36" s="18" t="s">
        <v>1695</v>
      </c>
      <c r="J36" s="18" t="s">
        <v>1696</v>
      </c>
    </row>
    <row r="37" spans="1:10">
      <c r="A37" s="18" t="s">
        <v>1739</v>
      </c>
      <c r="B37" s="18" t="s">
        <v>445</v>
      </c>
      <c r="C37" s="19">
        <v>46310</v>
      </c>
      <c r="D37" s="18" t="s">
        <v>1712</v>
      </c>
      <c r="E37" s="18" t="s">
        <v>575</v>
      </c>
      <c r="F37" s="18" t="s">
        <v>176</v>
      </c>
      <c r="G37" s="18" t="s">
        <v>609</v>
      </c>
      <c r="H37" s="18" t="s">
        <v>1694</v>
      </c>
      <c r="I37" s="18" t="s">
        <v>1695</v>
      </c>
      <c r="J37" s="18" t="s">
        <v>1696</v>
      </c>
    </row>
    <row r="38" spans="1:10">
      <c r="A38" s="18" t="s">
        <v>1740</v>
      </c>
      <c r="B38" s="18" t="s">
        <v>453</v>
      </c>
      <c r="C38" s="19">
        <v>46311</v>
      </c>
      <c r="D38" s="18" t="s">
        <v>1693</v>
      </c>
      <c r="E38" s="18" t="s">
        <v>575</v>
      </c>
      <c r="F38" s="18" t="s">
        <v>98</v>
      </c>
      <c r="G38" s="18" t="s">
        <v>576</v>
      </c>
      <c r="H38" s="18" t="s">
        <v>1694</v>
      </c>
      <c r="I38" s="18" t="s">
        <v>1695</v>
      </c>
      <c r="J38" s="18" t="s">
        <v>1696</v>
      </c>
    </row>
    <row r="39" spans="1:10">
      <c r="A39" s="18" t="s">
        <v>1741</v>
      </c>
      <c r="B39" s="18" t="s">
        <v>460</v>
      </c>
      <c r="C39" s="19">
        <v>46312</v>
      </c>
      <c r="D39" s="18" t="s">
        <v>1698</v>
      </c>
      <c r="E39" s="18" t="s">
        <v>575</v>
      </c>
      <c r="F39" s="18" t="s">
        <v>118</v>
      </c>
      <c r="G39" s="18" t="s">
        <v>593</v>
      </c>
      <c r="H39" s="18" t="s">
        <v>1694</v>
      </c>
      <c r="I39" s="18" t="s">
        <v>1695</v>
      </c>
      <c r="J39" s="18" t="s">
        <v>1696</v>
      </c>
    </row>
    <row r="40" spans="1:10">
      <c r="A40" s="18" t="s">
        <v>1742</v>
      </c>
      <c r="B40" s="18" t="s">
        <v>468</v>
      </c>
      <c r="C40" s="19">
        <v>46313</v>
      </c>
      <c r="D40" s="18" t="s">
        <v>1700</v>
      </c>
      <c r="E40" s="18" t="s">
        <v>575</v>
      </c>
      <c r="F40" s="18" t="s">
        <v>134</v>
      </c>
      <c r="G40" s="18" t="s">
        <v>601</v>
      </c>
      <c r="H40" s="18" t="s">
        <v>1694</v>
      </c>
      <c r="I40" s="18" t="s">
        <v>1695</v>
      </c>
      <c r="J40" s="18" t="s">
        <v>1696</v>
      </c>
    </row>
    <row r="41" spans="1:10">
      <c r="A41" s="18" t="s">
        <v>1743</v>
      </c>
      <c r="B41" s="18" t="s">
        <v>475</v>
      </c>
      <c r="C41" s="19">
        <v>46314</v>
      </c>
      <c r="D41" s="18" t="s">
        <v>1702</v>
      </c>
      <c r="E41" s="18" t="s">
        <v>575</v>
      </c>
      <c r="F41" s="18" t="s">
        <v>149</v>
      </c>
      <c r="G41" s="18" t="s">
        <v>609</v>
      </c>
      <c r="H41" s="18" t="s">
        <v>1694</v>
      </c>
      <c r="I41" s="18" t="s">
        <v>1695</v>
      </c>
      <c r="J41" s="18" t="s">
        <v>1696</v>
      </c>
    </row>
    <row r="42" spans="1:10">
      <c r="A42" s="18" t="s">
        <v>1744</v>
      </c>
      <c r="B42" s="18" t="s">
        <v>483</v>
      </c>
      <c r="C42" s="19">
        <v>46315</v>
      </c>
      <c r="D42" s="18" t="s">
        <v>1704</v>
      </c>
      <c r="E42" s="18" t="s">
        <v>575</v>
      </c>
      <c r="F42" s="18" t="s">
        <v>162</v>
      </c>
      <c r="G42" s="18" t="s">
        <v>576</v>
      </c>
      <c r="H42" s="18" t="s">
        <v>1694</v>
      </c>
      <c r="I42" s="18" t="s">
        <v>1695</v>
      </c>
      <c r="J42" s="18" t="s">
        <v>1696</v>
      </c>
    </row>
    <row r="43" spans="1:10">
      <c r="A43" s="18" t="s">
        <v>1745</v>
      </c>
      <c r="B43" s="18" t="s">
        <v>491</v>
      </c>
      <c r="C43" s="19">
        <v>46316</v>
      </c>
      <c r="D43" s="18" t="s">
        <v>1706</v>
      </c>
      <c r="E43" s="18" t="s">
        <v>575</v>
      </c>
      <c r="F43" s="18" t="s">
        <v>176</v>
      </c>
      <c r="G43" s="18" t="s">
        <v>593</v>
      </c>
      <c r="H43" s="18" t="s">
        <v>1694</v>
      </c>
      <c r="I43" s="18" t="s">
        <v>1695</v>
      </c>
      <c r="J43" s="18" t="s">
        <v>1696</v>
      </c>
    </row>
    <row r="44" spans="1:10">
      <c r="A44" s="18" t="s">
        <v>1746</v>
      </c>
      <c r="B44" s="18" t="s">
        <v>499</v>
      </c>
      <c r="C44" s="19">
        <v>46317</v>
      </c>
      <c r="D44" s="18" t="s">
        <v>1708</v>
      </c>
      <c r="E44" s="18" t="s">
        <v>575</v>
      </c>
      <c r="F44" s="18" t="s">
        <v>98</v>
      </c>
      <c r="G44" s="18" t="s">
        <v>601</v>
      </c>
      <c r="H44" s="18" t="s">
        <v>1694</v>
      </c>
      <c r="I44" s="18" t="s">
        <v>1695</v>
      </c>
      <c r="J44" s="18" t="s">
        <v>1696</v>
      </c>
    </row>
    <row r="45" spans="1:10">
      <c r="A45" s="18" t="s">
        <v>1747</v>
      </c>
      <c r="B45" s="18" t="s">
        <v>507</v>
      </c>
      <c r="C45" s="19">
        <v>46318</v>
      </c>
      <c r="D45" s="18" t="s">
        <v>1710</v>
      </c>
      <c r="E45" s="18" t="s">
        <v>575</v>
      </c>
      <c r="F45" s="18" t="s">
        <v>118</v>
      </c>
      <c r="G45" s="18" t="s">
        <v>609</v>
      </c>
      <c r="H45" s="18" t="s">
        <v>1694</v>
      </c>
      <c r="I45" s="18" t="s">
        <v>1695</v>
      </c>
      <c r="J45" s="18" t="s">
        <v>1696</v>
      </c>
    </row>
    <row r="46" spans="1:10">
      <c r="A46" s="18" t="s">
        <v>1748</v>
      </c>
      <c r="B46" s="18" t="s">
        <v>515</v>
      </c>
      <c r="C46" s="19">
        <v>46319</v>
      </c>
      <c r="D46" s="18" t="s">
        <v>1712</v>
      </c>
      <c r="E46" s="18" t="s">
        <v>575</v>
      </c>
      <c r="F46" s="18" t="s">
        <v>134</v>
      </c>
      <c r="G46" s="18" t="s">
        <v>576</v>
      </c>
      <c r="H46" s="18" t="s">
        <v>1694</v>
      </c>
      <c r="I46" s="18" t="s">
        <v>1695</v>
      </c>
      <c r="J46" s="18" t="s">
        <v>1696</v>
      </c>
    </row>
    <row r="47" spans="1:10">
      <c r="A47" s="18" t="s">
        <v>1749</v>
      </c>
      <c r="B47" s="18" t="s">
        <v>523</v>
      </c>
      <c r="C47" s="19">
        <v>46320</v>
      </c>
      <c r="D47" s="18" t="s">
        <v>1693</v>
      </c>
      <c r="E47" s="18" t="s">
        <v>575</v>
      </c>
      <c r="F47" s="18" t="s">
        <v>149</v>
      </c>
      <c r="G47" s="18" t="s">
        <v>593</v>
      </c>
      <c r="H47" s="18" t="s">
        <v>1694</v>
      </c>
      <c r="I47" s="18" t="s">
        <v>1695</v>
      </c>
      <c r="J47" s="18" t="s">
        <v>1696</v>
      </c>
    </row>
    <row r="48" spans="1:10">
      <c r="A48" s="18" t="s">
        <v>1750</v>
      </c>
      <c r="B48" s="18" t="s">
        <v>531</v>
      </c>
      <c r="C48" s="19">
        <v>46321</v>
      </c>
      <c r="D48" s="18" t="s">
        <v>1698</v>
      </c>
      <c r="E48" s="18" t="s">
        <v>575</v>
      </c>
      <c r="F48" s="18" t="s">
        <v>162</v>
      </c>
      <c r="G48" s="18" t="s">
        <v>601</v>
      </c>
      <c r="H48" s="18" t="s">
        <v>1694</v>
      </c>
      <c r="I48" s="18" t="s">
        <v>1695</v>
      </c>
      <c r="J48" s="18" t="s">
        <v>1696</v>
      </c>
    </row>
    <row r="49" spans="1:10">
      <c r="A49" s="18" t="s">
        <v>1751</v>
      </c>
      <c r="B49" s="18" t="s">
        <v>539</v>
      </c>
      <c r="C49" s="19">
        <v>46322</v>
      </c>
      <c r="D49" s="18" t="s">
        <v>1700</v>
      </c>
      <c r="E49" s="18" t="s">
        <v>575</v>
      </c>
      <c r="F49" s="18" t="s">
        <v>176</v>
      </c>
      <c r="G49" s="18" t="s">
        <v>609</v>
      </c>
      <c r="H49" s="18" t="s">
        <v>1694</v>
      </c>
      <c r="I49" s="18" t="s">
        <v>1695</v>
      </c>
      <c r="J49" s="18" t="s">
        <v>1696</v>
      </c>
    </row>
    <row r="50" spans="1:10">
      <c r="A50" s="18" t="s">
        <v>1752</v>
      </c>
      <c r="B50" s="18" t="s">
        <v>547</v>
      </c>
      <c r="C50" s="19">
        <v>46323</v>
      </c>
      <c r="D50" s="18" t="s">
        <v>1702</v>
      </c>
      <c r="E50" s="18" t="s">
        <v>575</v>
      </c>
      <c r="F50" s="18" t="s">
        <v>98</v>
      </c>
      <c r="G50" s="18" t="s">
        <v>576</v>
      </c>
      <c r="H50" s="18" t="s">
        <v>1694</v>
      </c>
      <c r="I50" s="18" t="s">
        <v>1695</v>
      </c>
      <c r="J50" s="18" t="s">
        <v>1696</v>
      </c>
    </row>
    <row r="51" spans="1:10">
      <c r="A51" s="18" t="s">
        <v>1753</v>
      </c>
      <c r="B51" s="18" t="s">
        <v>555</v>
      </c>
      <c r="C51" s="19">
        <v>46324</v>
      </c>
      <c r="D51" s="18" t="s">
        <v>1704</v>
      </c>
      <c r="E51" s="18" t="s">
        <v>575</v>
      </c>
      <c r="F51" s="18" t="s">
        <v>118</v>
      </c>
      <c r="G51" s="18" t="s">
        <v>593</v>
      </c>
      <c r="H51" s="18" t="s">
        <v>1694</v>
      </c>
      <c r="I51" s="18" t="s">
        <v>1695</v>
      </c>
      <c r="J51" s="18" t="s">
        <v>1696</v>
      </c>
    </row>
  </sheetData>
  <dataValidations count="1">
    <dataValidation type="list" sqref="H2:H1000" xr:uid="{00000000-0002-0000-0B00-000000000000}">
      <formula1>"Scheduled,Arrived,Completed,Cancelled,No-show"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183"/>
  </sheetPr>
  <dimension ref="A1:I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6" customWidth="1"/>
    <col min="4" max="4" width="18" customWidth="1"/>
    <col min="5" max="5" width="16" customWidth="1"/>
    <col min="6" max="6" width="24" customWidth="1"/>
    <col min="7" max="7" width="75" customWidth="1"/>
    <col min="8" max="8" width="14" customWidth="1"/>
    <col min="9" max="9" width="20" customWidth="1"/>
  </cols>
  <sheetData>
    <row r="1" spans="1:9" ht="30" customHeight="1">
      <c r="A1" s="17" t="s">
        <v>1754</v>
      </c>
      <c r="B1" s="17" t="s">
        <v>66</v>
      </c>
      <c r="C1" s="17" t="s">
        <v>563</v>
      </c>
      <c r="D1" s="17" t="s">
        <v>1755</v>
      </c>
      <c r="E1" s="17" t="s">
        <v>1756</v>
      </c>
      <c r="F1" s="17" t="s">
        <v>1757</v>
      </c>
      <c r="G1" s="17" t="s">
        <v>1758</v>
      </c>
      <c r="H1" s="17" t="s">
        <v>58</v>
      </c>
      <c r="I1" s="17" t="s">
        <v>1759</v>
      </c>
    </row>
    <row r="2" spans="1:9">
      <c r="A2" s="18" t="s">
        <v>1760</v>
      </c>
      <c r="B2" s="18" t="s">
        <v>35</v>
      </c>
      <c r="C2" s="18" t="s">
        <v>573</v>
      </c>
      <c r="D2" s="18" t="s">
        <v>1761</v>
      </c>
      <c r="E2" s="19">
        <v>46285</v>
      </c>
      <c r="F2" s="18" t="s">
        <v>98</v>
      </c>
      <c r="G2" s="18" t="s">
        <v>1762</v>
      </c>
      <c r="H2" s="18" t="s">
        <v>1763</v>
      </c>
      <c r="I2" s="18" t="s">
        <v>1764</v>
      </c>
    </row>
    <row r="3" spans="1:9">
      <c r="A3" s="18" t="s">
        <v>1765</v>
      </c>
      <c r="B3" s="18" t="s">
        <v>107</v>
      </c>
      <c r="C3" s="18" t="s">
        <v>591</v>
      </c>
      <c r="D3" s="18" t="s">
        <v>1761</v>
      </c>
      <c r="E3" s="19">
        <v>46283</v>
      </c>
      <c r="F3" s="18" t="s">
        <v>118</v>
      </c>
      <c r="G3" s="18" t="s">
        <v>1766</v>
      </c>
      <c r="H3" s="18" t="s">
        <v>1763</v>
      </c>
      <c r="I3" s="18" t="s">
        <v>1764</v>
      </c>
    </row>
    <row r="4" spans="1:9">
      <c r="A4" s="18" t="s">
        <v>1767</v>
      </c>
      <c r="B4" s="18" t="s">
        <v>125</v>
      </c>
      <c r="C4" s="18" t="s">
        <v>599</v>
      </c>
      <c r="D4" s="18" t="s">
        <v>1761</v>
      </c>
      <c r="E4" s="19">
        <v>46281</v>
      </c>
      <c r="F4" s="18" t="s">
        <v>134</v>
      </c>
      <c r="G4" s="18" t="s">
        <v>1768</v>
      </c>
      <c r="H4" s="18" t="s">
        <v>1763</v>
      </c>
      <c r="I4" s="18" t="s">
        <v>1764</v>
      </c>
    </row>
    <row r="5" spans="1:9">
      <c r="A5" s="18" t="s">
        <v>1769</v>
      </c>
      <c r="B5" s="18" t="s">
        <v>141</v>
      </c>
      <c r="C5" s="18" t="s">
        <v>607</v>
      </c>
      <c r="D5" s="18" t="s">
        <v>1761</v>
      </c>
      <c r="E5" s="19">
        <v>46279</v>
      </c>
      <c r="F5" s="18" t="s">
        <v>149</v>
      </c>
      <c r="G5" s="18" t="s">
        <v>1770</v>
      </c>
      <c r="H5" s="18" t="s">
        <v>1763</v>
      </c>
      <c r="I5" s="18" t="s">
        <v>1764</v>
      </c>
    </row>
    <row r="6" spans="1:9">
      <c r="A6" s="18" t="s">
        <v>1771</v>
      </c>
      <c r="B6" s="18" t="s">
        <v>155</v>
      </c>
      <c r="C6" s="18" t="s">
        <v>615</v>
      </c>
      <c r="D6" s="18" t="s">
        <v>1761</v>
      </c>
      <c r="E6" s="19">
        <v>46277</v>
      </c>
      <c r="F6" s="18" t="s">
        <v>162</v>
      </c>
      <c r="G6" s="18" t="s">
        <v>1772</v>
      </c>
      <c r="H6" s="18" t="s">
        <v>1763</v>
      </c>
      <c r="I6" s="18" t="s">
        <v>1764</v>
      </c>
    </row>
    <row r="7" spans="1:9">
      <c r="A7" s="18" t="s">
        <v>1773</v>
      </c>
      <c r="B7" s="18" t="s">
        <v>169</v>
      </c>
      <c r="C7" s="18" t="s">
        <v>620</v>
      </c>
      <c r="D7" s="18" t="s">
        <v>1761</v>
      </c>
      <c r="E7" s="19">
        <v>46275</v>
      </c>
      <c r="F7" s="18" t="s">
        <v>176</v>
      </c>
      <c r="G7" s="18" t="s">
        <v>1774</v>
      </c>
      <c r="H7" s="18" t="s">
        <v>1763</v>
      </c>
      <c r="I7" s="18" t="s">
        <v>1764</v>
      </c>
    </row>
    <row r="8" spans="1:9">
      <c r="A8" s="18" t="s">
        <v>1775</v>
      </c>
      <c r="B8" s="18" t="s">
        <v>183</v>
      </c>
      <c r="C8" s="18" t="s">
        <v>625</v>
      </c>
      <c r="D8" s="18" t="s">
        <v>1761</v>
      </c>
      <c r="E8" s="19">
        <v>46273</v>
      </c>
      <c r="F8" s="18" t="s">
        <v>98</v>
      </c>
      <c r="G8" s="18" t="s">
        <v>1776</v>
      </c>
      <c r="H8" s="18" t="s">
        <v>1763</v>
      </c>
      <c r="I8" s="18" t="s">
        <v>1764</v>
      </c>
    </row>
    <row r="9" spans="1:9">
      <c r="A9" s="18" t="s">
        <v>1777</v>
      </c>
      <c r="B9" s="18" t="s">
        <v>194</v>
      </c>
      <c r="C9" s="18" t="s">
        <v>630</v>
      </c>
      <c r="D9" s="18" t="s">
        <v>1761</v>
      </c>
      <c r="E9" s="19">
        <v>46271</v>
      </c>
      <c r="F9" s="18" t="s">
        <v>118</v>
      </c>
      <c r="G9" s="18" t="s">
        <v>1778</v>
      </c>
      <c r="H9" s="18" t="s">
        <v>1763</v>
      </c>
      <c r="I9" s="18" t="s">
        <v>1764</v>
      </c>
    </row>
    <row r="10" spans="1:9">
      <c r="A10" s="18" t="s">
        <v>1779</v>
      </c>
      <c r="B10" s="18" t="s">
        <v>204</v>
      </c>
      <c r="C10" s="18" t="s">
        <v>635</v>
      </c>
      <c r="D10" s="18" t="s">
        <v>1761</v>
      </c>
      <c r="E10" s="19">
        <v>46269</v>
      </c>
      <c r="F10" s="18" t="s">
        <v>134</v>
      </c>
      <c r="G10" s="18" t="s">
        <v>1780</v>
      </c>
      <c r="H10" s="18" t="s">
        <v>1763</v>
      </c>
      <c r="I10" s="18" t="s">
        <v>1764</v>
      </c>
    </row>
    <row r="11" spans="1:9">
      <c r="A11" s="18" t="s">
        <v>1781</v>
      </c>
      <c r="B11" s="18" t="s">
        <v>215</v>
      </c>
      <c r="C11" s="18" t="s">
        <v>638</v>
      </c>
      <c r="D11" s="18" t="s">
        <v>1761</v>
      </c>
      <c r="E11" s="19">
        <v>46267</v>
      </c>
      <c r="F11" s="18" t="s">
        <v>149</v>
      </c>
      <c r="G11" s="18" t="s">
        <v>1782</v>
      </c>
      <c r="H11" s="18" t="s">
        <v>1763</v>
      </c>
      <c r="I11" s="18" t="s">
        <v>1764</v>
      </c>
    </row>
    <row r="12" spans="1:9">
      <c r="A12" s="18" t="s">
        <v>1783</v>
      </c>
      <c r="B12" s="18" t="s">
        <v>226</v>
      </c>
      <c r="C12" s="18" t="s">
        <v>641</v>
      </c>
      <c r="D12" s="18" t="s">
        <v>1761</v>
      </c>
      <c r="E12" s="19">
        <v>46265</v>
      </c>
      <c r="F12" s="18" t="s">
        <v>162</v>
      </c>
      <c r="G12" s="18" t="s">
        <v>1762</v>
      </c>
      <c r="H12" s="18" t="s">
        <v>1763</v>
      </c>
      <c r="I12" s="18" t="s">
        <v>1764</v>
      </c>
    </row>
    <row r="13" spans="1:9">
      <c r="A13" s="18" t="s">
        <v>1784</v>
      </c>
      <c r="B13" s="18" t="s">
        <v>237</v>
      </c>
      <c r="C13" s="18" t="s">
        <v>644</v>
      </c>
      <c r="D13" s="18" t="s">
        <v>1761</v>
      </c>
      <c r="E13" s="19">
        <v>46263</v>
      </c>
      <c r="F13" s="18" t="s">
        <v>176</v>
      </c>
      <c r="G13" s="18" t="s">
        <v>1766</v>
      </c>
      <c r="H13" s="18" t="s">
        <v>1763</v>
      </c>
      <c r="I13" s="18" t="s">
        <v>1764</v>
      </c>
    </row>
    <row r="14" spans="1:9">
      <c r="A14" s="18" t="s">
        <v>1785</v>
      </c>
      <c r="B14" s="18" t="s">
        <v>248</v>
      </c>
      <c r="C14" s="18" t="s">
        <v>647</v>
      </c>
      <c r="D14" s="18" t="s">
        <v>1761</v>
      </c>
      <c r="E14" s="19">
        <v>46261</v>
      </c>
      <c r="F14" s="18" t="s">
        <v>98</v>
      </c>
      <c r="G14" s="18" t="s">
        <v>1768</v>
      </c>
      <c r="H14" s="18" t="s">
        <v>1763</v>
      </c>
      <c r="I14" s="18" t="s">
        <v>1764</v>
      </c>
    </row>
    <row r="15" spans="1:9">
      <c r="A15" s="18" t="s">
        <v>1786</v>
      </c>
      <c r="B15" s="18" t="s">
        <v>259</v>
      </c>
      <c r="C15" s="18" t="s">
        <v>650</v>
      </c>
      <c r="D15" s="18" t="s">
        <v>1761</v>
      </c>
      <c r="E15" s="19">
        <v>46259</v>
      </c>
      <c r="F15" s="18" t="s">
        <v>118</v>
      </c>
      <c r="G15" s="18" t="s">
        <v>1770</v>
      </c>
      <c r="H15" s="18" t="s">
        <v>1763</v>
      </c>
      <c r="I15" s="18" t="s">
        <v>1764</v>
      </c>
    </row>
    <row r="16" spans="1:9">
      <c r="A16" s="18" t="s">
        <v>1787</v>
      </c>
      <c r="B16" s="18" t="s">
        <v>270</v>
      </c>
      <c r="C16" s="18" t="s">
        <v>653</v>
      </c>
      <c r="D16" s="18" t="s">
        <v>1761</v>
      </c>
      <c r="E16" s="19">
        <v>46257</v>
      </c>
      <c r="F16" s="18" t="s">
        <v>134</v>
      </c>
      <c r="G16" s="18" t="s">
        <v>1772</v>
      </c>
      <c r="H16" s="18" t="s">
        <v>1763</v>
      </c>
      <c r="I16" s="18" t="s">
        <v>1764</v>
      </c>
    </row>
    <row r="17" spans="1:9">
      <c r="A17" s="18" t="s">
        <v>1788</v>
      </c>
      <c r="B17" s="18" t="s">
        <v>281</v>
      </c>
      <c r="C17" s="18" t="s">
        <v>656</v>
      </c>
      <c r="D17" s="18" t="s">
        <v>1761</v>
      </c>
      <c r="E17" s="19">
        <v>46255</v>
      </c>
      <c r="F17" s="18" t="s">
        <v>149</v>
      </c>
      <c r="G17" s="18" t="s">
        <v>1774</v>
      </c>
      <c r="H17" s="18" t="s">
        <v>1763</v>
      </c>
      <c r="I17" s="18" t="s">
        <v>1764</v>
      </c>
    </row>
    <row r="18" spans="1:9">
      <c r="A18" s="18" t="s">
        <v>1789</v>
      </c>
      <c r="B18" s="18" t="s">
        <v>292</v>
      </c>
      <c r="C18" s="18" t="s">
        <v>659</v>
      </c>
      <c r="D18" s="18" t="s">
        <v>1761</v>
      </c>
      <c r="E18" s="19">
        <v>46253</v>
      </c>
      <c r="F18" s="18" t="s">
        <v>162</v>
      </c>
      <c r="G18" s="18" t="s">
        <v>1776</v>
      </c>
      <c r="H18" s="18" t="s">
        <v>1763</v>
      </c>
      <c r="I18" s="18" t="s">
        <v>1764</v>
      </c>
    </row>
    <row r="19" spans="1:9">
      <c r="A19" s="18" t="s">
        <v>1790</v>
      </c>
      <c r="B19" s="18" t="s">
        <v>303</v>
      </c>
      <c r="C19" s="18" t="s">
        <v>662</v>
      </c>
      <c r="D19" s="18" t="s">
        <v>1761</v>
      </c>
      <c r="E19" s="19">
        <v>46251</v>
      </c>
      <c r="F19" s="18" t="s">
        <v>176</v>
      </c>
      <c r="G19" s="18" t="s">
        <v>1778</v>
      </c>
      <c r="H19" s="18" t="s">
        <v>1763</v>
      </c>
      <c r="I19" s="18" t="s">
        <v>1764</v>
      </c>
    </row>
    <row r="20" spans="1:9">
      <c r="A20" s="18" t="s">
        <v>1791</v>
      </c>
      <c r="B20" s="18" t="s">
        <v>313</v>
      </c>
      <c r="C20" s="18" t="s">
        <v>665</v>
      </c>
      <c r="D20" s="18" t="s">
        <v>1761</v>
      </c>
      <c r="E20" s="19">
        <v>46249</v>
      </c>
      <c r="F20" s="18" t="s">
        <v>98</v>
      </c>
      <c r="G20" s="18" t="s">
        <v>1780</v>
      </c>
      <c r="H20" s="18" t="s">
        <v>1763</v>
      </c>
      <c r="I20" s="18" t="s">
        <v>1764</v>
      </c>
    </row>
    <row r="21" spans="1:9">
      <c r="A21" s="18" t="s">
        <v>1792</v>
      </c>
      <c r="B21" s="18" t="s">
        <v>324</v>
      </c>
      <c r="C21" s="18" t="s">
        <v>668</v>
      </c>
      <c r="D21" s="18" t="s">
        <v>1761</v>
      </c>
      <c r="E21" s="19">
        <v>46247</v>
      </c>
      <c r="F21" s="18" t="s">
        <v>118</v>
      </c>
      <c r="G21" s="18" t="s">
        <v>1782</v>
      </c>
      <c r="H21" s="18" t="s">
        <v>1763</v>
      </c>
      <c r="I21" s="18" t="s">
        <v>1764</v>
      </c>
    </row>
    <row r="22" spans="1:9">
      <c r="A22" s="18" t="s">
        <v>1793</v>
      </c>
      <c r="B22" s="18" t="s">
        <v>335</v>
      </c>
      <c r="C22" s="18" t="s">
        <v>671</v>
      </c>
      <c r="D22" s="18" t="s">
        <v>1761</v>
      </c>
      <c r="E22" s="19">
        <v>46245</v>
      </c>
      <c r="F22" s="18" t="s">
        <v>134</v>
      </c>
      <c r="G22" s="18" t="s">
        <v>1762</v>
      </c>
      <c r="H22" s="18" t="s">
        <v>1763</v>
      </c>
      <c r="I22" s="18" t="s">
        <v>1764</v>
      </c>
    </row>
    <row r="23" spans="1:9">
      <c r="A23" s="18" t="s">
        <v>1794</v>
      </c>
      <c r="B23" s="18" t="s">
        <v>342</v>
      </c>
      <c r="C23" s="18" t="s">
        <v>674</v>
      </c>
      <c r="D23" s="18" t="s">
        <v>1761</v>
      </c>
      <c r="E23" s="19">
        <v>46243</v>
      </c>
      <c r="F23" s="18" t="s">
        <v>149</v>
      </c>
      <c r="G23" s="18" t="s">
        <v>1766</v>
      </c>
      <c r="H23" s="18" t="s">
        <v>1763</v>
      </c>
      <c r="I23" s="18" t="s">
        <v>1764</v>
      </c>
    </row>
    <row r="24" spans="1:9">
      <c r="A24" s="18" t="s">
        <v>1795</v>
      </c>
      <c r="B24" s="18" t="s">
        <v>350</v>
      </c>
      <c r="C24" s="18" t="s">
        <v>677</v>
      </c>
      <c r="D24" s="18" t="s">
        <v>1761</v>
      </c>
      <c r="E24" s="19">
        <v>46241</v>
      </c>
      <c r="F24" s="18" t="s">
        <v>162</v>
      </c>
      <c r="G24" s="18" t="s">
        <v>1768</v>
      </c>
      <c r="H24" s="18" t="s">
        <v>1763</v>
      </c>
      <c r="I24" s="18" t="s">
        <v>1764</v>
      </c>
    </row>
    <row r="25" spans="1:9">
      <c r="A25" s="18" t="s">
        <v>1796</v>
      </c>
      <c r="B25" s="18" t="s">
        <v>356</v>
      </c>
      <c r="C25" s="18" t="s">
        <v>680</v>
      </c>
      <c r="D25" s="18" t="s">
        <v>1761</v>
      </c>
      <c r="E25" s="19">
        <v>46239</v>
      </c>
      <c r="F25" s="18" t="s">
        <v>176</v>
      </c>
      <c r="G25" s="18" t="s">
        <v>1770</v>
      </c>
      <c r="H25" s="18" t="s">
        <v>1763</v>
      </c>
      <c r="I25" s="18" t="s">
        <v>1764</v>
      </c>
    </row>
    <row r="26" spans="1:9">
      <c r="A26" s="18" t="s">
        <v>1797</v>
      </c>
      <c r="B26" s="18" t="s">
        <v>364</v>
      </c>
      <c r="C26" s="18" t="s">
        <v>683</v>
      </c>
      <c r="D26" s="18" t="s">
        <v>1761</v>
      </c>
      <c r="E26" s="19">
        <v>46237</v>
      </c>
      <c r="F26" s="18" t="s">
        <v>98</v>
      </c>
      <c r="G26" s="18" t="s">
        <v>1772</v>
      </c>
      <c r="H26" s="18" t="s">
        <v>1763</v>
      </c>
      <c r="I26" s="18" t="s">
        <v>1764</v>
      </c>
    </row>
    <row r="27" spans="1:9">
      <c r="A27" s="18" t="s">
        <v>1798</v>
      </c>
      <c r="B27" s="18" t="s">
        <v>371</v>
      </c>
      <c r="C27" s="18" t="s">
        <v>686</v>
      </c>
      <c r="D27" s="18" t="s">
        <v>1761</v>
      </c>
      <c r="E27" s="19">
        <v>46235</v>
      </c>
      <c r="F27" s="18" t="s">
        <v>118</v>
      </c>
      <c r="G27" s="18" t="s">
        <v>1774</v>
      </c>
      <c r="H27" s="18" t="s">
        <v>1763</v>
      </c>
      <c r="I27" s="18" t="s">
        <v>1764</v>
      </c>
    </row>
    <row r="28" spans="1:9">
      <c r="A28" s="18" t="s">
        <v>1799</v>
      </c>
      <c r="B28" s="18" t="s">
        <v>379</v>
      </c>
      <c r="C28" s="18" t="s">
        <v>689</v>
      </c>
      <c r="D28" s="18" t="s">
        <v>1761</v>
      </c>
      <c r="E28" s="19">
        <v>46233</v>
      </c>
      <c r="F28" s="18" t="s">
        <v>134</v>
      </c>
      <c r="G28" s="18" t="s">
        <v>1776</v>
      </c>
      <c r="H28" s="18" t="s">
        <v>1763</v>
      </c>
      <c r="I28" s="18" t="s">
        <v>1764</v>
      </c>
    </row>
    <row r="29" spans="1:9">
      <c r="A29" s="18" t="s">
        <v>1800</v>
      </c>
      <c r="B29" s="18" t="s">
        <v>386</v>
      </c>
      <c r="C29" s="18" t="s">
        <v>692</v>
      </c>
      <c r="D29" s="18" t="s">
        <v>1761</v>
      </c>
      <c r="E29" s="19">
        <v>46231</v>
      </c>
      <c r="F29" s="18" t="s">
        <v>149</v>
      </c>
      <c r="G29" s="18" t="s">
        <v>1778</v>
      </c>
      <c r="H29" s="18" t="s">
        <v>1763</v>
      </c>
      <c r="I29" s="18" t="s">
        <v>1764</v>
      </c>
    </row>
    <row r="30" spans="1:9">
      <c r="A30" s="18" t="s">
        <v>1801</v>
      </c>
      <c r="B30" s="18" t="s">
        <v>393</v>
      </c>
      <c r="C30" s="18" t="s">
        <v>695</v>
      </c>
      <c r="D30" s="18" t="s">
        <v>1761</v>
      </c>
      <c r="E30" s="19">
        <v>46229</v>
      </c>
      <c r="F30" s="18" t="s">
        <v>162</v>
      </c>
      <c r="G30" s="18" t="s">
        <v>1780</v>
      </c>
      <c r="H30" s="18" t="s">
        <v>1763</v>
      </c>
      <c r="I30" s="18" t="s">
        <v>1764</v>
      </c>
    </row>
    <row r="31" spans="1:9">
      <c r="A31" s="18" t="s">
        <v>1802</v>
      </c>
      <c r="B31" s="18" t="s">
        <v>400</v>
      </c>
      <c r="C31" s="18" t="s">
        <v>698</v>
      </c>
      <c r="D31" s="18" t="s">
        <v>1761</v>
      </c>
      <c r="E31" s="19">
        <v>46227</v>
      </c>
      <c r="F31" s="18" t="s">
        <v>176</v>
      </c>
      <c r="G31" s="18" t="s">
        <v>1782</v>
      </c>
      <c r="H31" s="18" t="s">
        <v>1763</v>
      </c>
      <c r="I31" s="18" t="s">
        <v>1764</v>
      </c>
    </row>
    <row r="32" spans="1:9">
      <c r="A32" s="18" t="s">
        <v>1803</v>
      </c>
      <c r="B32" s="18" t="s">
        <v>408</v>
      </c>
      <c r="C32" s="18" t="s">
        <v>701</v>
      </c>
      <c r="D32" s="18" t="s">
        <v>1761</v>
      </c>
      <c r="E32" s="19">
        <v>46225</v>
      </c>
      <c r="F32" s="18" t="s">
        <v>98</v>
      </c>
      <c r="G32" s="18" t="s">
        <v>1762</v>
      </c>
      <c r="H32" s="18" t="s">
        <v>1763</v>
      </c>
      <c r="I32" s="18" t="s">
        <v>1764</v>
      </c>
    </row>
    <row r="33" spans="1:9">
      <c r="A33" s="18" t="s">
        <v>1804</v>
      </c>
      <c r="B33" s="18" t="s">
        <v>415</v>
      </c>
      <c r="C33" s="18" t="s">
        <v>704</v>
      </c>
      <c r="D33" s="18" t="s">
        <v>1761</v>
      </c>
      <c r="E33" s="19">
        <v>46223</v>
      </c>
      <c r="F33" s="18" t="s">
        <v>118</v>
      </c>
      <c r="G33" s="18" t="s">
        <v>1766</v>
      </c>
      <c r="H33" s="18" t="s">
        <v>1763</v>
      </c>
      <c r="I33" s="18" t="s">
        <v>1764</v>
      </c>
    </row>
    <row r="34" spans="1:9">
      <c r="A34" s="18" t="s">
        <v>1805</v>
      </c>
      <c r="B34" s="18" t="s">
        <v>423</v>
      </c>
      <c r="C34" s="18" t="s">
        <v>707</v>
      </c>
      <c r="D34" s="18" t="s">
        <v>1761</v>
      </c>
      <c r="E34" s="19">
        <v>46221</v>
      </c>
      <c r="F34" s="18" t="s">
        <v>134</v>
      </c>
      <c r="G34" s="18" t="s">
        <v>1768</v>
      </c>
      <c r="H34" s="18" t="s">
        <v>1763</v>
      </c>
      <c r="I34" s="18" t="s">
        <v>1764</v>
      </c>
    </row>
    <row r="35" spans="1:9">
      <c r="A35" s="18" t="s">
        <v>1806</v>
      </c>
      <c r="B35" s="18" t="s">
        <v>430</v>
      </c>
      <c r="C35" s="18" t="s">
        <v>710</v>
      </c>
      <c r="D35" s="18" t="s">
        <v>1761</v>
      </c>
      <c r="E35" s="19">
        <v>46219</v>
      </c>
      <c r="F35" s="18" t="s">
        <v>149</v>
      </c>
      <c r="G35" s="18" t="s">
        <v>1770</v>
      </c>
      <c r="H35" s="18" t="s">
        <v>1763</v>
      </c>
      <c r="I35" s="18" t="s">
        <v>1764</v>
      </c>
    </row>
    <row r="36" spans="1:9">
      <c r="A36" s="18" t="s">
        <v>1807</v>
      </c>
      <c r="B36" s="18" t="s">
        <v>438</v>
      </c>
      <c r="C36" s="18" t="s">
        <v>713</v>
      </c>
      <c r="D36" s="18" t="s">
        <v>1761</v>
      </c>
      <c r="E36" s="19">
        <v>46217</v>
      </c>
      <c r="F36" s="18" t="s">
        <v>162</v>
      </c>
      <c r="G36" s="18" t="s">
        <v>1772</v>
      </c>
      <c r="H36" s="18" t="s">
        <v>1763</v>
      </c>
      <c r="I36" s="18" t="s">
        <v>1764</v>
      </c>
    </row>
    <row r="37" spans="1:9">
      <c r="A37" s="18" t="s">
        <v>1808</v>
      </c>
      <c r="B37" s="18" t="s">
        <v>445</v>
      </c>
      <c r="C37" s="18" t="s">
        <v>716</v>
      </c>
      <c r="D37" s="18" t="s">
        <v>1761</v>
      </c>
      <c r="E37" s="19">
        <v>46215</v>
      </c>
      <c r="F37" s="18" t="s">
        <v>176</v>
      </c>
      <c r="G37" s="18" t="s">
        <v>1774</v>
      </c>
      <c r="H37" s="18" t="s">
        <v>1763</v>
      </c>
      <c r="I37" s="18" t="s">
        <v>1764</v>
      </c>
    </row>
    <row r="38" spans="1:9">
      <c r="A38" s="18" t="s">
        <v>1809</v>
      </c>
      <c r="B38" s="18" t="s">
        <v>453</v>
      </c>
      <c r="C38" s="18" t="s">
        <v>719</v>
      </c>
      <c r="D38" s="18" t="s">
        <v>1761</v>
      </c>
      <c r="E38" s="19">
        <v>46213</v>
      </c>
      <c r="F38" s="18" t="s">
        <v>98</v>
      </c>
      <c r="G38" s="18" t="s">
        <v>1776</v>
      </c>
      <c r="H38" s="18" t="s">
        <v>1763</v>
      </c>
      <c r="I38" s="18" t="s">
        <v>1764</v>
      </c>
    </row>
    <row r="39" spans="1:9">
      <c r="A39" s="18" t="s">
        <v>1810</v>
      </c>
      <c r="B39" s="18" t="s">
        <v>460</v>
      </c>
      <c r="C39" s="18" t="s">
        <v>722</v>
      </c>
      <c r="D39" s="18" t="s">
        <v>1761</v>
      </c>
      <c r="E39" s="19">
        <v>46211</v>
      </c>
      <c r="F39" s="18" t="s">
        <v>118</v>
      </c>
      <c r="G39" s="18" t="s">
        <v>1778</v>
      </c>
      <c r="H39" s="18" t="s">
        <v>1763</v>
      </c>
      <c r="I39" s="18" t="s">
        <v>1764</v>
      </c>
    </row>
    <row r="40" spans="1:9">
      <c r="A40" s="18" t="s">
        <v>1811</v>
      </c>
      <c r="B40" s="18" t="s">
        <v>468</v>
      </c>
      <c r="C40" s="18" t="s">
        <v>725</v>
      </c>
      <c r="D40" s="18" t="s">
        <v>1761</v>
      </c>
      <c r="E40" s="19">
        <v>46209</v>
      </c>
      <c r="F40" s="18" t="s">
        <v>134</v>
      </c>
      <c r="G40" s="18" t="s">
        <v>1780</v>
      </c>
      <c r="H40" s="18" t="s">
        <v>1763</v>
      </c>
      <c r="I40" s="18" t="s">
        <v>1764</v>
      </c>
    </row>
    <row r="41" spans="1:9">
      <c r="A41" s="18" t="s">
        <v>1812</v>
      </c>
      <c r="B41" s="18" t="s">
        <v>475</v>
      </c>
      <c r="C41" s="18" t="s">
        <v>728</v>
      </c>
      <c r="D41" s="18" t="s">
        <v>1761</v>
      </c>
      <c r="E41" s="19">
        <v>46207</v>
      </c>
      <c r="F41" s="18" t="s">
        <v>149</v>
      </c>
      <c r="G41" s="18" t="s">
        <v>1782</v>
      </c>
      <c r="H41" s="18" t="s">
        <v>1763</v>
      </c>
      <c r="I41" s="18" t="s">
        <v>1764</v>
      </c>
    </row>
    <row r="42" spans="1:9">
      <c r="A42" s="18" t="s">
        <v>1813</v>
      </c>
      <c r="B42" s="18" t="s">
        <v>483</v>
      </c>
      <c r="C42" s="18" t="s">
        <v>731</v>
      </c>
      <c r="D42" s="18" t="s">
        <v>1761</v>
      </c>
      <c r="E42" s="19">
        <v>46205</v>
      </c>
      <c r="F42" s="18" t="s">
        <v>162</v>
      </c>
      <c r="G42" s="18" t="s">
        <v>1762</v>
      </c>
      <c r="H42" s="18" t="s">
        <v>1763</v>
      </c>
      <c r="I42" s="18" t="s">
        <v>1764</v>
      </c>
    </row>
    <row r="43" spans="1:9">
      <c r="A43" s="18" t="s">
        <v>1814</v>
      </c>
      <c r="B43" s="18" t="s">
        <v>491</v>
      </c>
      <c r="C43" s="18" t="s">
        <v>734</v>
      </c>
      <c r="D43" s="18" t="s">
        <v>1761</v>
      </c>
      <c r="E43" s="19">
        <v>46203</v>
      </c>
      <c r="F43" s="18" t="s">
        <v>176</v>
      </c>
      <c r="G43" s="18" t="s">
        <v>1766</v>
      </c>
      <c r="H43" s="18" t="s">
        <v>1763</v>
      </c>
      <c r="I43" s="18" t="s">
        <v>1764</v>
      </c>
    </row>
    <row r="44" spans="1:9">
      <c r="A44" s="18" t="s">
        <v>1815</v>
      </c>
      <c r="B44" s="18" t="s">
        <v>499</v>
      </c>
      <c r="C44" s="18" t="s">
        <v>737</v>
      </c>
      <c r="D44" s="18" t="s">
        <v>1761</v>
      </c>
      <c r="E44" s="19">
        <v>46201</v>
      </c>
      <c r="F44" s="18" t="s">
        <v>98</v>
      </c>
      <c r="G44" s="18" t="s">
        <v>1768</v>
      </c>
      <c r="H44" s="18" t="s">
        <v>1763</v>
      </c>
      <c r="I44" s="18" t="s">
        <v>1764</v>
      </c>
    </row>
    <row r="45" spans="1:9">
      <c r="A45" s="18" t="s">
        <v>1816</v>
      </c>
      <c r="B45" s="18" t="s">
        <v>507</v>
      </c>
      <c r="C45" s="18" t="s">
        <v>740</v>
      </c>
      <c r="D45" s="18" t="s">
        <v>1761</v>
      </c>
      <c r="E45" s="19">
        <v>46199</v>
      </c>
      <c r="F45" s="18" t="s">
        <v>118</v>
      </c>
      <c r="G45" s="18" t="s">
        <v>1770</v>
      </c>
      <c r="H45" s="18" t="s">
        <v>1763</v>
      </c>
      <c r="I45" s="18" t="s">
        <v>1764</v>
      </c>
    </row>
    <row r="46" spans="1:9">
      <c r="A46" s="18" t="s">
        <v>1817</v>
      </c>
      <c r="B46" s="18" t="s">
        <v>515</v>
      </c>
      <c r="C46" s="18" t="s">
        <v>743</v>
      </c>
      <c r="D46" s="18" t="s">
        <v>1761</v>
      </c>
      <c r="E46" s="19">
        <v>46197</v>
      </c>
      <c r="F46" s="18" t="s">
        <v>134</v>
      </c>
      <c r="G46" s="18" t="s">
        <v>1772</v>
      </c>
      <c r="H46" s="18" t="s">
        <v>1763</v>
      </c>
      <c r="I46" s="18" t="s">
        <v>1764</v>
      </c>
    </row>
    <row r="47" spans="1:9">
      <c r="A47" s="18" t="s">
        <v>1818</v>
      </c>
      <c r="B47" s="18" t="s">
        <v>523</v>
      </c>
      <c r="C47" s="18" t="s">
        <v>746</v>
      </c>
      <c r="D47" s="18" t="s">
        <v>1761</v>
      </c>
      <c r="E47" s="19">
        <v>46195</v>
      </c>
      <c r="F47" s="18" t="s">
        <v>149</v>
      </c>
      <c r="G47" s="18" t="s">
        <v>1774</v>
      </c>
      <c r="H47" s="18" t="s">
        <v>1763</v>
      </c>
      <c r="I47" s="18" t="s">
        <v>1764</v>
      </c>
    </row>
    <row r="48" spans="1:9">
      <c r="A48" s="18" t="s">
        <v>1819</v>
      </c>
      <c r="B48" s="18" t="s">
        <v>531</v>
      </c>
      <c r="C48" s="18" t="s">
        <v>749</v>
      </c>
      <c r="D48" s="18" t="s">
        <v>1761</v>
      </c>
      <c r="E48" s="19">
        <v>46193</v>
      </c>
      <c r="F48" s="18" t="s">
        <v>162</v>
      </c>
      <c r="G48" s="18" t="s">
        <v>1776</v>
      </c>
      <c r="H48" s="18" t="s">
        <v>1763</v>
      </c>
      <c r="I48" s="18" t="s">
        <v>1764</v>
      </c>
    </row>
    <row r="49" spans="1:9">
      <c r="A49" s="18" t="s">
        <v>1820</v>
      </c>
      <c r="B49" s="18" t="s">
        <v>539</v>
      </c>
      <c r="C49" s="18" t="s">
        <v>752</v>
      </c>
      <c r="D49" s="18" t="s">
        <v>1761</v>
      </c>
      <c r="E49" s="19">
        <v>46191</v>
      </c>
      <c r="F49" s="18" t="s">
        <v>176</v>
      </c>
      <c r="G49" s="18" t="s">
        <v>1778</v>
      </c>
      <c r="H49" s="18" t="s">
        <v>1763</v>
      </c>
      <c r="I49" s="18" t="s">
        <v>1764</v>
      </c>
    </row>
    <row r="50" spans="1:9">
      <c r="A50" s="18" t="s">
        <v>1821</v>
      </c>
      <c r="B50" s="18" t="s">
        <v>547</v>
      </c>
      <c r="C50" s="18" t="s">
        <v>755</v>
      </c>
      <c r="D50" s="18" t="s">
        <v>1761</v>
      </c>
      <c r="E50" s="19">
        <v>46189</v>
      </c>
      <c r="F50" s="18" t="s">
        <v>98</v>
      </c>
      <c r="G50" s="18" t="s">
        <v>1780</v>
      </c>
      <c r="H50" s="18" t="s">
        <v>1763</v>
      </c>
      <c r="I50" s="18" t="s">
        <v>1764</v>
      </c>
    </row>
    <row r="51" spans="1:9">
      <c r="A51" s="18" t="s">
        <v>1822</v>
      </c>
      <c r="B51" s="18" t="s">
        <v>555</v>
      </c>
      <c r="C51" s="18" t="s">
        <v>758</v>
      </c>
      <c r="D51" s="18" t="s">
        <v>1761</v>
      </c>
      <c r="E51" s="19">
        <v>46187</v>
      </c>
      <c r="F51" s="18" t="s">
        <v>118</v>
      </c>
      <c r="G51" s="18" t="s">
        <v>1782</v>
      </c>
      <c r="H51" s="18" t="s">
        <v>1763</v>
      </c>
      <c r="I51" s="18" t="s">
        <v>1764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N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2" customWidth="1"/>
    <col min="4" max="4" width="30" customWidth="1"/>
    <col min="5" max="5" width="18" customWidth="1"/>
    <col min="6" max="6" width="16" customWidth="1"/>
    <col min="7" max="7" width="24" customWidth="1"/>
    <col min="8" max="9" width="16" customWidth="1"/>
    <col min="10" max="10" width="14" customWidth="1"/>
    <col min="11" max="11" width="16" customWidth="1"/>
    <col min="12" max="13" width="24" customWidth="1"/>
    <col min="14" max="14" width="16" customWidth="1"/>
  </cols>
  <sheetData>
    <row r="1" spans="1:14" ht="30" customHeight="1">
      <c r="A1" s="17" t="s">
        <v>1823</v>
      </c>
      <c r="B1" s="17" t="s">
        <v>66</v>
      </c>
      <c r="C1" s="17" t="s">
        <v>571</v>
      </c>
      <c r="D1" s="17" t="s">
        <v>1824</v>
      </c>
      <c r="E1" s="17" t="s">
        <v>1825</v>
      </c>
      <c r="F1" s="17" t="s">
        <v>1826</v>
      </c>
      <c r="G1" s="17" t="s">
        <v>1827</v>
      </c>
      <c r="H1" s="17" t="s">
        <v>1828</v>
      </c>
      <c r="I1" s="17" t="s">
        <v>1829</v>
      </c>
      <c r="J1" s="17" t="s">
        <v>58</v>
      </c>
      <c r="K1" s="17" t="s">
        <v>1830</v>
      </c>
      <c r="L1" s="17" t="s">
        <v>1831</v>
      </c>
      <c r="M1" s="17" t="s">
        <v>1832</v>
      </c>
      <c r="N1" s="17" t="s">
        <v>1833</v>
      </c>
    </row>
    <row r="2" spans="1:14">
      <c r="A2" s="18" t="s">
        <v>1834</v>
      </c>
      <c r="B2" s="18" t="s">
        <v>35</v>
      </c>
      <c r="C2" s="18" t="s">
        <v>1835</v>
      </c>
      <c r="D2" s="18" t="s">
        <v>1836</v>
      </c>
      <c r="E2" s="18" t="s">
        <v>1837</v>
      </c>
      <c r="F2" s="18" t="s">
        <v>1838</v>
      </c>
      <c r="G2" s="18" t="s">
        <v>1839</v>
      </c>
      <c r="H2" s="19">
        <v>46023</v>
      </c>
      <c r="I2" s="19">
        <v>46387</v>
      </c>
      <c r="J2" s="18" t="s">
        <v>99</v>
      </c>
      <c r="K2" s="18" t="s">
        <v>1840</v>
      </c>
      <c r="L2" s="18" t="s">
        <v>98</v>
      </c>
      <c r="M2" s="18">
        <v>1500</v>
      </c>
      <c r="N2" s="18">
        <v>20</v>
      </c>
    </row>
    <row r="3" spans="1:14">
      <c r="A3" s="18" t="s">
        <v>1841</v>
      </c>
      <c r="B3" s="18" t="s">
        <v>107</v>
      </c>
      <c r="C3" s="18" t="s">
        <v>1835</v>
      </c>
      <c r="D3" s="18" t="s">
        <v>1842</v>
      </c>
      <c r="E3" s="18" t="s">
        <v>1843</v>
      </c>
      <c r="F3" s="18" t="s">
        <v>1844</v>
      </c>
      <c r="G3" s="18" t="s">
        <v>1839</v>
      </c>
      <c r="H3" s="19">
        <v>46023</v>
      </c>
      <c r="I3" s="19">
        <v>46387</v>
      </c>
      <c r="J3" s="18" t="s">
        <v>99</v>
      </c>
      <c r="K3" s="18" t="s">
        <v>1845</v>
      </c>
      <c r="L3" s="18" t="s">
        <v>118</v>
      </c>
      <c r="M3" s="18">
        <v>2000</v>
      </c>
      <c r="N3" s="18">
        <v>25</v>
      </c>
    </row>
    <row r="4" spans="1:14">
      <c r="A4" s="18" t="s">
        <v>1846</v>
      </c>
      <c r="B4" s="18" t="s">
        <v>125</v>
      </c>
      <c r="C4" s="18" t="s">
        <v>1835</v>
      </c>
      <c r="D4" s="18" t="s">
        <v>1847</v>
      </c>
      <c r="E4" s="18" t="s">
        <v>1848</v>
      </c>
      <c r="F4" s="18" t="s">
        <v>1849</v>
      </c>
      <c r="G4" s="18" t="s">
        <v>1839</v>
      </c>
      <c r="H4" s="19">
        <v>46023</v>
      </c>
      <c r="I4" s="19">
        <v>46387</v>
      </c>
      <c r="J4" s="18" t="s">
        <v>99</v>
      </c>
      <c r="K4" s="18" t="s">
        <v>1850</v>
      </c>
      <c r="L4" s="18" t="s">
        <v>134</v>
      </c>
      <c r="M4" s="18">
        <v>2500</v>
      </c>
      <c r="N4" s="18">
        <v>30</v>
      </c>
    </row>
    <row r="5" spans="1:14">
      <c r="A5" s="18" t="s">
        <v>1851</v>
      </c>
      <c r="B5" s="18" t="s">
        <v>141</v>
      </c>
      <c r="C5" s="18" t="s">
        <v>1835</v>
      </c>
      <c r="D5" s="18" t="s">
        <v>1852</v>
      </c>
      <c r="E5" s="18" t="s">
        <v>1853</v>
      </c>
      <c r="F5" s="18" t="s">
        <v>1854</v>
      </c>
      <c r="G5" s="18" t="s">
        <v>1839</v>
      </c>
      <c r="H5" s="19">
        <v>46023</v>
      </c>
      <c r="I5" s="19">
        <v>46387</v>
      </c>
      <c r="J5" s="18" t="s">
        <v>99</v>
      </c>
      <c r="K5" s="18" t="s">
        <v>1855</v>
      </c>
      <c r="L5" s="18" t="s">
        <v>149</v>
      </c>
      <c r="M5" s="18">
        <v>3000</v>
      </c>
      <c r="N5" s="18">
        <v>20</v>
      </c>
    </row>
    <row r="6" spans="1:14">
      <c r="A6" s="18" t="s">
        <v>1856</v>
      </c>
      <c r="B6" s="18" t="s">
        <v>155</v>
      </c>
      <c r="C6" s="18" t="s">
        <v>1835</v>
      </c>
      <c r="D6" s="18" t="s">
        <v>1857</v>
      </c>
      <c r="E6" s="18" t="s">
        <v>1858</v>
      </c>
      <c r="F6" s="18" t="s">
        <v>1859</v>
      </c>
      <c r="G6" s="18" t="s">
        <v>1839</v>
      </c>
      <c r="H6" s="19">
        <v>46023</v>
      </c>
      <c r="I6" s="19">
        <v>46387</v>
      </c>
      <c r="J6" s="18" t="s">
        <v>99</v>
      </c>
      <c r="K6" s="18" t="s">
        <v>1860</v>
      </c>
      <c r="L6" s="18" t="s">
        <v>162</v>
      </c>
      <c r="M6" s="18">
        <v>1500</v>
      </c>
      <c r="N6" s="18">
        <v>25</v>
      </c>
    </row>
    <row r="7" spans="1:14">
      <c r="A7" s="18" t="s">
        <v>1861</v>
      </c>
      <c r="B7" s="18" t="s">
        <v>169</v>
      </c>
      <c r="C7" s="18" t="s">
        <v>1835</v>
      </c>
      <c r="D7" s="18" t="s">
        <v>1862</v>
      </c>
      <c r="E7" s="18" t="s">
        <v>1863</v>
      </c>
      <c r="F7" s="18" t="s">
        <v>1864</v>
      </c>
      <c r="G7" s="18" t="s">
        <v>1839</v>
      </c>
      <c r="H7" s="19">
        <v>46023</v>
      </c>
      <c r="I7" s="19">
        <v>46387</v>
      </c>
      <c r="J7" s="18" t="s">
        <v>99</v>
      </c>
      <c r="K7" s="18" t="s">
        <v>1840</v>
      </c>
      <c r="L7" s="18" t="s">
        <v>176</v>
      </c>
      <c r="M7" s="18">
        <v>2000</v>
      </c>
      <c r="N7" s="18">
        <v>30</v>
      </c>
    </row>
    <row r="8" spans="1:14">
      <c r="A8" s="18" t="s">
        <v>1865</v>
      </c>
      <c r="B8" s="18" t="s">
        <v>183</v>
      </c>
      <c r="C8" s="18" t="s">
        <v>1835</v>
      </c>
      <c r="D8" s="18" t="s">
        <v>1836</v>
      </c>
      <c r="E8" s="18" t="s">
        <v>1866</v>
      </c>
      <c r="F8" s="18" t="s">
        <v>1867</v>
      </c>
      <c r="G8" s="18" t="s">
        <v>1839</v>
      </c>
      <c r="H8" s="19">
        <v>46023</v>
      </c>
      <c r="I8" s="19">
        <v>46387</v>
      </c>
      <c r="J8" s="18" t="s">
        <v>99</v>
      </c>
      <c r="K8" s="18" t="s">
        <v>1845</v>
      </c>
      <c r="L8" s="18" t="s">
        <v>98</v>
      </c>
      <c r="M8" s="18">
        <v>2500</v>
      </c>
      <c r="N8" s="18">
        <v>20</v>
      </c>
    </row>
    <row r="9" spans="1:14">
      <c r="A9" s="18" t="s">
        <v>1868</v>
      </c>
      <c r="B9" s="18" t="s">
        <v>194</v>
      </c>
      <c r="C9" s="18" t="s">
        <v>1835</v>
      </c>
      <c r="D9" s="18" t="s">
        <v>1842</v>
      </c>
      <c r="E9" s="18" t="s">
        <v>1869</v>
      </c>
      <c r="F9" s="18" t="s">
        <v>1870</v>
      </c>
      <c r="G9" s="18" t="s">
        <v>1839</v>
      </c>
      <c r="H9" s="19">
        <v>46023</v>
      </c>
      <c r="I9" s="19">
        <v>46387</v>
      </c>
      <c r="J9" s="18" t="s">
        <v>99</v>
      </c>
      <c r="K9" s="18" t="s">
        <v>1850</v>
      </c>
      <c r="L9" s="18" t="s">
        <v>118</v>
      </c>
      <c r="M9" s="18">
        <v>3000</v>
      </c>
      <c r="N9" s="18">
        <v>25</v>
      </c>
    </row>
    <row r="10" spans="1:14">
      <c r="A10" s="18" t="s">
        <v>1871</v>
      </c>
      <c r="B10" s="18" t="s">
        <v>204</v>
      </c>
      <c r="C10" s="18" t="s">
        <v>1835</v>
      </c>
      <c r="D10" s="18" t="s">
        <v>1847</v>
      </c>
      <c r="E10" s="18" t="s">
        <v>1872</v>
      </c>
      <c r="F10" s="18" t="s">
        <v>1873</v>
      </c>
      <c r="G10" s="18" t="s">
        <v>1839</v>
      </c>
      <c r="H10" s="19">
        <v>46023</v>
      </c>
      <c r="I10" s="19">
        <v>46387</v>
      </c>
      <c r="J10" s="18" t="s">
        <v>99</v>
      </c>
      <c r="K10" s="18" t="s">
        <v>1855</v>
      </c>
      <c r="L10" s="18" t="s">
        <v>134</v>
      </c>
      <c r="M10" s="18">
        <v>1500</v>
      </c>
      <c r="N10" s="18">
        <v>30</v>
      </c>
    </row>
    <row r="11" spans="1:14">
      <c r="A11" s="18" t="s">
        <v>1874</v>
      </c>
      <c r="B11" s="18" t="s">
        <v>215</v>
      </c>
      <c r="C11" s="18" t="s">
        <v>1835</v>
      </c>
      <c r="D11" s="18" t="s">
        <v>1852</v>
      </c>
      <c r="E11" s="18" t="s">
        <v>1875</v>
      </c>
      <c r="F11" s="18" t="s">
        <v>1876</v>
      </c>
      <c r="G11" s="18" t="s">
        <v>1839</v>
      </c>
      <c r="H11" s="19">
        <v>46023</v>
      </c>
      <c r="I11" s="19">
        <v>46387</v>
      </c>
      <c r="J11" s="18" t="s">
        <v>99</v>
      </c>
      <c r="K11" s="18" t="s">
        <v>1860</v>
      </c>
      <c r="L11" s="18" t="s">
        <v>149</v>
      </c>
      <c r="M11" s="18">
        <v>2000</v>
      </c>
      <c r="N11" s="18">
        <v>20</v>
      </c>
    </row>
    <row r="12" spans="1:14">
      <c r="A12" s="18" t="s">
        <v>1877</v>
      </c>
      <c r="B12" s="18" t="s">
        <v>226</v>
      </c>
      <c r="C12" s="18" t="s">
        <v>1835</v>
      </c>
      <c r="D12" s="18" t="s">
        <v>1857</v>
      </c>
      <c r="E12" s="18" t="s">
        <v>1878</v>
      </c>
      <c r="F12" s="18" t="s">
        <v>1879</v>
      </c>
      <c r="G12" s="18" t="s">
        <v>1839</v>
      </c>
      <c r="H12" s="19">
        <v>46023</v>
      </c>
      <c r="I12" s="19">
        <v>46387</v>
      </c>
      <c r="J12" s="18" t="s">
        <v>99</v>
      </c>
      <c r="K12" s="18" t="s">
        <v>1840</v>
      </c>
      <c r="L12" s="18" t="s">
        <v>162</v>
      </c>
      <c r="M12" s="18">
        <v>2500</v>
      </c>
      <c r="N12" s="18">
        <v>25</v>
      </c>
    </row>
    <row r="13" spans="1:14">
      <c r="A13" s="18" t="s">
        <v>1880</v>
      </c>
      <c r="B13" s="18" t="s">
        <v>237</v>
      </c>
      <c r="C13" s="18" t="s">
        <v>1835</v>
      </c>
      <c r="D13" s="18" t="s">
        <v>1862</v>
      </c>
      <c r="E13" s="18" t="s">
        <v>1881</v>
      </c>
      <c r="F13" s="18" t="s">
        <v>1882</v>
      </c>
      <c r="G13" s="18" t="s">
        <v>1839</v>
      </c>
      <c r="H13" s="19">
        <v>46023</v>
      </c>
      <c r="I13" s="19">
        <v>46387</v>
      </c>
      <c r="J13" s="18" t="s">
        <v>99</v>
      </c>
      <c r="K13" s="18" t="s">
        <v>1845</v>
      </c>
      <c r="L13" s="18" t="s">
        <v>176</v>
      </c>
      <c r="M13" s="18">
        <v>3000</v>
      </c>
      <c r="N13" s="18">
        <v>30</v>
      </c>
    </row>
    <row r="14" spans="1:14">
      <c r="A14" s="18" t="s">
        <v>1883</v>
      </c>
      <c r="B14" s="18" t="s">
        <v>248</v>
      </c>
      <c r="C14" s="18" t="s">
        <v>1835</v>
      </c>
      <c r="D14" s="18" t="s">
        <v>1836</v>
      </c>
      <c r="E14" s="18" t="s">
        <v>1884</v>
      </c>
      <c r="F14" s="18" t="s">
        <v>1838</v>
      </c>
      <c r="G14" s="18" t="s">
        <v>1839</v>
      </c>
      <c r="H14" s="19">
        <v>46023</v>
      </c>
      <c r="I14" s="19">
        <v>46387</v>
      </c>
      <c r="J14" s="18" t="s">
        <v>99</v>
      </c>
      <c r="K14" s="18" t="s">
        <v>1850</v>
      </c>
      <c r="L14" s="18" t="s">
        <v>98</v>
      </c>
      <c r="M14" s="18">
        <v>1500</v>
      </c>
      <c r="N14" s="18">
        <v>20</v>
      </c>
    </row>
    <row r="15" spans="1:14">
      <c r="A15" s="18" t="s">
        <v>1885</v>
      </c>
      <c r="B15" s="18" t="s">
        <v>259</v>
      </c>
      <c r="C15" s="18" t="s">
        <v>1835</v>
      </c>
      <c r="D15" s="18" t="s">
        <v>1842</v>
      </c>
      <c r="E15" s="18" t="s">
        <v>1886</v>
      </c>
      <c r="F15" s="18" t="s">
        <v>1844</v>
      </c>
      <c r="G15" s="18" t="s">
        <v>1839</v>
      </c>
      <c r="H15" s="19">
        <v>46023</v>
      </c>
      <c r="I15" s="19">
        <v>46387</v>
      </c>
      <c r="J15" s="18" t="s">
        <v>99</v>
      </c>
      <c r="K15" s="18" t="s">
        <v>1855</v>
      </c>
      <c r="L15" s="18" t="s">
        <v>118</v>
      </c>
      <c r="M15" s="18">
        <v>2000</v>
      </c>
      <c r="N15" s="18">
        <v>25</v>
      </c>
    </row>
    <row r="16" spans="1:14">
      <c r="A16" s="18" t="s">
        <v>1887</v>
      </c>
      <c r="B16" s="18" t="s">
        <v>270</v>
      </c>
      <c r="C16" s="18" t="s">
        <v>1835</v>
      </c>
      <c r="D16" s="18" t="s">
        <v>1847</v>
      </c>
      <c r="E16" s="18" t="s">
        <v>1888</v>
      </c>
      <c r="F16" s="18" t="s">
        <v>1849</v>
      </c>
      <c r="G16" s="18" t="s">
        <v>1839</v>
      </c>
      <c r="H16" s="19">
        <v>46023</v>
      </c>
      <c r="I16" s="19">
        <v>46387</v>
      </c>
      <c r="J16" s="18" t="s">
        <v>99</v>
      </c>
      <c r="K16" s="18" t="s">
        <v>1860</v>
      </c>
      <c r="L16" s="18" t="s">
        <v>134</v>
      </c>
      <c r="M16" s="18">
        <v>2500</v>
      </c>
      <c r="N16" s="18">
        <v>30</v>
      </c>
    </row>
    <row r="17" spans="1:14">
      <c r="A17" s="18" t="s">
        <v>1889</v>
      </c>
      <c r="B17" s="18" t="s">
        <v>281</v>
      </c>
      <c r="C17" s="18" t="s">
        <v>1835</v>
      </c>
      <c r="D17" s="18" t="s">
        <v>1852</v>
      </c>
      <c r="E17" s="18" t="s">
        <v>1890</v>
      </c>
      <c r="F17" s="18" t="s">
        <v>1854</v>
      </c>
      <c r="G17" s="18" t="s">
        <v>1839</v>
      </c>
      <c r="H17" s="19">
        <v>46023</v>
      </c>
      <c r="I17" s="19">
        <v>46387</v>
      </c>
      <c r="J17" s="18" t="s">
        <v>99</v>
      </c>
      <c r="K17" s="18" t="s">
        <v>1840</v>
      </c>
      <c r="L17" s="18" t="s">
        <v>149</v>
      </c>
      <c r="M17" s="18">
        <v>3000</v>
      </c>
      <c r="N17" s="18">
        <v>20</v>
      </c>
    </row>
    <row r="18" spans="1:14">
      <c r="A18" s="18" t="s">
        <v>1891</v>
      </c>
      <c r="B18" s="18" t="s">
        <v>292</v>
      </c>
      <c r="C18" s="18" t="s">
        <v>1835</v>
      </c>
      <c r="D18" s="18" t="s">
        <v>1857</v>
      </c>
      <c r="E18" s="18" t="s">
        <v>1892</v>
      </c>
      <c r="F18" s="18" t="s">
        <v>1859</v>
      </c>
      <c r="G18" s="18" t="s">
        <v>1839</v>
      </c>
      <c r="H18" s="19">
        <v>46023</v>
      </c>
      <c r="I18" s="19">
        <v>46387</v>
      </c>
      <c r="J18" s="18" t="s">
        <v>99</v>
      </c>
      <c r="K18" s="18" t="s">
        <v>1845</v>
      </c>
      <c r="L18" s="18" t="s">
        <v>162</v>
      </c>
      <c r="M18" s="18">
        <v>1500</v>
      </c>
      <c r="N18" s="18">
        <v>25</v>
      </c>
    </row>
    <row r="19" spans="1:14">
      <c r="A19" s="18" t="s">
        <v>1893</v>
      </c>
      <c r="B19" s="18" t="s">
        <v>303</v>
      </c>
      <c r="C19" s="18" t="s">
        <v>1835</v>
      </c>
      <c r="D19" s="18" t="s">
        <v>1862</v>
      </c>
      <c r="E19" s="18" t="s">
        <v>1894</v>
      </c>
      <c r="F19" s="18" t="s">
        <v>1864</v>
      </c>
      <c r="G19" s="18" t="s">
        <v>1839</v>
      </c>
      <c r="H19" s="19">
        <v>46023</v>
      </c>
      <c r="I19" s="19">
        <v>46387</v>
      </c>
      <c r="J19" s="18" t="s">
        <v>99</v>
      </c>
      <c r="K19" s="18" t="s">
        <v>1850</v>
      </c>
      <c r="L19" s="18" t="s">
        <v>176</v>
      </c>
      <c r="M19" s="18">
        <v>2000</v>
      </c>
      <c r="N19" s="18">
        <v>30</v>
      </c>
    </row>
    <row r="20" spans="1:14">
      <c r="A20" s="18" t="s">
        <v>1895</v>
      </c>
      <c r="B20" s="18" t="s">
        <v>313</v>
      </c>
      <c r="C20" s="18" t="s">
        <v>1835</v>
      </c>
      <c r="D20" s="18" t="s">
        <v>1836</v>
      </c>
      <c r="E20" s="18" t="s">
        <v>1896</v>
      </c>
      <c r="F20" s="18" t="s">
        <v>1867</v>
      </c>
      <c r="G20" s="18" t="s">
        <v>1839</v>
      </c>
      <c r="H20" s="19">
        <v>46023</v>
      </c>
      <c r="I20" s="19">
        <v>46387</v>
      </c>
      <c r="J20" s="18" t="s">
        <v>99</v>
      </c>
      <c r="K20" s="18" t="s">
        <v>1855</v>
      </c>
      <c r="L20" s="18" t="s">
        <v>98</v>
      </c>
      <c r="M20" s="18">
        <v>2500</v>
      </c>
      <c r="N20" s="18">
        <v>20</v>
      </c>
    </row>
    <row r="21" spans="1:14">
      <c r="A21" s="18" t="s">
        <v>1897</v>
      </c>
      <c r="B21" s="18" t="s">
        <v>324</v>
      </c>
      <c r="C21" s="18" t="s">
        <v>1835</v>
      </c>
      <c r="D21" s="18" t="s">
        <v>1842</v>
      </c>
      <c r="E21" s="18" t="s">
        <v>1898</v>
      </c>
      <c r="F21" s="18" t="s">
        <v>1870</v>
      </c>
      <c r="G21" s="18" t="s">
        <v>1839</v>
      </c>
      <c r="H21" s="19">
        <v>46023</v>
      </c>
      <c r="I21" s="19">
        <v>46387</v>
      </c>
      <c r="J21" s="18" t="s">
        <v>99</v>
      </c>
      <c r="K21" s="18" t="s">
        <v>1860</v>
      </c>
      <c r="L21" s="18" t="s">
        <v>118</v>
      </c>
      <c r="M21" s="18">
        <v>3000</v>
      </c>
      <c r="N21" s="18">
        <v>25</v>
      </c>
    </row>
    <row r="22" spans="1:14">
      <c r="A22" s="18" t="s">
        <v>1899</v>
      </c>
      <c r="B22" s="18" t="s">
        <v>335</v>
      </c>
      <c r="C22" s="18" t="s">
        <v>1835</v>
      </c>
      <c r="D22" s="18" t="s">
        <v>1847</v>
      </c>
      <c r="E22" s="18" t="s">
        <v>1900</v>
      </c>
      <c r="F22" s="18" t="s">
        <v>1873</v>
      </c>
      <c r="G22" s="18" t="s">
        <v>1839</v>
      </c>
      <c r="H22" s="19">
        <v>46023</v>
      </c>
      <c r="I22" s="19">
        <v>46387</v>
      </c>
      <c r="J22" s="18" t="s">
        <v>99</v>
      </c>
      <c r="K22" s="18" t="s">
        <v>1840</v>
      </c>
      <c r="L22" s="18" t="s">
        <v>134</v>
      </c>
      <c r="M22" s="18">
        <v>1500</v>
      </c>
      <c r="N22" s="18">
        <v>30</v>
      </c>
    </row>
    <row r="23" spans="1:14">
      <c r="A23" s="18" t="s">
        <v>1901</v>
      </c>
      <c r="B23" s="18" t="s">
        <v>342</v>
      </c>
      <c r="C23" s="18" t="s">
        <v>1835</v>
      </c>
      <c r="D23" s="18" t="s">
        <v>1852</v>
      </c>
      <c r="E23" s="18" t="s">
        <v>1902</v>
      </c>
      <c r="F23" s="18" t="s">
        <v>1876</v>
      </c>
      <c r="G23" s="18" t="s">
        <v>1839</v>
      </c>
      <c r="H23" s="19">
        <v>46023</v>
      </c>
      <c r="I23" s="19">
        <v>46387</v>
      </c>
      <c r="J23" s="18" t="s">
        <v>99</v>
      </c>
      <c r="K23" s="18" t="s">
        <v>1845</v>
      </c>
      <c r="L23" s="18" t="s">
        <v>149</v>
      </c>
      <c r="M23" s="18">
        <v>2000</v>
      </c>
      <c r="N23" s="18">
        <v>20</v>
      </c>
    </row>
    <row r="24" spans="1:14">
      <c r="A24" s="18" t="s">
        <v>1903</v>
      </c>
      <c r="B24" s="18" t="s">
        <v>350</v>
      </c>
      <c r="C24" s="18" t="s">
        <v>1835</v>
      </c>
      <c r="D24" s="18" t="s">
        <v>1857</v>
      </c>
      <c r="E24" s="18" t="s">
        <v>1904</v>
      </c>
      <c r="F24" s="18" t="s">
        <v>1879</v>
      </c>
      <c r="G24" s="18" t="s">
        <v>1839</v>
      </c>
      <c r="H24" s="19">
        <v>46023</v>
      </c>
      <c r="I24" s="19">
        <v>46387</v>
      </c>
      <c r="J24" s="18" t="s">
        <v>99</v>
      </c>
      <c r="K24" s="18" t="s">
        <v>1850</v>
      </c>
      <c r="L24" s="18" t="s">
        <v>162</v>
      </c>
      <c r="M24" s="18">
        <v>2500</v>
      </c>
      <c r="N24" s="18">
        <v>25</v>
      </c>
    </row>
    <row r="25" spans="1:14">
      <c r="A25" s="18" t="s">
        <v>1905</v>
      </c>
      <c r="B25" s="18" t="s">
        <v>356</v>
      </c>
      <c r="C25" s="18" t="s">
        <v>1835</v>
      </c>
      <c r="D25" s="18" t="s">
        <v>1862</v>
      </c>
      <c r="E25" s="18" t="s">
        <v>1906</v>
      </c>
      <c r="F25" s="18" t="s">
        <v>1882</v>
      </c>
      <c r="G25" s="18" t="s">
        <v>1839</v>
      </c>
      <c r="H25" s="19">
        <v>46023</v>
      </c>
      <c r="I25" s="19">
        <v>46387</v>
      </c>
      <c r="J25" s="18" t="s">
        <v>99</v>
      </c>
      <c r="K25" s="18" t="s">
        <v>1855</v>
      </c>
      <c r="L25" s="18" t="s">
        <v>176</v>
      </c>
      <c r="M25" s="18">
        <v>3000</v>
      </c>
      <c r="N25" s="18">
        <v>30</v>
      </c>
    </row>
    <row r="26" spans="1:14">
      <c r="A26" s="18" t="s">
        <v>1907</v>
      </c>
      <c r="B26" s="18" t="s">
        <v>364</v>
      </c>
      <c r="C26" s="18" t="s">
        <v>1835</v>
      </c>
      <c r="D26" s="18" t="s">
        <v>1836</v>
      </c>
      <c r="E26" s="18" t="s">
        <v>1908</v>
      </c>
      <c r="F26" s="18" t="s">
        <v>1838</v>
      </c>
      <c r="G26" s="18" t="s">
        <v>1839</v>
      </c>
      <c r="H26" s="19">
        <v>46023</v>
      </c>
      <c r="I26" s="19">
        <v>46387</v>
      </c>
      <c r="J26" s="18" t="s">
        <v>99</v>
      </c>
      <c r="K26" s="18" t="s">
        <v>1860</v>
      </c>
      <c r="L26" s="18" t="s">
        <v>98</v>
      </c>
      <c r="M26" s="18">
        <v>1500</v>
      </c>
      <c r="N26" s="18">
        <v>20</v>
      </c>
    </row>
    <row r="27" spans="1:14">
      <c r="A27" s="18" t="s">
        <v>1909</v>
      </c>
      <c r="B27" s="18" t="s">
        <v>371</v>
      </c>
      <c r="C27" s="18" t="s">
        <v>1835</v>
      </c>
      <c r="D27" s="18" t="s">
        <v>1842</v>
      </c>
      <c r="E27" s="18" t="s">
        <v>1910</v>
      </c>
      <c r="F27" s="18" t="s">
        <v>1844</v>
      </c>
      <c r="G27" s="18" t="s">
        <v>1839</v>
      </c>
      <c r="H27" s="19">
        <v>46023</v>
      </c>
      <c r="I27" s="19">
        <v>46387</v>
      </c>
      <c r="J27" s="18" t="s">
        <v>99</v>
      </c>
      <c r="K27" s="18" t="s">
        <v>1840</v>
      </c>
      <c r="L27" s="18" t="s">
        <v>118</v>
      </c>
      <c r="M27" s="18">
        <v>2000</v>
      </c>
      <c r="N27" s="18">
        <v>25</v>
      </c>
    </row>
    <row r="28" spans="1:14">
      <c r="A28" s="18" t="s">
        <v>1911</v>
      </c>
      <c r="B28" s="18" t="s">
        <v>379</v>
      </c>
      <c r="C28" s="18" t="s">
        <v>1835</v>
      </c>
      <c r="D28" s="18" t="s">
        <v>1847</v>
      </c>
      <c r="E28" s="18" t="s">
        <v>1912</v>
      </c>
      <c r="F28" s="18" t="s">
        <v>1849</v>
      </c>
      <c r="G28" s="18" t="s">
        <v>1839</v>
      </c>
      <c r="H28" s="19">
        <v>46023</v>
      </c>
      <c r="I28" s="19">
        <v>46387</v>
      </c>
      <c r="J28" s="18" t="s">
        <v>99</v>
      </c>
      <c r="K28" s="18" t="s">
        <v>1845</v>
      </c>
      <c r="L28" s="18" t="s">
        <v>134</v>
      </c>
      <c r="M28" s="18">
        <v>2500</v>
      </c>
      <c r="N28" s="18">
        <v>30</v>
      </c>
    </row>
    <row r="29" spans="1:14">
      <c r="A29" s="18" t="s">
        <v>1913</v>
      </c>
      <c r="B29" s="18" t="s">
        <v>386</v>
      </c>
      <c r="C29" s="18" t="s">
        <v>1835</v>
      </c>
      <c r="D29" s="18" t="s">
        <v>1852</v>
      </c>
      <c r="E29" s="18" t="s">
        <v>1914</v>
      </c>
      <c r="F29" s="18" t="s">
        <v>1854</v>
      </c>
      <c r="G29" s="18" t="s">
        <v>1839</v>
      </c>
      <c r="H29" s="19">
        <v>46023</v>
      </c>
      <c r="I29" s="19">
        <v>46387</v>
      </c>
      <c r="J29" s="18" t="s">
        <v>99</v>
      </c>
      <c r="K29" s="18" t="s">
        <v>1850</v>
      </c>
      <c r="L29" s="18" t="s">
        <v>149</v>
      </c>
      <c r="M29" s="18">
        <v>3000</v>
      </c>
      <c r="N29" s="18">
        <v>20</v>
      </c>
    </row>
    <row r="30" spans="1:14">
      <c r="A30" s="18" t="s">
        <v>1915</v>
      </c>
      <c r="B30" s="18" t="s">
        <v>393</v>
      </c>
      <c r="C30" s="18" t="s">
        <v>1835</v>
      </c>
      <c r="D30" s="18" t="s">
        <v>1857</v>
      </c>
      <c r="E30" s="18" t="s">
        <v>1916</v>
      </c>
      <c r="F30" s="18" t="s">
        <v>1859</v>
      </c>
      <c r="G30" s="18" t="s">
        <v>1839</v>
      </c>
      <c r="H30" s="19">
        <v>46023</v>
      </c>
      <c r="I30" s="19">
        <v>46387</v>
      </c>
      <c r="J30" s="18" t="s">
        <v>99</v>
      </c>
      <c r="K30" s="18" t="s">
        <v>1855</v>
      </c>
      <c r="L30" s="18" t="s">
        <v>162</v>
      </c>
      <c r="M30" s="18">
        <v>1500</v>
      </c>
      <c r="N30" s="18">
        <v>25</v>
      </c>
    </row>
    <row r="31" spans="1:14">
      <c r="A31" s="18" t="s">
        <v>1917</v>
      </c>
      <c r="B31" s="18" t="s">
        <v>400</v>
      </c>
      <c r="C31" s="18" t="s">
        <v>1835</v>
      </c>
      <c r="D31" s="18" t="s">
        <v>1862</v>
      </c>
      <c r="E31" s="18" t="s">
        <v>1918</v>
      </c>
      <c r="F31" s="18" t="s">
        <v>1864</v>
      </c>
      <c r="G31" s="18" t="s">
        <v>1839</v>
      </c>
      <c r="H31" s="19">
        <v>46023</v>
      </c>
      <c r="I31" s="19">
        <v>46387</v>
      </c>
      <c r="J31" s="18" t="s">
        <v>99</v>
      </c>
      <c r="K31" s="18" t="s">
        <v>1860</v>
      </c>
      <c r="L31" s="18" t="s">
        <v>176</v>
      </c>
      <c r="M31" s="18">
        <v>2000</v>
      </c>
      <c r="N31" s="18">
        <v>30</v>
      </c>
    </row>
    <row r="32" spans="1:14">
      <c r="A32" s="18" t="s">
        <v>1919</v>
      </c>
      <c r="B32" s="18" t="s">
        <v>408</v>
      </c>
      <c r="C32" s="18" t="s">
        <v>1835</v>
      </c>
      <c r="D32" s="18" t="s">
        <v>1836</v>
      </c>
      <c r="E32" s="18" t="s">
        <v>1920</v>
      </c>
      <c r="F32" s="18" t="s">
        <v>1867</v>
      </c>
      <c r="G32" s="18" t="s">
        <v>1839</v>
      </c>
      <c r="H32" s="19">
        <v>46023</v>
      </c>
      <c r="I32" s="19">
        <v>46387</v>
      </c>
      <c r="J32" s="18" t="s">
        <v>99</v>
      </c>
      <c r="K32" s="18" t="s">
        <v>1840</v>
      </c>
      <c r="L32" s="18" t="s">
        <v>98</v>
      </c>
      <c r="M32" s="18">
        <v>2500</v>
      </c>
      <c r="N32" s="18">
        <v>20</v>
      </c>
    </row>
    <row r="33" spans="1:14">
      <c r="A33" s="18" t="s">
        <v>1921</v>
      </c>
      <c r="B33" s="18" t="s">
        <v>415</v>
      </c>
      <c r="C33" s="18" t="s">
        <v>1835</v>
      </c>
      <c r="D33" s="18" t="s">
        <v>1842</v>
      </c>
      <c r="E33" s="18" t="s">
        <v>1922</v>
      </c>
      <c r="F33" s="18" t="s">
        <v>1870</v>
      </c>
      <c r="G33" s="18" t="s">
        <v>1839</v>
      </c>
      <c r="H33" s="19">
        <v>46023</v>
      </c>
      <c r="I33" s="19">
        <v>46387</v>
      </c>
      <c r="J33" s="18" t="s">
        <v>99</v>
      </c>
      <c r="K33" s="18" t="s">
        <v>1845</v>
      </c>
      <c r="L33" s="18" t="s">
        <v>118</v>
      </c>
      <c r="M33" s="18">
        <v>3000</v>
      </c>
      <c r="N33" s="18">
        <v>25</v>
      </c>
    </row>
    <row r="34" spans="1:14">
      <c r="A34" s="18" t="s">
        <v>1923</v>
      </c>
      <c r="B34" s="18" t="s">
        <v>423</v>
      </c>
      <c r="C34" s="18" t="s">
        <v>1835</v>
      </c>
      <c r="D34" s="18" t="s">
        <v>1847</v>
      </c>
      <c r="E34" s="18" t="s">
        <v>1924</v>
      </c>
      <c r="F34" s="18" t="s">
        <v>1873</v>
      </c>
      <c r="G34" s="18" t="s">
        <v>1839</v>
      </c>
      <c r="H34" s="19">
        <v>46023</v>
      </c>
      <c r="I34" s="19">
        <v>46387</v>
      </c>
      <c r="J34" s="18" t="s">
        <v>99</v>
      </c>
      <c r="K34" s="18" t="s">
        <v>1850</v>
      </c>
      <c r="L34" s="18" t="s">
        <v>134</v>
      </c>
      <c r="M34" s="18">
        <v>1500</v>
      </c>
      <c r="N34" s="18">
        <v>30</v>
      </c>
    </row>
    <row r="35" spans="1:14">
      <c r="A35" s="18" t="s">
        <v>1925</v>
      </c>
      <c r="B35" s="18" t="s">
        <v>430</v>
      </c>
      <c r="C35" s="18" t="s">
        <v>1835</v>
      </c>
      <c r="D35" s="18" t="s">
        <v>1852</v>
      </c>
      <c r="E35" s="18" t="s">
        <v>1926</v>
      </c>
      <c r="F35" s="18" t="s">
        <v>1876</v>
      </c>
      <c r="G35" s="18" t="s">
        <v>1839</v>
      </c>
      <c r="H35" s="19">
        <v>46023</v>
      </c>
      <c r="I35" s="19">
        <v>46387</v>
      </c>
      <c r="J35" s="18" t="s">
        <v>99</v>
      </c>
      <c r="K35" s="18" t="s">
        <v>1855</v>
      </c>
      <c r="L35" s="18" t="s">
        <v>149</v>
      </c>
      <c r="M35" s="18">
        <v>2000</v>
      </c>
      <c r="N35" s="18">
        <v>20</v>
      </c>
    </row>
    <row r="36" spans="1:14">
      <c r="A36" s="18" t="s">
        <v>1927</v>
      </c>
      <c r="B36" s="18" t="s">
        <v>438</v>
      </c>
      <c r="C36" s="18" t="s">
        <v>1835</v>
      </c>
      <c r="D36" s="18" t="s">
        <v>1857</v>
      </c>
      <c r="E36" s="18" t="s">
        <v>1928</v>
      </c>
      <c r="F36" s="18" t="s">
        <v>1879</v>
      </c>
      <c r="G36" s="18" t="s">
        <v>1839</v>
      </c>
      <c r="H36" s="19">
        <v>46023</v>
      </c>
      <c r="I36" s="19">
        <v>46387</v>
      </c>
      <c r="J36" s="18" t="s">
        <v>99</v>
      </c>
      <c r="K36" s="18" t="s">
        <v>1860</v>
      </c>
      <c r="L36" s="18" t="s">
        <v>162</v>
      </c>
      <c r="M36" s="18">
        <v>2500</v>
      </c>
      <c r="N36" s="18">
        <v>25</v>
      </c>
    </row>
    <row r="37" spans="1:14">
      <c r="A37" s="18" t="s">
        <v>1929</v>
      </c>
      <c r="B37" s="18" t="s">
        <v>445</v>
      </c>
      <c r="C37" s="18" t="s">
        <v>1835</v>
      </c>
      <c r="D37" s="18" t="s">
        <v>1862</v>
      </c>
      <c r="E37" s="18" t="s">
        <v>1930</v>
      </c>
      <c r="F37" s="18" t="s">
        <v>1882</v>
      </c>
      <c r="G37" s="18" t="s">
        <v>1839</v>
      </c>
      <c r="H37" s="19">
        <v>46023</v>
      </c>
      <c r="I37" s="19">
        <v>46387</v>
      </c>
      <c r="J37" s="18" t="s">
        <v>99</v>
      </c>
      <c r="K37" s="18" t="s">
        <v>1840</v>
      </c>
      <c r="L37" s="18" t="s">
        <v>176</v>
      </c>
      <c r="M37" s="18">
        <v>3000</v>
      </c>
      <c r="N37" s="18">
        <v>30</v>
      </c>
    </row>
    <row r="38" spans="1:14">
      <c r="A38" s="18" t="s">
        <v>1931</v>
      </c>
      <c r="B38" s="18" t="s">
        <v>453</v>
      </c>
      <c r="C38" s="18" t="s">
        <v>1835</v>
      </c>
      <c r="D38" s="18" t="s">
        <v>1836</v>
      </c>
      <c r="E38" s="18" t="s">
        <v>1932</v>
      </c>
      <c r="F38" s="18" t="s">
        <v>1838</v>
      </c>
      <c r="G38" s="18" t="s">
        <v>1839</v>
      </c>
      <c r="H38" s="19">
        <v>46023</v>
      </c>
      <c r="I38" s="19">
        <v>46387</v>
      </c>
      <c r="J38" s="18" t="s">
        <v>99</v>
      </c>
      <c r="K38" s="18" t="s">
        <v>1845</v>
      </c>
      <c r="L38" s="18" t="s">
        <v>98</v>
      </c>
      <c r="M38" s="18">
        <v>1500</v>
      </c>
      <c r="N38" s="18">
        <v>20</v>
      </c>
    </row>
    <row r="39" spans="1:14">
      <c r="A39" s="18" t="s">
        <v>1933</v>
      </c>
      <c r="B39" s="18" t="s">
        <v>460</v>
      </c>
      <c r="C39" s="18" t="s">
        <v>1835</v>
      </c>
      <c r="D39" s="18" t="s">
        <v>1842</v>
      </c>
      <c r="E39" s="18" t="s">
        <v>1934</v>
      </c>
      <c r="F39" s="18" t="s">
        <v>1844</v>
      </c>
      <c r="G39" s="18" t="s">
        <v>1839</v>
      </c>
      <c r="H39" s="19">
        <v>46023</v>
      </c>
      <c r="I39" s="19">
        <v>46387</v>
      </c>
      <c r="J39" s="18" t="s">
        <v>99</v>
      </c>
      <c r="K39" s="18" t="s">
        <v>1850</v>
      </c>
      <c r="L39" s="18" t="s">
        <v>118</v>
      </c>
      <c r="M39" s="18">
        <v>2000</v>
      </c>
      <c r="N39" s="18">
        <v>25</v>
      </c>
    </row>
    <row r="40" spans="1:14">
      <c r="A40" s="18" t="s">
        <v>1935</v>
      </c>
      <c r="B40" s="18" t="s">
        <v>468</v>
      </c>
      <c r="C40" s="18" t="s">
        <v>1835</v>
      </c>
      <c r="D40" s="18" t="s">
        <v>1847</v>
      </c>
      <c r="E40" s="18" t="s">
        <v>1936</v>
      </c>
      <c r="F40" s="18" t="s">
        <v>1849</v>
      </c>
      <c r="G40" s="18" t="s">
        <v>1839</v>
      </c>
      <c r="H40" s="19">
        <v>46023</v>
      </c>
      <c r="I40" s="19">
        <v>46387</v>
      </c>
      <c r="J40" s="18" t="s">
        <v>99</v>
      </c>
      <c r="K40" s="18" t="s">
        <v>1855</v>
      </c>
      <c r="L40" s="18" t="s">
        <v>134</v>
      </c>
      <c r="M40" s="18">
        <v>2500</v>
      </c>
      <c r="N40" s="18">
        <v>30</v>
      </c>
    </row>
    <row r="41" spans="1:14">
      <c r="A41" s="18" t="s">
        <v>1937</v>
      </c>
      <c r="B41" s="18" t="s">
        <v>475</v>
      </c>
      <c r="C41" s="18" t="s">
        <v>1835</v>
      </c>
      <c r="D41" s="18" t="s">
        <v>1852</v>
      </c>
      <c r="E41" s="18" t="s">
        <v>1938</v>
      </c>
      <c r="F41" s="18" t="s">
        <v>1854</v>
      </c>
      <c r="G41" s="18" t="s">
        <v>1839</v>
      </c>
      <c r="H41" s="19">
        <v>46023</v>
      </c>
      <c r="I41" s="19">
        <v>46387</v>
      </c>
      <c r="J41" s="18" t="s">
        <v>99</v>
      </c>
      <c r="K41" s="18" t="s">
        <v>1860</v>
      </c>
      <c r="L41" s="18" t="s">
        <v>149</v>
      </c>
      <c r="M41" s="18">
        <v>3000</v>
      </c>
      <c r="N41" s="18">
        <v>20</v>
      </c>
    </row>
    <row r="42" spans="1:14">
      <c r="A42" s="18" t="s">
        <v>1939</v>
      </c>
      <c r="B42" s="18" t="s">
        <v>483</v>
      </c>
      <c r="C42" s="18" t="s">
        <v>1835</v>
      </c>
      <c r="D42" s="18" t="s">
        <v>1857</v>
      </c>
      <c r="E42" s="18" t="s">
        <v>1940</v>
      </c>
      <c r="F42" s="18" t="s">
        <v>1859</v>
      </c>
      <c r="G42" s="18" t="s">
        <v>1839</v>
      </c>
      <c r="H42" s="19">
        <v>46023</v>
      </c>
      <c r="I42" s="19">
        <v>46387</v>
      </c>
      <c r="J42" s="18" t="s">
        <v>99</v>
      </c>
      <c r="K42" s="18" t="s">
        <v>1840</v>
      </c>
      <c r="L42" s="18" t="s">
        <v>162</v>
      </c>
      <c r="M42" s="18">
        <v>1500</v>
      </c>
      <c r="N42" s="18">
        <v>25</v>
      </c>
    </row>
    <row r="43" spans="1:14">
      <c r="A43" s="18" t="s">
        <v>1941</v>
      </c>
      <c r="B43" s="18" t="s">
        <v>491</v>
      </c>
      <c r="C43" s="18" t="s">
        <v>1835</v>
      </c>
      <c r="D43" s="18" t="s">
        <v>1862</v>
      </c>
      <c r="E43" s="18" t="s">
        <v>1942</v>
      </c>
      <c r="F43" s="18" t="s">
        <v>1864</v>
      </c>
      <c r="G43" s="18" t="s">
        <v>1839</v>
      </c>
      <c r="H43" s="19">
        <v>46023</v>
      </c>
      <c r="I43" s="19">
        <v>46387</v>
      </c>
      <c r="J43" s="18" t="s">
        <v>99</v>
      </c>
      <c r="K43" s="18" t="s">
        <v>1845</v>
      </c>
      <c r="L43" s="18" t="s">
        <v>176</v>
      </c>
      <c r="M43" s="18">
        <v>2000</v>
      </c>
      <c r="N43" s="18">
        <v>30</v>
      </c>
    </row>
    <row r="44" spans="1:14">
      <c r="A44" s="18" t="s">
        <v>1943</v>
      </c>
      <c r="B44" s="18" t="s">
        <v>499</v>
      </c>
      <c r="C44" s="18" t="s">
        <v>1835</v>
      </c>
      <c r="D44" s="18" t="s">
        <v>1836</v>
      </c>
      <c r="E44" s="18" t="s">
        <v>1944</v>
      </c>
      <c r="F44" s="18" t="s">
        <v>1867</v>
      </c>
      <c r="G44" s="18" t="s">
        <v>1839</v>
      </c>
      <c r="H44" s="19">
        <v>46023</v>
      </c>
      <c r="I44" s="19">
        <v>46387</v>
      </c>
      <c r="J44" s="18" t="s">
        <v>99</v>
      </c>
      <c r="K44" s="18" t="s">
        <v>1850</v>
      </c>
      <c r="L44" s="18" t="s">
        <v>98</v>
      </c>
      <c r="M44" s="18">
        <v>2500</v>
      </c>
      <c r="N44" s="18">
        <v>20</v>
      </c>
    </row>
    <row r="45" spans="1:14">
      <c r="A45" s="18" t="s">
        <v>1945</v>
      </c>
      <c r="B45" s="18" t="s">
        <v>507</v>
      </c>
      <c r="C45" s="18" t="s">
        <v>1835</v>
      </c>
      <c r="D45" s="18" t="s">
        <v>1842</v>
      </c>
      <c r="E45" s="18" t="s">
        <v>1946</v>
      </c>
      <c r="F45" s="18" t="s">
        <v>1870</v>
      </c>
      <c r="G45" s="18" t="s">
        <v>1839</v>
      </c>
      <c r="H45" s="19">
        <v>46023</v>
      </c>
      <c r="I45" s="19">
        <v>46387</v>
      </c>
      <c r="J45" s="18" t="s">
        <v>99</v>
      </c>
      <c r="K45" s="18" t="s">
        <v>1855</v>
      </c>
      <c r="L45" s="18" t="s">
        <v>118</v>
      </c>
      <c r="M45" s="18">
        <v>3000</v>
      </c>
      <c r="N45" s="18">
        <v>25</v>
      </c>
    </row>
    <row r="46" spans="1:14">
      <c r="A46" s="18" t="s">
        <v>1947</v>
      </c>
      <c r="B46" s="18" t="s">
        <v>515</v>
      </c>
      <c r="C46" s="18" t="s">
        <v>1835</v>
      </c>
      <c r="D46" s="18" t="s">
        <v>1847</v>
      </c>
      <c r="E46" s="18" t="s">
        <v>1948</v>
      </c>
      <c r="F46" s="18" t="s">
        <v>1873</v>
      </c>
      <c r="G46" s="18" t="s">
        <v>1839</v>
      </c>
      <c r="H46" s="19">
        <v>46023</v>
      </c>
      <c r="I46" s="19">
        <v>46387</v>
      </c>
      <c r="J46" s="18" t="s">
        <v>99</v>
      </c>
      <c r="K46" s="18" t="s">
        <v>1860</v>
      </c>
      <c r="L46" s="18" t="s">
        <v>134</v>
      </c>
      <c r="M46" s="18">
        <v>1500</v>
      </c>
      <c r="N46" s="18">
        <v>30</v>
      </c>
    </row>
    <row r="47" spans="1:14">
      <c r="A47" s="18" t="s">
        <v>1949</v>
      </c>
      <c r="B47" s="18" t="s">
        <v>523</v>
      </c>
      <c r="C47" s="18" t="s">
        <v>1835</v>
      </c>
      <c r="D47" s="18" t="s">
        <v>1852</v>
      </c>
      <c r="E47" s="18" t="s">
        <v>1950</v>
      </c>
      <c r="F47" s="18" t="s">
        <v>1876</v>
      </c>
      <c r="G47" s="18" t="s">
        <v>1839</v>
      </c>
      <c r="H47" s="19">
        <v>46023</v>
      </c>
      <c r="I47" s="19">
        <v>46387</v>
      </c>
      <c r="J47" s="18" t="s">
        <v>99</v>
      </c>
      <c r="K47" s="18" t="s">
        <v>1840</v>
      </c>
      <c r="L47" s="18" t="s">
        <v>149</v>
      </c>
      <c r="M47" s="18">
        <v>2000</v>
      </c>
      <c r="N47" s="18">
        <v>20</v>
      </c>
    </row>
    <row r="48" spans="1:14">
      <c r="A48" s="18" t="s">
        <v>1951</v>
      </c>
      <c r="B48" s="18" t="s">
        <v>531</v>
      </c>
      <c r="C48" s="18" t="s">
        <v>1835</v>
      </c>
      <c r="D48" s="18" t="s">
        <v>1857</v>
      </c>
      <c r="E48" s="18" t="s">
        <v>1952</v>
      </c>
      <c r="F48" s="18" t="s">
        <v>1879</v>
      </c>
      <c r="G48" s="18" t="s">
        <v>1839</v>
      </c>
      <c r="H48" s="19">
        <v>46023</v>
      </c>
      <c r="I48" s="19">
        <v>46387</v>
      </c>
      <c r="J48" s="18" t="s">
        <v>99</v>
      </c>
      <c r="K48" s="18" t="s">
        <v>1845</v>
      </c>
      <c r="L48" s="18" t="s">
        <v>162</v>
      </c>
      <c r="M48" s="18">
        <v>2500</v>
      </c>
      <c r="N48" s="18">
        <v>25</v>
      </c>
    </row>
    <row r="49" spans="1:14">
      <c r="A49" s="18" t="s">
        <v>1953</v>
      </c>
      <c r="B49" s="18" t="s">
        <v>539</v>
      </c>
      <c r="C49" s="18" t="s">
        <v>1835</v>
      </c>
      <c r="D49" s="18" t="s">
        <v>1862</v>
      </c>
      <c r="E49" s="18" t="s">
        <v>1954</v>
      </c>
      <c r="F49" s="18" t="s">
        <v>1882</v>
      </c>
      <c r="G49" s="18" t="s">
        <v>1839</v>
      </c>
      <c r="H49" s="19">
        <v>46023</v>
      </c>
      <c r="I49" s="19">
        <v>46387</v>
      </c>
      <c r="J49" s="18" t="s">
        <v>99</v>
      </c>
      <c r="K49" s="18" t="s">
        <v>1850</v>
      </c>
      <c r="L49" s="18" t="s">
        <v>176</v>
      </c>
      <c r="M49" s="18">
        <v>3000</v>
      </c>
      <c r="N49" s="18">
        <v>30</v>
      </c>
    </row>
    <row r="50" spans="1:14">
      <c r="A50" s="18" t="s">
        <v>1955</v>
      </c>
      <c r="B50" s="18" t="s">
        <v>547</v>
      </c>
      <c r="C50" s="18" t="s">
        <v>1835</v>
      </c>
      <c r="D50" s="18" t="s">
        <v>1836</v>
      </c>
      <c r="E50" s="18" t="s">
        <v>1956</v>
      </c>
      <c r="F50" s="18" t="s">
        <v>1838</v>
      </c>
      <c r="G50" s="18" t="s">
        <v>1839</v>
      </c>
      <c r="H50" s="19">
        <v>46023</v>
      </c>
      <c r="I50" s="19">
        <v>46387</v>
      </c>
      <c r="J50" s="18" t="s">
        <v>99</v>
      </c>
      <c r="K50" s="18" t="s">
        <v>1855</v>
      </c>
      <c r="L50" s="18" t="s">
        <v>98</v>
      </c>
      <c r="M50" s="18">
        <v>1500</v>
      </c>
      <c r="N50" s="18">
        <v>20</v>
      </c>
    </row>
    <row r="51" spans="1:14">
      <c r="A51" s="18" t="s">
        <v>1957</v>
      </c>
      <c r="B51" s="18" t="s">
        <v>555</v>
      </c>
      <c r="C51" s="18" t="s">
        <v>1835</v>
      </c>
      <c r="D51" s="18" t="s">
        <v>1842</v>
      </c>
      <c r="E51" s="18" t="s">
        <v>1958</v>
      </c>
      <c r="F51" s="18" t="s">
        <v>1844</v>
      </c>
      <c r="G51" s="18" t="s">
        <v>1839</v>
      </c>
      <c r="H51" s="19">
        <v>46023</v>
      </c>
      <c r="I51" s="19">
        <v>46387</v>
      </c>
      <c r="J51" s="18" t="s">
        <v>99</v>
      </c>
      <c r="K51" s="18" t="s">
        <v>1860</v>
      </c>
      <c r="L51" s="18" t="s">
        <v>118</v>
      </c>
      <c r="M51" s="18">
        <v>2000</v>
      </c>
      <c r="N51" s="18">
        <v>25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851A9"/>
  </sheetPr>
  <dimension ref="A1:N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4" width="16" customWidth="1"/>
    <col min="5" max="5" width="14" customWidth="1"/>
    <col min="6" max="6" width="38" customWidth="1"/>
    <col min="7" max="7" width="10" customWidth="1"/>
    <col min="8" max="8" width="16" customWidth="1"/>
    <col min="9" max="9" width="28" customWidth="1"/>
    <col min="10" max="10" width="16" customWidth="1"/>
    <col min="11" max="11" width="22" customWidth="1"/>
    <col min="12" max="12" width="30" customWidth="1"/>
    <col min="13" max="13" width="16" customWidth="1"/>
    <col min="14" max="14" width="12" customWidth="1"/>
  </cols>
  <sheetData>
    <row r="1" spans="1:14" ht="30" customHeight="1">
      <c r="A1" s="17" t="s">
        <v>1959</v>
      </c>
      <c r="B1" s="17" t="s">
        <v>66</v>
      </c>
      <c r="C1" s="17" t="s">
        <v>563</v>
      </c>
      <c r="D1" s="17" t="s">
        <v>1756</v>
      </c>
      <c r="E1" s="17" t="s">
        <v>1516</v>
      </c>
      <c r="F1" s="17" t="s">
        <v>1960</v>
      </c>
      <c r="G1" s="17" t="s">
        <v>1961</v>
      </c>
      <c r="H1" s="17" t="s">
        <v>1962</v>
      </c>
      <c r="I1" s="17" t="s">
        <v>1963</v>
      </c>
      <c r="J1" s="17" t="s">
        <v>1964</v>
      </c>
      <c r="K1" s="17" t="s">
        <v>1965</v>
      </c>
      <c r="L1" s="17" t="s">
        <v>1966</v>
      </c>
      <c r="M1" s="17" t="s">
        <v>1967</v>
      </c>
      <c r="N1" s="17" t="s">
        <v>1968</v>
      </c>
    </row>
    <row r="2" spans="1:14">
      <c r="A2" s="18" t="s">
        <v>1969</v>
      </c>
      <c r="B2" s="18" t="s">
        <v>35</v>
      </c>
      <c r="C2" s="18" t="s">
        <v>573</v>
      </c>
      <c r="D2" s="19">
        <v>46285</v>
      </c>
      <c r="E2" s="18" t="s">
        <v>1520</v>
      </c>
      <c r="F2" s="18" t="s">
        <v>1521</v>
      </c>
      <c r="G2" s="18" t="s">
        <v>1970</v>
      </c>
      <c r="H2" s="21">
        <v>185</v>
      </c>
      <c r="I2" s="21">
        <v>40</v>
      </c>
      <c r="J2" s="21">
        <v>100</v>
      </c>
      <c r="K2" s="22">
        <f>H2-I2-J2</f>
        <v>45</v>
      </c>
      <c r="L2" s="18" t="s">
        <v>1836</v>
      </c>
      <c r="M2" s="18" t="s">
        <v>1971</v>
      </c>
      <c r="N2" s="18" t="s">
        <v>1972</v>
      </c>
    </row>
    <row r="3" spans="1:14">
      <c r="A3" s="18" t="s">
        <v>1973</v>
      </c>
      <c r="B3" s="18" t="s">
        <v>107</v>
      </c>
      <c r="C3" s="18" t="s">
        <v>591</v>
      </c>
      <c r="D3" s="19">
        <v>46283</v>
      </c>
      <c r="E3" s="18" t="s">
        <v>1523</v>
      </c>
      <c r="F3" s="18" t="s">
        <v>1524</v>
      </c>
      <c r="G3" s="18" t="s">
        <v>1970</v>
      </c>
      <c r="H3" s="21">
        <v>210</v>
      </c>
      <c r="I3" s="21">
        <v>50</v>
      </c>
      <c r="J3" s="21">
        <v>115</v>
      </c>
      <c r="K3" s="22">
        <f>H3-I3-J3</f>
        <v>45</v>
      </c>
      <c r="L3" s="18" t="s">
        <v>1842</v>
      </c>
      <c r="M3" s="18" t="s">
        <v>1974</v>
      </c>
      <c r="N3" s="18" t="s">
        <v>1972</v>
      </c>
    </row>
    <row r="4" spans="1:14">
      <c r="A4" s="18" t="s">
        <v>1975</v>
      </c>
      <c r="B4" s="18" t="s">
        <v>125</v>
      </c>
      <c r="C4" s="18" t="s">
        <v>599</v>
      </c>
      <c r="D4" s="19">
        <v>46281</v>
      </c>
      <c r="E4" s="18" t="s">
        <v>1526</v>
      </c>
      <c r="F4" s="18" t="s">
        <v>1527</v>
      </c>
      <c r="G4" s="18" t="s">
        <v>1970</v>
      </c>
      <c r="H4" s="21">
        <v>235</v>
      </c>
      <c r="I4" s="21">
        <v>60</v>
      </c>
      <c r="J4" s="21">
        <v>130</v>
      </c>
      <c r="K4" s="22">
        <f>H4-I4-J4</f>
        <v>45</v>
      </c>
      <c r="L4" s="18" t="s">
        <v>1847</v>
      </c>
      <c r="M4" s="18" t="s">
        <v>1976</v>
      </c>
      <c r="N4" s="18" t="s">
        <v>1972</v>
      </c>
    </row>
    <row r="5" spans="1:14">
      <c r="A5" s="18" t="s">
        <v>1977</v>
      </c>
      <c r="B5" s="18" t="s">
        <v>141</v>
      </c>
      <c r="C5" s="18" t="s">
        <v>607</v>
      </c>
      <c r="D5" s="19">
        <v>46279</v>
      </c>
      <c r="E5" s="18" t="s">
        <v>1529</v>
      </c>
      <c r="F5" s="18" t="s">
        <v>1530</v>
      </c>
      <c r="G5" s="18" t="s">
        <v>1970</v>
      </c>
      <c r="H5" s="21">
        <v>260</v>
      </c>
      <c r="I5" s="21">
        <v>70</v>
      </c>
      <c r="J5" s="21">
        <v>145</v>
      </c>
      <c r="K5" s="22">
        <f>H5-I5-J5</f>
        <v>45</v>
      </c>
      <c r="L5" s="18" t="s">
        <v>1852</v>
      </c>
      <c r="M5" s="18" t="s">
        <v>1971</v>
      </c>
      <c r="N5" s="18" t="s">
        <v>1972</v>
      </c>
    </row>
    <row r="6" spans="1:14">
      <c r="A6" s="18" t="s">
        <v>1978</v>
      </c>
      <c r="B6" s="18" t="s">
        <v>155</v>
      </c>
      <c r="C6" s="18" t="s">
        <v>615</v>
      </c>
      <c r="D6" s="19">
        <v>46277</v>
      </c>
      <c r="E6" s="18" t="s">
        <v>1520</v>
      </c>
      <c r="F6" s="18" t="s">
        <v>1521</v>
      </c>
      <c r="G6" s="18" t="s">
        <v>1970</v>
      </c>
      <c r="H6" s="21">
        <v>285</v>
      </c>
      <c r="I6" s="21">
        <v>40</v>
      </c>
      <c r="J6" s="21">
        <v>160</v>
      </c>
      <c r="K6" s="22">
        <f>H6-I6-J6</f>
        <v>85</v>
      </c>
      <c r="L6" s="18" t="s">
        <v>1857</v>
      </c>
      <c r="M6" s="18" t="s">
        <v>1974</v>
      </c>
      <c r="N6" s="18" t="s">
        <v>1972</v>
      </c>
    </row>
    <row r="7" spans="1:14">
      <c r="A7" s="18" t="s">
        <v>1979</v>
      </c>
      <c r="B7" s="18" t="s">
        <v>169</v>
      </c>
      <c r="C7" s="18" t="s">
        <v>620</v>
      </c>
      <c r="D7" s="19">
        <v>46275</v>
      </c>
      <c r="E7" s="18" t="s">
        <v>1523</v>
      </c>
      <c r="F7" s="18" t="s">
        <v>1524</v>
      </c>
      <c r="G7" s="18" t="s">
        <v>1970</v>
      </c>
      <c r="H7" s="21">
        <v>310</v>
      </c>
      <c r="I7" s="21">
        <v>50</v>
      </c>
      <c r="J7" s="21">
        <v>100</v>
      </c>
      <c r="K7" s="22">
        <f>H7-I7-J7</f>
        <v>160</v>
      </c>
      <c r="L7" s="18" t="s">
        <v>1862</v>
      </c>
      <c r="M7" s="18" t="s">
        <v>1976</v>
      </c>
      <c r="N7" s="18" t="s">
        <v>1972</v>
      </c>
    </row>
    <row r="8" spans="1:14">
      <c r="A8" s="18" t="s">
        <v>1980</v>
      </c>
      <c r="B8" s="18" t="s">
        <v>183</v>
      </c>
      <c r="C8" s="18" t="s">
        <v>625</v>
      </c>
      <c r="D8" s="19">
        <v>46273</v>
      </c>
      <c r="E8" s="18" t="s">
        <v>1526</v>
      </c>
      <c r="F8" s="18" t="s">
        <v>1527</v>
      </c>
      <c r="G8" s="18" t="s">
        <v>1970</v>
      </c>
      <c r="H8" s="21">
        <v>335</v>
      </c>
      <c r="I8" s="21">
        <v>60</v>
      </c>
      <c r="J8" s="21">
        <v>115</v>
      </c>
      <c r="K8" s="22">
        <f>H8-I8-J8</f>
        <v>160</v>
      </c>
      <c r="L8" s="18" t="s">
        <v>1836</v>
      </c>
      <c r="M8" s="18" t="s">
        <v>1971</v>
      </c>
      <c r="N8" s="18" t="s">
        <v>1972</v>
      </c>
    </row>
    <row r="9" spans="1:14">
      <c r="A9" s="18" t="s">
        <v>1981</v>
      </c>
      <c r="B9" s="18" t="s">
        <v>194</v>
      </c>
      <c r="C9" s="18" t="s">
        <v>630</v>
      </c>
      <c r="D9" s="19">
        <v>46271</v>
      </c>
      <c r="E9" s="18" t="s">
        <v>1529</v>
      </c>
      <c r="F9" s="18" t="s">
        <v>1530</v>
      </c>
      <c r="G9" s="18" t="s">
        <v>1970</v>
      </c>
      <c r="H9" s="21">
        <v>360</v>
      </c>
      <c r="I9" s="21">
        <v>70</v>
      </c>
      <c r="J9" s="21">
        <v>130</v>
      </c>
      <c r="K9" s="22">
        <f>H9-I9-J9</f>
        <v>160</v>
      </c>
      <c r="L9" s="18" t="s">
        <v>1842</v>
      </c>
      <c r="M9" s="18" t="s">
        <v>1974</v>
      </c>
      <c r="N9" s="18" t="s">
        <v>1972</v>
      </c>
    </row>
    <row r="10" spans="1:14">
      <c r="A10" s="18" t="s">
        <v>1982</v>
      </c>
      <c r="B10" s="18" t="s">
        <v>204</v>
      </c>
      <c r="C10" s="18" t="s">
        <v>635</v>
      </c>
      <c r="D10" s="19">
        <v>46269</v>
      </c>
      <c r="E10" s="18" t="s">
        <v>1520</v>
      </c>
      <c r="F10" s="18" t="s">
        <v>1521</v>
      </c>
      <c r="G10" s="18" t="s">
        <v>1970</v>
      </c>
      <c r="H10" s="21">
        <v>185</v>
      </c>
      <c r="I10" s="21">
        <v>40</v>
      </c>
      <c r="J10" s="21">
        <v>145</v>
      </c>
      <c r="K10" s="22">
        <f>H10-I10-J10</f>
        <v>0</v>
      </c>
      <c r="L10" s="18" t="s">
        <v>1847</v>
      </c>
      <c r="M10" s="18" t="s">
        <v>1976</v>
      </c>
      <c r="N10" s="18" t="s">
        <v>1972</v>
      </c>
    </row>
    <row r="11" spans="1:14">
      <c r="A11" s="18" t="s">
        <v>1983</v>
      </c>
      <c r="B11" s="18" t="s">
        <v>215</v>
      </c>
      <c r="C11" s="18" t="s">
        <v>638</v>
      </c>
      <c r="D11" s="19">
        <v>46267</v>
      </c>
      <c r="E11" s="18" t="s">
        <v>1523</v>
      </c>
      <c r="F11" s="18" t="s">
        <v>1524</v>
      </c>
      <c r="G11" s="18" t="s">
        <v>1970</v>
      </c>
      <c r="H11" s="21">
        <v>210</v>
      </c>
      <c r="I11" s="21">
        <v>50</v>
      </c>
      <c r="J11" s="21">
        <v>160</v>
      </c>
      <c r="K11" s="22">
        <f>H11-I11-J11</f>
        <v>0</v>
      </c>
      <c r="L11" s="18" t="s">
        <v>1852</v>
      </c>
      <c r="M11" s="18" t="s">
        <v>1971</v>
      </c>
      <c r="N11" s="18" t="s">
        <v>1972</v>
      </c>
    </row>
    <row r="12" spans="1:14">
      <c r="A12" s="18" t="s">
        <v>1984</v>
      </c>
      <c r="B12" s="18" t="s">
        <v>226</v>
      </c>
      <c r="C12" s="18" t="s">
        <v>641</v>
      </c>
      <c r="D12" s="19">
        <v>46265</v>
      </c>
      <c r="E12" s="18" t="s">
        <v>1526</v>
      </c>
      <c r="F12" s="18" t="s">
        <v>1527</v>
      </c>
      <c r="G12" s="18" t="s">
        <v>1970</v>
      </c>
      <c r="H12" s="21">
        <v>235</v>
      </c>
      <c r="I12" s="21">
        <v>60</v>
      </c>
      <c r="J12" s="21">
        <v>100</v>
      </c>
      <c r="K12" s="22">
        <f>H12-I12-J12</f>
        <v>75</v>
      </c>
      <c r="L12" s="18" t="s">
        <v>1857</v>
      </c>
      <c r="M12" s="18" t="s">
        <v>1974</v>
      </c>
      <c r="N12" s="18" t="s">
        <v>1972</v>
      </c>
    </row>
    <row r="13" spans="1:14">
      <c r="A13" s="18" t="s">
        <v>1985</v>
      </c>
      <c r="B13" s="18" t="s">
        <v>237</v>
      </c>
      <c r="C13" s="18" t="s">
        <v>644</v>
      </c>
      <c r="D13" s="19">
        <v>46263</v>
      </c>
      <c r="E13" s="18" t="s">
        <v>1529</v>
      </c>
      <c r="F13" s="18" t="s">
        <v>1530</v>
      </c>
      <c r="G13" s="18" t="s">
        <v>1970</v>
      </c>
      <c r="H13" s="21">
        <v>260</v>
      </c>
      <c r="I13" s="21">
        <v>70</v>
      </c>
      <c r="J13" s="21">
        <v>115</v>
      </c>
      <c r="K13" s="22">
        <f>H13-I13-J13</f>
        <v>75</v>
      </c>
      <c r="L13" s="18" t="s">
        <v>1862</v>
      </c>
      <c r="M13" s="18" t="s">
        <v>1976</v>
      </c>
      <c r="N13" s="18" t="s">
        <v>1972</v>
      </c>
    </row>
    <row r="14" spans="1:14">
      <c r="A14" s="18" t="s">
        <v>1986</v>
      </c>
      <c r="B14" s="18" t="s">
        <v>248</v>
      </c>
      <c r="C14" s="18" t="s">
        <v>647</v>
      </c>
      <c r="D14" s="19">
        <v>46261</v>
      </c>
      <c r="E14" s="18" t="s">
        <v>1520</v>
      </c>
      <c r="F14" s="18" t="s">
        <v>1521</v>
      </c>
      <c r="G14" s="18" t="s">
        <v>1970</v>
      </c>
      <c r="H14" s="21">
        <v>285</v>
      </c>
      <c r="I14" s="21">
        <v>40</v>
      </c>
      <c r="J14" s="21">
        <v>130</v>
      </c>
      <c r="K14" s="22">
        <f>H14-I14-J14</f>
        <v>115</v>
      </c>
      <c r="L14" s="18" t="s">
        <v>1836</v>
      </c>
      <c r="M14" s="18" t="s">
        <v>1971</v>
      </c>
      <c r="N14" s="18" t="s">
        <v>1972</v>
      </c>
    </row>
    <row r="15" spans="1:14">
      <c r="A15" s="18" t="s">
        <v>1987</v>
      </c>
      <c r="B15" s="18" t="s">
        <v>259</v>
      </c>
      <c r="C15" s="18" t="s">
        <v>650</v>
      </c>
      <c r="D15" s="19">
        <v>46259</v>
      </c>
      <c r="E15" s="18" t="s">
        <v>1523</v>
      </c>
      <c r="F15" s="18" t="s">
        <v>1524</v>
      </c>
      <c r="G15" s="18" t="s">
        <v>1970</v>
      </c>
      <c r="H15" s="21">
        <v>310</v>
      </c>
      <c r="I15" s="21">
        <v>50</v>
      </c>
      <c r="J15" s="21">
        <v>145</v>
      </c>
      <c r="K15" s="22">
        <f>H15-I15-J15</f>
        <v>115</v>
      </c>
      <c r="L15" s="18" t="s">
        <v>1842</v>
      </c>
      <c r="M15" s="18" t="s">
        <v>1974</v>
      </c>
      <c r="N15" s="18" t="s">
        <v>1972</v>
      </c>
    </row>
    <row r="16" spans="1:14">
      <c r="A16" s="18" t="s">
        <v>1988</v>
      </c>
      <c r="B16" s="18" t="s">
        <v>270</v>
      </c>
      <c r="C16" s="18" t="s">
        <v>653</v>
      </c>
      <c r="D16" s="19">
        <v>46257</v>
      </c>
      <c r="E16" s="18" t="s">
        <v>1526</v>
      </c>
      <c r="F16" s="18" t="s">
        <v>1527</v>
      </c>
      <c r="G16" s="18" t="s">
        <v>1970</v>
      </c>
      <c r="H16" s="21">
        <v>335</v>
      </c>
      <c r="I16" s="21">
        <v>60</v>
      </c>
      <c r="J16" s="21">
        <v>160</v>
      </c>
      <c r="K16" s="22">
        <f>H16-I16-J16</f>
        <v>115</v>
      </c>
      <c r="L16" s="18" t="s">
        <v>1847</v>
      </c>
      <c r="M16" s="18" t="s">
        <v>1976</v>
      </c>
      <c r="N16" s="18" t="s">
        <v>1972</v>
      </c>
    </row>
    <row r="17" spans="1:14">
      <c r="A17" s="18" t="s">
        <v>1989</v>
      </c>
      <c r="B17" s="18" t="s">
        <v>281</v>
      </c>
      <c r="C17" s="18" t="s">
        <v>656</v>
      </c>
      <c r="D17" s="19">
        <v>46255</v>
      </c>
      <c r="E17" s="18" t="s">
        <v>1529</v>
      </c>
      <c r="F17" s="18" t="s">
        <v>1530</v>
      </c>
      <c r="G17" s="18" t="s">
        <v>1970</v>
      </c>
      <c r="H17" s="21">
        <v>360</v>
      </c>
      <c r="I17" s="21">
        <v>70</v>
      </c>
      <c r="J17" s="21">
        <v>100</v>
      </c>
      <c r="K17" s="22">
        <f>H17-I17-J17</f>
        <v>190</v>
      </c>
      <c r="L17" s="18" t="s">
        <v>1852</v>
      </c>
      <c r="M17" s="18" t="s">
        <v>1971</v>
      </c>
      <c r="N17" s="18" t="s">
        <v>1972</v>
      </c>
    </row>
    <row r="18" spans="1:14">
      <c r="A18" s="18" t="s">
        <v>1990</v>
      </c>
      <c r="B18" s="18" t="s">
        <v>292</v>
      </c>
      <c r="C18" s="18" t="s">
        <v>659</v>
      </c>
      <c r="D18" s="19">
        <v>46253</v>
      </c>
      <c r="E18" s="18" t="s">
        <v>1520</v>
      </c>
      <c r="F18" s="18" t="s">
        <v>1521</v>
      </c>
      <c r="G18" s="18" t="s">
        <v>1970</v>
      </c>
      <c r="H18" s="21">
        <v>185</v>
      </c>
      <c r="I18" s="21">
        <v>40</v>
      </c>
      <c r="J18" s="21">
        <v>115</v>
      </c>
      <c r="K18" s="22">
        <f>H18-I18-J18</f>
        <v>30</v>
      </c>
      <c r="L18" s="18" t="s">
        <v>1857</v>
      </c>
      <c r="M18" s="18" t="s">
        <v>1974</v>
      </c>
      <c r="N18" s="18" t="s">
        <v>1972</v>
      </c>
    </row>
    <row r="19" spans="1:14">
      <c r="A19" s="18" t="s">
        <v>1991</v>
      </c>
      <c r="B19" s="18" t="s">
        <v>303</v>
      </c>
      <c r="C19" s="18" t="s">
        <v>662</v>
      </c>
      <c r="D19" s="19">
        <v>46251</v>
      </c>
      <c r="E19" s="18" t="s">
        <v>1523</v>
      </c>
      <c r="F19" s="18" t="s">
        <v>1524</v>
      </c>
      <c r="G19" s="18" t="s">
        <v>1970</v>
      </c>
      <c r="H19" s="21">
        <v>210</v>
      </c>
      <c r="I19" s="21">
        <v>50</v>
      </c>
      <c r="J19" s="21">
        <v>130</v>
      </c>
      <c r="K19" s="22">
        <f>H19-I19-J19</f>
        <v>30</v>
      </c>
      <c r="L19" s="18" t="s">
        <v>1862</v>
      </c>
      <c r="M19" s="18" t="s">
        <v>1976</v>
      </c>
      <c r="N19" s="18" t="s">
        <v>1972</v>
      </c>
    </row>
    <row r="20" spans="1:14">
      <c r="A20" s="18" t="s">
        <v>1992</v>
      </c>
      <c r="B20" s="18" t="s">
        <v>313</v>
      </c>
      <c r="C20" s="18" t="s">
        <v>665</v>
      </c>
      <c r="D20" s="19">
        <v>46249</v>
      </c>
      <c r="E20" s="18" t="s">
        <v>1526</v>
      </c>
      <c r="F20" s="18" t="s">
        <v>1527</v>
      </c>
      <c r="G20" s="18" t="s">
        <v>1970</v>
      </c>
      <c r="H20" s="21">
        <v>235</v>
      </c>
      <c r="I20" s="21">
        <v>60</v>
      </c>
      <c r="J20" s="21">
        <v>145</v>
      </c>
      <c r="K20" s="22">
        <f>H20-I20-J20</f>
        <v>30</v>
      </c>
      <c r="L20" s="18" t="s">
        <v>1836</v>
      </c>
      <c r="M20" s="18" t="s">
        <v>1971</v>
      </c>
      <c r="N20" s="18" t="s">
        <v>1972</v>
      </c>
    </row>
    <row r="21" spans="1:14">
      <c r="A21" s="18" t="s">
        <v>1993</v>
      </c>
      <c r="B21" s="18" t="s">
        <v>324</v>
      </c>
      <c r="C21" s="18" t="s">
        <v>668</v>
      </c>
      <c r="D21" s="19">
        <v>46247</v>
      </c>
      <c r="E21" s="18" t="s">
        <v>1529</v>
      </c>
      <c r="F21" s="18" t="s">
        <v>1530</v>
      </c>
      <c r="G21" s="18" t="s">
        <v>1970</v>
      </c>
      <c r="H21" s="21">
        <v>260</v>
      </c>
      <c r="I21" s="21">
        <v>70</v>
      </c>
      <c r="J21" s="21">
        <v>160</v>
      </c>
      <c r="K21" s="22">
        <f>H21-I21-J21</f>
        <v>30</v>
      </c>
      <c r="L21" s="18" t="s">
        <v>1842</v>
      </c>
      <c r="M21" s="18" t="s">
        <v>1974</v>
      </c>
      <c r="N21" s="18" t="s">
        <v>1972</v>
      </c>
    </row>
    <row r="22" spans="1:14">
      <c r="A22" s="18" t="s">
        <v>1994</v>
      </c>
      <c r="B22" s="18" t="s">
        <v>335</v>
      </c>
      <c r="C22" s="18" t="s">
        <v>671</v>
      </c>
      <c r="D22" s="19">
        <v>46245</v>
      </c>
      <c r="E22" s="18" t="s">
        <v>1520</v>
      </c>
      <c r="F22" s="18" t="s">
        <v>1521</v>
      </c>
      <c r="G22" s="18" t="s">
        <v>1970</v>
      </c>
      <c r="H22" s="21">
        <v>285</v>
      </c>
      <c r="I22" s="21">
        <v>40</v>
      </c>
      <c r="J22" s="21">
        <v>100</v>
      </c>
      <c r="K22" s="22">
        <f>H22-I22-J22</f>
        <v>145</v>
      </c>
      <c r="L22" s="18" t="s">
        <v>1847</v>
      </c>
      <c r="M22" s="18" t="s">
        <v>1976</v>
      </c>
      <c r="N22" s="18" t="s">
        <v>1972</v>
      </c>
    </row>
    <row r="23" spans="1:14">
      <c r="A23" s="18" t="s">
        <v>1995</v>
      </c>
      <c r="B23" s="18" t="s">
        <v>342</v>
      </c>
      <c r="C23" s="18" t="s">
        <v>674</v>
      </c>
      <c r="D23" s="19">
        <v>46243</v>
      </c>
      <c r="E23" s="18" t="s">
        <v>1523</v>
      </c>
      <c r="F23" s="18" t="s">
        <v>1524</v>
      </c>
      <c r="G23" s="18" t="s">
        <v>1970</v>
      </c>
      <c r="H23" s="21">
        <v>310</v>
      </c>
      <c r="I23" s="21">
        <v>50</v>
      </c>
      <c r="J23" s="21">
        <v>115</v>
      </c>
      <c r="K23" s="22">
        <f>H23-I23-J23</f>
        <v>145</v>
      </c>
      <c r="L23" s="18" t="s">
        <v>1852</v>
      </c>
      <c r="M23" s="18" t="s">
        <v>1971</v>
      </c>
      <c r="N23" s="18" t="s">
        <v>1972</v>
      </c>
    </row>
    <row r="24" spans="1:14">
      <c r="A24" s="18" t="s">
        <v>1996</v>
      </c>
      <c r="B24" s="18" t="s">
        <v>350</v>
      </c>
      <c r="C24" s="18" t="s">
        <v>677</v>
      </c>
      <c r="D24" s="19">
        <v>46241</v>
      </c>
      <c r="E24" s="18" t="s">
        <v>1526</v>
      </c>
      <c r="F24" s="18" t="s">
        <v>1527</v>
      </c>
      <c r="G24" s="18" t="s">
        <v>1970</v>
      </c>
      <c r="H24" s="21">
        <v>335</v>
      </c>
      <c r="I24" s="21">
        <v>60</v>
      </c>
      <c r="J24" s="21">
        <v>130</v>
      </c>
      <c r="K24" s="22">
        <f>H24-I24-J24</f>
        <v>145</v>
      </c>
      <c r="L24" s="18" t="s">
        <v>1857</v>
      </c>
      <c r="M24" s="18" t="s">
        <v>1974</v>
      </c>
      <c r="N24" s="18" t="s">
        <v>1972</v>
      </c>
    </row>
    <row r="25" spans="1:14">
      <c r="A25" s="18" t="s">
        <v>1997</v>
      </c>
      <c r="B25" s="18" t="s">
        <v>356</v>
      </c>
      <c r="C25" s="18" t="s">
        <v>680</v>
      </c>
      <c r="D25" s="19">
        <v>46239</v>
      </c>
      <c r="E25" s="18" t="s">
        <v>1529</v>
      </c>
      <c r="F25" s="18" t="s">
        <v>1530</v>
      </c>
      <c r="G25" s="18" t="s">
        <v>1970</v>
      </c>
      <c r="H25" s="21">
        <v>360</v>
      </c>
      <c r="I25" s="21">
        <v>70</v>
      </c>
      <c r="J25" s="21">
        <v>145</v>
      </c>
      <c r="K25" s="22">
        <f>H25-I25-J25</f>
        <v>145</v>
      </c>
      <c r="L25" s="18" t="s">
        <v>1862</v>
      </c>
      <c r="M25" s="18" t="s">
        <v>1976</v>
      </c>
      <c r="N25" s="18" t="s">
        <v>1972</v>
      </c>
    </row>
    <row r="26" spans="1:14">
      <c r="A26" s="18" t="s">
        <v>1998</v>
      </c>
      <c r="B26" s="18" t="s">
        <v>364</v>
      </c>
      <c r="C26" s="18" t="s">
        <v>683</v>
      </c>
      <c r="D26" s="19">
        <v>46237</v>
      </c>
      <c r="E26" s="18" t="s">
        <v>1520</v>
      </c>
      <c r="F26" s="18" t="s">
        <v>1521</v>
      </c>
      <c r="G26" s="18" t="s">
        <v>1970</v>
      </c>
      <c r="H26" s="21">
        <v>185</v>
      </c>
      <c r="I26" s="21">
        <v>40</v>
      </c>
      <c r="J26" s="21">
        <v>160</v>
      </c>
      <c r="K26" s="22">
        <f>H26-I26-J26</f>
        <v>-15</v>
      </c>
      <c r="L26" s="18" t="s">
        <v>1836</v>
      </c>
      <c r="M26" s="18" t="s">
        <v>1971</v>
      </c>
      <c r="N26" s="18" t="s">
        <v>1972</v>
      </c>
    </row>
    <row r="27" spans="1:14">
      <c r="A27" s="18" t="s">
        <v>1999</v>
      </c>
      <c r="B27" s="18" t="s">
        <v>371</v>
      </c>
      <c r="C27" s="18" t="s">
        <v>686</v>
      </c>
      <c r="D27" s="19">
        <v>46235</v>
      </c>
      <c r="E27" s="18" t="s">
        <v>1523</v>
      </c>
      <c r="F27" s="18" t="s">
        <v>1524</v>
      </c>
      <c r="G27" s="18" t="s">
        <v>1970</v>
      </c>
      <c r="H27" s="21">
        <v>210</v>
      </c>
      <c r="I27" s="21">
        <v>50</v>
      </c>
      <c r="J27" s="21">
        <v>100</v>
      </c>
      <c r="K27" s="22">
        <f>H27-I27-J27</f>
        <v>60</v>
      </c>
      <c r="L27" s="18" t="s">
        <v>1842</v>
      </c>
      <c r="M27" s="18" t="s">
        <v>1974</v>
      </c>
      <c r="N27" s="18" t="s">
        <v>1972</v>
      </c>
    </row>
    <row r="28" spans="1:14">
      <c r="A28" s="18" t="s">
        <v>2000</v>
      </c>
      <c r="B28" s="18" t="s">
        <v>379</v>
      </c>
      <c r="C28" s="18" t="s">
        <v>689</v>
      </c>
      <c r="D28" s="19">
        <v>46233</v>
      </c>
      <c r="E28" s="18" t="s">
        <v>1526</v>
      </c>
      <c r="F28" s="18" t="s">
        <v>1527</v>
      </c>
      <c r="G28" s="18" t="s">
        <v>1970</v>
      </c>
      <c r="H28" s="21">
        <v>235</v>
      </c>
      <c r="I28" s="21">
        <v>60</v>
      </c>
      <c r="J28" s="21">
        <v>115</v>
      </c>
      <c r="K28" s="22">
        <f>H28-I28-J28</f>
        <v>60</v>
      </c>
      <c r="L28" s="18" t="s">
        <v>1847</v>
      </c>
      <c r="M28" s="18" t="s">
        <v>1976</v>
      </c>
      <c r="N28" s="18" t="s">
        <v>1972</v>
      </c>
    </row>
    <row r="29" spans="1:14">
      <c r="A29" s="18" t="s">
        <v>2001</v>
      </c>
      <c r="B29" s="18" t="s">
        <v>386</v>
      </c>
      <c r="C29" s="18" t="s">
        <v>692</v>
      </c>
      <c r="D29" s="19">
        <v>46231</v>
      </c>
      <c r="E29" s="18" t="s">
        <v>1529</v>
      </c>
      <c r="F29" s="18" t="s">
        <v>1530</v>
      </c>
      <c r="G29" s="18" t="s">
        <v>1970</v>
      </c>
      <c r="H29" s="21">
        <v>260</v>
      </c>
      <c r="I29" s="21">
        <v>70</v>
      </c>
      <c r="J29" s="21">
        <v>130</v>
      </c>
      <c r="K29" s="22">
        <f>H29-I29-J29</f>
        <v>60</v>
      </c>
      <c r="L29" s="18" t="s">
        <v>1852</v>
      </c>
      <c r="M29" s="18" t="s">
        <v>1971</v>
      </c>
      <c r="N29" s="18" t="s">
        <v>1972</v>
      </c>
    </row>
    <row r="30" spans="1:14">
      <c r="A30" s="18" t="s">
        <v>2002</v>
      </c>
      <c r="B30" s="18" t="s">
        <v>393</v>
      </c>
      <c r="C30" s="18" t="s">
        <v>695</v>
      </c>
      <c r="D30" s="19">
        <v>46229</v>
      </c>
      <c r="E30" s="18" t="s">
        <v>1520</v>
      </c>
      <c r="F30" s="18" t="s">
        <v>1521</v>
      </c>
      <c r="G30" s="18" t="s">
        <v>1970</v>
      </c>
      <c r="H30" s="21">
        <v>285</v>
      </c>
      <c r="I30" s="21">
        <v>40</v>
      </c>
      <c r="J30" s="21">
        <v>145</v>
      </c>
      <c r="K30" s="22">
        <f>H30-I30-J30</f>
        <v>100</v>
      </c>
      <c r="L30" s="18" t="s">
        <v>1857</v>
      </c>
      <c r="M30" s="18" t="s">
        <v>1974</v>
      </c>
      <c r="N30" s="18" t="s">
        <v>1972</v>
      </c>
    </row>
    <row r="31" spans="1:14">
      <c r="A31" s="18" t="s">
        <v>2003</v>
      </c>
      <c r="B31" s="18" t="s">
        <v>400</v>
      </c>
      <c r="C31" s="18" t="s">
        <v>698</v>
      </c>
      <c r="D31" s="19">
        <v>46227</v>
      </c>
      <c r="E31" s="18" t="s">
        <v>1523</v>
      </c>
      <c r="F31" s="18" t="s">
        <v>1524</v>
      </c>
      <c r="G31" s="18" t="s">
        <v>1970</v>
      </c>
      <c r="H31" s="21">
        <v>310</v>
      </c>
      <c r="I31" s="21">
        <v>50</v>
      </c>
      <c r="J31" s="21">
        <v>160</v>
      </c>
      <c r="K31" s="22">
        <f>H31-I31-J31</f>
        <v>100</v>
      </c>
      <c r="L31" s="18" t="s">
        <v>1862</v>
      </c>
      <c r="M31" s="18" t="s">
        <v>1976</v>
      </c>
      <c r="N31" s="18" t="s">
        <v>1972</v>
      </c>
    </row>
    <row r="32" spans="1:14">
      <c r="A32" s="18" t="s">
        <v>2004</v>
      </c>
      <c r="B32" s="18" t="s">
        <v>408</v>
      </c>
      <c r="C32" s="18" t="s">
        <v>701</v>
      </c>
      <c r="D32" s="19">
        <v>46225</v>
      </c>
      <c r="E32" s="18" t="s">
        <v>1526</v>
      </c>
      <c r="F32" s="18" t="s">
        <v>1527</v>
      </c>
      <c r="G32" s="18" t="s">
        <v>1970</v>
      </c>
      <c r="H32" s="21">
        <v>335</v>
      </c>
      <c r="I32" s="21">
        <v>60</v>
      </c>
      <c r="J32" s="21">
        <v>100</v>
      </c>
      <c r="K32" s="22">
        <f>H32-I32-J32</f>
        <v>175</v>
      </c>
      <c r="L32" s="18" t="s">
        <v>1836</v>
      </c>
      <c r="M32" s="18" t="s">
        <v>1971</v>
      </c>
      <c r="N32" s="18" t="s">
        <v>1972</v>
      </c>
    </row>
    <row r="33" spans="1:14">
      <c r="A33" s="18" t="s">
        <v>2005</v>
      </c>
      <c r="B33" s="18" t="s">
        <v>415</v>
      </c>
      <c r="C33" s="18" t="s">
        <v>704</v>
      </c>
      <c r="D33" s="19">
        <v>46223</v>
      </c>
      <c r="E33" s="18" t="s">
        <v>1529</v>
      </c>
      <c r="F33" s="18" t="s">
        <v>1530</v>
      </c>
      <c r="G33" s="18" t="s">
        <v>1970</v>
      </c>
      <c r="H33" s="21">
        <v>360</v>
      </c>
      <c r="I33" s="21">
        <v>70</v>
      </c>
      <c r="J33" s="21">
        <v>115</v>
      </c>
      <c r="K33" s="22">
        <f>H33-I33-J33</f>
        <v>175</v>
      </c>
      <c r="L33" s="18" t="s">
        <v>1842</v>
      </c>
      <c r="M33" s="18" t="s">
        <v>1974</v>
      </c>
      <c r="N33" s="18" t="s">
        <v>1972</v>
      </c>
    </row>
    <row r="34" spans="1:14">
      <c r="A34" s="18" t="s">
        <v>2006</v>
      </c>
      <c r="B34" s="18" t="s">
        <v>423</v>
      </c>
      <c r="C34" s="18" t="s">
        <v>707</v>
      </c>
      <c r="D34" s="19">
        <v>46221</v>
      </c>
      <c r="E34" s="18" t="s">
        <v>1520</v>
      </c>
      <c r="F34" s="18" t="s">
        <v>1521</v>
      </c>
      <c r="G34" s="18" t="s">
        <v>1970</v>
      </c>
      <c r="H34" s="21">
        <v>185</v>
      </c>
      <c r="I34" s="21">
        <v>40</v>
      </c>
      <c r="J34" s="21">
        <v>130</v>
      </c>
      <c r="K34" s="22">
        <f>H34-I34-J34</f>
        <v>15</v>
      </c>
      <c r="L34" s="18" t="s">
        <v>1847</v>
      </c>
      <c r="M34" s="18" t="s">
        <v>1976</v>
      </c>
      <c r="N34" s="18" t="s">
        <v>1972</v>
      </c>
    </row>
    <row r="35" spans="1:14">
      <c r="A35" s="18" t="s">
        <v>2007</v>
      </c>
      <c r="B35" s="18" t="s">
        <v>430</v>
      </c>
      <c r="C35" s="18" t="s">
        <v>710</v>
      </c>
      <c r="D35" s="19">
        <v>46219</v>
      </c>
      <c r="E35" s="18" t="s">
        <v>1523</v>
      </c>
      <c r="F35" s="18" t="s">
        <v>1524</v>
      </c>
      <c r="G35" s="18" t="s">
        <v>1970</v>
      </c>
      <c r="H35" s="21">
        <v>210</v>
      </c>
      <c r="I35" s="21">
        <v>50</v>
      </c>
      <c r="J35" s="21">
        <v>145</v>
      </c>
      <c r="K35" s="22">
        <f>H35-I35-J35</f>
        <v>15</v>
      </c>
      <c r="L35" s="18" t="s">
        <v>1852</v>
      </c>
      <c r="M35" s="18" t="s">
        <v>1971</v>
      </c>
      <c r="N35" s="18" t="s">
        <v>1972</v>
      </c>
    </row>
    <row r="36" spans="1:14">
      <c r="A36" s="18" t="s">
        <v>2008</v>
      </c>
      <c r="B36" s="18" t="s">
        <v>438</v>
      </c>
      <c r="C36" s="18" t="s">
        <v>713</v>
      </c>
      <c r="D36" s="19">
        <v>46217</v>
      </c>
      <c r="E36" s="18" t="s">
        <v>1526</v>
      </c>
      <c r="F36" s="18" t="s">
        <v>1527</v>
      </c>
      <c r="G36" s="18" t="s">
        <v>1970</v>
      </c>
      <c r="H36" s="21">
        <v>235</v>
      </c>
      <c r="I36" s="21">
        <v>60</v>
      </c>
      <c r="J36" s="21">
        <v>160</v>
      </c>
      <c r="K36" s="22">
        <f>H36-I36-J36</f>
        <v>15</v>
      </c>
      <c r="L36" s="18" t="s">
        <v>1857</v>
      </c>
      <c r="M36" s="18" t="s">
        <v>1974</v>
      </c>
      <c r="N36" s="18" t="s">
        <v>1972</v>
      </c>
    </row>
    <row r="37" spans="1:14">
      <c r="A37" s="18" t="s">
        <v>2009</v>
      </c>
      <c r="B37" s="18" t="s">
        <v>445</v>
      </c>
      <c r="C37" s="18" t="s">
        <v>716</v>
      </c>
      <c r="D37" s="19">
        <v>46215</v>
      </c>
      <c r="E37" s="18" t="s">
        <v>1529</v>
      </c>
      <c r="F37" s="18" t="s">
        <v>1530</v>
      </c>
      <c r="G37" s="18" t="s">
        <v>1970</v>
      </c>
      <c r="H37" s="21">
        <v>260</v>
      </c>
      <c r="I37" s="21">
        <v>70</v>
      </c>
      <c r="J37" s="21">
        <v>100</v>
      </c>
      <c r="K37" s="22">
        <f>H37-I37-J37</f>
        <v>90</v>
      </c>
      <c r="L37" s="18" t="s">
        <v>1862</v>
      </c>
      <c r="M37" s="18" t="s">
        <v>1976</v>
      </c>
      <c r="N37" s="18" t="s">
        <v>1972</v>
      </c>
    </row>
    <row r="38" spans="1:14">
      <c r="A38" s="18" t="s">
        <v>2010</v>
      </c>
      <c r="B38" s="18" t="s">
        <v>453</v>
      </c>
      <c r="C38" s="18" t="s">
        <v>719</v>
      </c>
      <c r="D38" s="19">
        <v>46213</v>
      </c>
      <c r="E38" s="18" t="s">
        <v>1520</v>
      </c>
      <c r="F38" s="18" t="s">
        <v>1521</v>
      </c>
      <c r="G38" s="18" t="s">
        <v>1970</v>
      </c>
      <c r="H38" s="21">
        <v>285</v>
      </c>
      <c r="I38" s="21">
        <v>40</v>
      </c>
      <c r="J38" s="21">
        <v>115</v>
      </c>
      <c r="K38" s="22">
        <f>H38-I38-J38</f>
        <v>130</v>
      </c>
      <c r="L38" s="18" t="s">
        <v>1836</v>
      </c>
      <c r="M38" s="18" t="s">
        <v>1971</v>
      </c>
      <c r="N38" s="18" t="s">
        <v>1972</v>
      </c>
    </row>
    <row r="39" spans="1:14">
      <c r="A39" s="18" t="s">
        <v>2011</v>
      </c>
      <c r="B39" s="18" t="s">
        <v>460</v>
      </c>
      <c r="C39" s="18" t="s">
        <v>722</v>
      </c>
      <c r="D39" s="19">
        <v>46211</v>
      </c>
      <c r="E39" s="18" t="s">
        <v>1523</v>
      </c>
      <c r="F39" s="18" t="s">
        <v>1524</v>
      </c>
      <c r="G39" s="18" t="s">
        <v>1970</v>
      </c>
      <c r="H39" s="21">
        <v>310</v>
      </c>
      <c r="I39" s="21">
        <v>50</v>
      </c>
      <c r="J39" s="21">
        <v>130</v>
      </c>
      <c r="K39" s="22">
        <f>H39-I39-J39</f>
        <v>130</v>
      </c>
      <c r="L39" s="18" t="s">
        <v>1842</v>
      </c>
      <c r="M39" s="18" t="s">
        <v>1974</v>
      </c>
      <c r="N39" s="18" t="s">
        <v>1972</v>
      </c>
    </row>
    <row r="40" spans="1:14">
      <c r="A40" s="18" t="s">
        <v>2012</v>
      </c>
      <c r="B40" s="18" t="s">
        <v>468</v>
      </c>
      <c r="C40" s="18" t="s">
        <v>725</v>
      </c>
      <c r="D40" s="19">
        <v>46209</v>
      </c>
      <c r="E40" s="18" t="s">
        <v>1526</v>
      </c>
      <c r="F40" s="18" t="s">
        <v>1527</v>
      </c>
      <c r="G40" s="18" t="s">
        <v>1970</v>
      </c>
      <c r="H40" s="21">
        <v>335</v>
      </c>
      <c r="I40" s="21">
        <v>60</v>
      </c>
      <c r="J40" s="21">
        <v>145</v>
      </c>
      <c r="K40" s="22">
        <f>H40-I40-J40</f>
        <v>130</v>
      </c>
      <c r="L40" s="18" t="s">
        <v>1847</v>
      </c>
      <c r="M40" s="18" t="s">
        <v>1976</v>
      </c>
      <c r="N40" s="18" t="s">
        <v>1972</v>
      </c>
    </row>
    <row r="41" spans="1:14">
      <c r="A41" s="18" t="s">
        <v>2013</v>
      </c>
      <c r="B41" s="18" t="s">
        <v>475</v>
      </c>
      <c r="C41" s="18" t="s">
        <v>728</v>
      </c>
      <c r="D41" s="19">
        <v>46207</v>
      </c>
      <c r="E41" s="18" t="s">
        <v>1529</v>
      </c>
      <c r="F41" s="18" t="s">
        <v>1530</v>
      </c>
      <c r="G41" s="18" t="s">
        <v>1970</v>
      </c>
      <c r="H41" s="21">
        <v>360</v>
      </c>
      <c r="I41" s="21">
        <v>70</v>
      </c>
      <c r="J41" s="21">
        <v>160</v>
      </c>
      <c r="K41" s="22">
        <f>H41-I41-J41</f>
        <v>130</v>
      </c>
      <c r="L41" s="18" t="s">
        <v>1852</v>
      </c>
      <c r="M41" s="18" t="s">
        <v>1971</v>
      </c>
      <c r="N41" s="18" t="s">
        <v>1972</v>
      </c>
    </row>
    <row r="42" spans="1:14">
      <c r="A42" s="18" t="s">
        <v>2014</v>
      </c>
      <c r="B42" s="18" t="s">
        <v>483</v>
      </c>
      <c r="C42" s="18" t="s">
        <v>731</v>
      </c>
      <c r="D42" s="19">
        <v>46205</v>
      </c>
      <c r="E42" s="18" t="s">
        <v>1520</v>
      </c>
      <c r="F42" s="18" t="s">
        <v>1521</v>
      </c>
      <c r="G42" s="18" t="s">
        <v>1970</v>
      </c>
      <c r="H42" s="21">
        <v>185</v>
      </c>
      <c r="I42" s="21">
        <v>40</v>
      </c>
      <c r="J42" s="21">
        <v>100</v>
      </c>
      <c r="K42" s="22">
        <f>H42-I42-J42</f>
        <v>45</v>
      </c>
      <c r="L42" s="18" t="s">
        <v>1857</v>
      </c>
      <c r="M42" s="18" t="s">
        <v>1974</v>
      </c>
      <c r="N42" s="18" t="s">
        <v>1972</v>
      </c>
    </row>
    <row r="43" spans="1:14">
      <c r="A43" s="18" t="s">
        <v>2015</v>
      </c>
      <c r="B43" s="18" t="s">
        <v>491</v>
      </c>
      <c r="C43" s="18" t="s">
        <v>734</v>
      </c>
      <c r="D43" s="19">
        <v>46203</v>
      </c>
      <c r="E43" s="18" t="s">
        <v>1523</v>
      </c>
      <c r="F43" s="18" t="s">
        <v>1524</v>
      </c>
      <c r="G43" s="18" t="s">
        <v>1970</v>
      </c>
      <c r="H43" s="21">
        <v>210</v>
      </c>
      <c r="I43" s="21">
        <v>50</v>
      </c>
      <c r="J43" s="21">
        <v>115</v>
      </c>
      <c r="K43" s="22">
        <f>H43-I43-J43</f>
        <v>45</v>
      </c>
      <c r="L43" s="18" t="s">
        <v>1862</v>
      </c>
      <c r="M43" s="18" t="s">
        <v>1976</v>
      </c>
      <c r="N43" s="18" t="s">
        <v>1972</v>
      </c>
    </row>
    <row r="44" spans="1:14">
      <c r="A44" s="18" t="s">
        <v>2016</v>
      </c>
      <c r="B44" s="18" t="s">
        <v>499</v>
      </c>
      <c r="C44" s="18" t="s">
        <v>737</v>
      </c>
      <c r="D44" s="19">
        <v>46201</v>
      </c>
      <c r="E44" s="18" t="s">
        <v>1526</v>
      </c>
      <c r="F44" s="18" t="s">
        <v>1527</v>
      </c>
      <c r="G44" s="18" t="s">
        <v>1970</v>
      </c>
      <c r="H44" s="21">
        <v>235</v>
      </c>
      <c r="I44" s="21">
        <v>60</v>
      </c>
      <c r="J44" s="21">
        <v>130</v>
      </c>
      <c r="K44" s="22">
        <f>H44-I44-J44</f>
        <v>45</v>
      </c>
      <c r="L44" s="18" t="s">
        <v>1836</v>
      </c>
      <c r="M44" s="18" t="s">
        <v>1971</v>
      </c>
      <c r="N44" s="18" t="s">
        <v>1972</v>
      </c>
    </row>
    <row r="45" spans="1:14">
      <c r="A45" s="18" t="s">
        <v>2017</v>
      </c>
      <c r="B45" s="18" t="s">
        <v>507</v>
      </c>
      <c r="C45" s="18" t="s">
        <v>740</v>
      </c>
      <c r="D45" s="19">
        <v>46199</v>
      </c>
      <c r="E45" s="18" t="s">
        <v>1529</v>
      </c>
      <c r="F45" s="18" t="s">
        <v>1530</v>
      </c>
      <c r="G45" s="18" t="s">
        <v>1970</v>
      </c>
      <c r="H45" s="21">
        <v>260</v>
      </c>
      <c r="I45" s="21">
        <v>70</v>
      </c>
      <c r="J45" s="21">
        <v>145</v>
      </c>
      <c r="K45" s="22">
        <f>H45-I45-J45</f>
        <v>45</v>
      </c>
      <c r="L45" s="18" t="s">
        <v>1842</v>
      </c>
      <c r="M45" s="18" t="s">
        <v>1974</v>
      </c>
      <c r="N45" s="18" t="s">
        <v>1972</v>
      </c>
    </row>
    <row r="46" spans="1:14">
      <c r="A46" s="18" t="s">
        <v>2018</v>
      </c>
      <c r="B46" s="18" t="s">
        <v>515</v>
      </c>
      <c r="C46" s="18" t="s">
        <v>743</v>
      </c>
      <c r="D46" s="19">
        <v>46197</v>
      </c>
      <c r="E46" s="18" t="s">
        <v>1520</v>
      </c>
      <c r="F46" s="18" t="s">
        <v>1521</v>
      </c>
      <c r="G46" s="18" t="s">
        <v>1970</v>
      </c>
      <c r="H46" s="21">
        <v>285</v>
      </c>
      <c r="I46" s="21">
        <v>40</v>
      </c>
      <c r="J46" s="21">
        <v>160</v>
      </c>
      <c r="K46" s="22">
        <f>H46-I46-J46</f>
        <v>85</v>
      </c>
      <c r="L46" s="18" t="s">
        <v>1847</v>
      </c>
      <c r="M46" s="18" t="s">
        <v>1976</v>
      </c>
      <c r="N46" s="18" t="s">
        <v>1972</v>
      </c>
    </row>
    <row r="47" spans="1:14">
      <c r="A47" s="18" t="s">
        <v>2019</v>
      </c>
      <c r="B47" s="18" t="s">
        <v>523</v>
      </c>
      <c r="C47" s="18" t="s">
        <v>746</v>
      </c>
      <c r="D47" s="19">
        <v>46195</v>
      </c>
      <c r="E47" s="18" t="s">
        <v>1523</v>
      </c>
      <c r="F47" s="18" t="s">
        <v>1524</v>
      </c>
      <c r="G47" s="18" t="s">
        <v>1970</v>
      </c>
      <c r="H47" s="21">
        <v>310</v>
      </c>
      <c r="I47" s="21">
        <v>50</v>
      </c>
      <c r="J47" s="21">
        <v>100</v>
      </c>
      <c r="K47" s="22">
        <f>H47-I47-J47</f>
        <v>160</v>
      </c>
      <c r="L47" s="18" t="s">
        <v>1852</v>
      </c>
      <c r="M47" s="18" t="s">
        <v>1971</v>
      </c>
      <c r="N47" s="18" t="s">
        <v>1972</v>
      </c>
    </row>
    <row r="48" spans="1:14">
      <c r="A48" s="18" t="s">
        <v>2020</v>
      </c>
      <c r="B48" s="18" t="s">
        <v>531</v>
      </c>
      <c r="C48" s="18" t="s">
        <v>749</v>
      </c>
      <c r="D48" s="19">
        <v>46193</v>
      </c>
      <c r="E48" s="18" t="s">
        <v>1526</v>
      </c>
      <c r="F48" s="18" t="s">
        <v>1527</v>
      </c>
      <c r="G48" s="18" t="s">
        <v>1970</v>
      </c>
      <c r="H48" s="21">
        <v>335</v>
      </c>
      <c r="I48" s="21">
        <v>60</v>
      </c>
      <c r="J48" s="21">
        <v>115</v>
      </c>
      <c r="K48" s="22">
        <f>H48-I48-J48</f>
        <v>160</v>
      </c>
      <c r="L48" s="18" t="s">
        <v>1857</v>
      </c>
      <c r="M48" s="18" t="s">
        <v>1974</v>
      </c>
      <c r="N48" s="18" t="s">
        <v>1972</v>
      </c>
    </row>
    <row r="49" spans="1:14">
      <c r="A49" s="18" t="s">
        <v>2021</v>
      </c>
      <c r="B49" s="18" t="s">
        <v>539</v>
      </c>
      <c r="C49" s="18" t="s">
        <v>752</v>
      </c>
      <c r="D49" s="19">
        <v>46191</v>
      </c>
      <c r="E49" s="18" t="s">
        <v>1529</v>
      </c>
      <c r="F49" s="18" t="s">
        <v>1530</v>
      </c>
      <c r="G49" s="18" t="s">
        <v>1970</v>
      </c>
      <c r="H49" s="21">
        <v>360</v>
      </c>
      <c r="I49" s="21">
        <v>70</v>
      </c>
      <c r="J49" s="21">
        <v>130</v>
      </c>
      <c r="K49" s="22">
        <f>H49-I49-J49</f>
        <v>160</v>
      </c>
      <c r="L49" s="18" t="s">
        <v>1862</v>
      </c>
      <c r="M49" s="18" t="s">
        <v>1976</v>
      </c>
      <c r="N49" s="18" t="s">
        <v>1972</v>
      </c>
    </row>
    <row r="50" spans="1:14">
      <c r="A50" s="18" t="s">
        <v>2022</v>
      </c>
      <c r="B50" s="18" t="s">
        <v>547</v>
      </c>
      <c r="C50" s="18" t="s">
        <v>755</v>
      </c>
      <c r="D50" s="19">
        <v>46189</v>
      </c>
      <c r="E50" s="18" t="s">
        <v>1520</v>
      </c>
      <c r="F50" s="18" t="s">
        <v>1521</v>
      </c>
      <c r="G50" s="18" t="s">
        <v>1970</v>
      </c>
      <c r="H50" s="21">
        <v>185</v>
      </c>
      <c r="I50" s="21">
        <v>40</v>
      </c>
      <c r="J50" s="21">
        <v>145</v>
      </c>
      <c r="K50" s="22">
        <f>H50-I50-J50</f>
        <v>0</v>
      </c>
      <c r="L50" s="18" t="s">
        <v>1836</v>
      </c>
      <c r="M50" s="18" t="s">
        <v>1971</v>
      </c>
      <c r="N50" s="18" t="s">
        <v>1972</v>
      </c>
    </row>
    <row r="51" spans="1:14">
      <c r="A51" s="18" t="s">
        <v>2023</v>
      </c>
      <c r="B51" s="18" t="s">
        <v>555</v>
      </c>
      <c r="C51" s="18" t="s">
        <v>758</v>
      </c>
      <c r="D51" s="19">
        <v>46187</v>
      </c>
      <c r="E51" s="18" t="s">
        <v>1523</v>
      </c>
      <c r="F51" s="18" t="s">
        <v>1524</v>
      </c>
      <c r="G51" s="18" t="s">
        <v>1970</v>
      </c>
      <c r="H51" s="21">
        <v>210</v>
      </c>
      <c r="I51" s="21">
        <v>50</v>
      </c>
      <c r="J51" s="21">
        <v>160</v>
      </c>
      <c r="K51" s="22">
        <f>H51-I51-J51</f>
        <v>0</v>
      </c>
      <c r="L51" s="18" t="s">
        <v>1842</v>
      </c>
      <c r="M51" s="18" t="s">
        <v>1974</v>
      </c>
      <c r="N51" s="18" t="s">
        <v>1972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4B183"/>
  </sheetPr>
  <dimension ref="A1:J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14" customWidth="1"/>
    <col min="4" max="5" width="16" customWidth="1"/>
    <col min="6" max="7" width="20" customWidth="1"/>
    <col min="8" max="8" width="16" customWidth="1"/>
    <col min="9" max="10" width="28" customWidth="1"/>
  </cols>
  <sheetData>
    <row r="1" spans="1:10" ht="30" customHeight="1">
      <c r="A1" s="17" t="s">
        <v>66</v>
      </c>
      <c r="B1" s="17" t="s">
        <v>2024</v>
      </c>
      <c r="C1" s="17" t="s">
        <v>58</v>
      </c>
      <c r="D1" s="17" t="s">
        <v>1828</v>
      </c>
      <c r="E1" s="17" t="s">
        <v>2025</v>
      </c>
      <c r="F1" s="17" t="s">
        <v>2026</v>
      </c>
      <c r="G1" s="17" t="s">
        <v>2027</v>
      </c>
      <c r="H1" s="17" t="s">
        <v>2028</v>
      </c>
      <c r="I1" s="17" t="s">
        <v>2029</v>
      </c>
      <c r="J1" s="17" t="s">
        <v>2030</v>
      </c>
    </row>
    <row r="2" spans="1:10">
      <c r="A2" s="18" t="s">
        <v>35</v>
      </c>
      <c r="B2" s="18" t="s">
        <v>2031</v>
      </c>
      <c r="C2" s="18" t="s">
        <v>99</v>
      </c>
      <c r="D2" s="19">
        <v>46023</v>
      </c>
      <c r="E2" s="19">
        <v>46388</v>
      </c>
      <c r="F2" s="18" t="s">
        <v>2032</v>
      </c>
      <c r="G2" s="18" t="s">
        <v>2033</v>
      </c>
      <c r="H2" s="18" t="s">
        <v>99</v>
      </c>
      <c r="I2" s="18" t="s">
        <v>2034</v>
      </c>
      <c r="J2" s="18" t="s">
        <v>2035</v>
      </c>
    </row>
    <row r="3" spans="1:10">
      <c r="A3" s="18" t="s">
        <v>107</v>
      </c>
      <c r="B3" s="18" t="s">
        <v>2031</v>
      </c>
      <c r="C3" s="18" t="s">
        <v>99</v>
      </c>
      <c r="D3" s="19">
        <v>46023</v>
      </c>
      <c r="E3" s="19">
        <v>46388</v>
      </c>
      <c r="F3" s="18" t="s">
        <v>2032</v>
      </c>
      <c r="G3" s="18" t="s">
        <v>2033</v>
      </c>
      <c r="H3" s="18" t="s">
        <v>99</v>
      </c>
      <c r="I3" s="18" t="s">
        <v>2036</v>
      </c>
      <c r="J3" s="18" t="s">
        <v>2037</v>
      </c>
    </row>
    <row r="4" spans="1:10">
      <c r="A4" s="18" t="s">
        <v>125</v>
      </c>
      <c r="B4" s="18" t="s">
        <v>2031</v>
      </c>
      <c r="C4" s="18" t="s">
        <v>99</v>
      </c>
      <c r="D4" s="19">
        <v>46023</v>
      </c>
      <c r="E4" s="19">
        <v>46388</v>
      </c>
      <c r="F4" s="18" t="s">
        <v>2032</v>
      </c>
      <c r="G4" s="18" t="s">
        <v>2033</v>
      </c>
      <c r="H4" s="18" t="s">
        <v>99</v>
      </c>
      <c r="I4" s="18" t="s">
        <v>2036</v>
      </c>
      <c r="J4" s="18" t="s">
        <v>2037</v>
      </c>
    </row>
    <row r="5" spans="1:10">
      <c r="A5" s="18" t="s">
        <v>141</v>
      </c>
      <c r="B5" s="18" t="s">
        <v>2031</v>
      </c>
      <c r="C5" s="18" t="s">
        <v>99</v>
      </c>
      <c r="D5" s="19">
        <v>46023</v>
      </c>
      <c r="E5" s="19">
        <v>46388</v>
      </c>
      <c r="F5" s="18" t="s">
        <v>2032</v>
      </c>
      <c r="G5" s="18" t="s">
        <v>2033</v>
      </c>
      <c r="H5" s="18" t="s">
        <v>99</v>
      </c>
      <c r="I5" s="18" t="s">
        <v>2036</v>
      </c>
      <c r="J5" s="18" t="s">
        <v>2037</v>
      </c>
    </row>
    <row r="6" spans="1:10">
      <c r="A6" s="18" t="s">
        <v>155</v>
      </c>
      <c r="B6" s="18" t="s">
        <v>2031</v>
      </c>
      <c r="C6" s="18" t="s">
        <v>99</v>
      </c>
      <c r="D6" s="19">
        <v>46023</v>
      </c>
      <c r="E6" s="19">
        <v>46388</v>
      </c>
      <c r="F6" s="18" t="s">
        <v>2032</v>
      </c>
      <c r="G6" s="18" t="s">
        <v>2033</v>
      </c>
      <c r="H6" s="18" t="s">
        <v>99</v>
      </c>
      <c r="I6" s="18" t="s">
        <v>2036</v>
      </c>
      <c r="J6" s="18" t="s">
        <v>2037</v>
      </c>
    </row>
    <row r="7" spans="1:10">
      <c r="A7" s="18" t="s">
        <v>169</v>
      </c>
      <c r="B7" s="18" t="s">
        <v>2031</v>
      </c>
      <c r="C7" s="18" t="s">
        <v>99</v>
      </c>
      <c r="D7" s="19">
        <v>46023</v>
      </c>
      <c r="E7" s="19">
        <v>46388</v>
      </c>
      <c r="F7" s="18" t="s">
        <v>2032</v>
      </c>
      <c r="G7" s="18" t="s">
        <v>2033</v>
      </c>
      <c r="H7" s="18" t="s">
        <v>99</v>
      </c>
      <c r="I7" s="18" t="s">
        <v>2036</v>
      </c>
      <c r="J7" s="18" t="s">
        <v>2037</v>
      </c>
    </row>
    <row r="8" spans="1:10">
      <c r="A8" s="18" t="s">
        <v>183</v>
      </c>
      <c r="B8" s="18" t="s">
        <v>2031</v>
      </c>
      <c r="C8" s="18" t="s">
        <v>99</v>
      </c>
      <c r="D8" s="19">
        <v>46023</v>
      </c>
      <c r="E8" s="19">
        <v>46388</v>
      </c>
      <c r="F8" s="18" t="s">
        <v>2032</v>
      </c>
      <c r="G8" s="18" t="s">
        <v>2033</v>
      </c>
      <c r="H8" s="18" t="s">
        <v>99</v>
      </c>
      <c r="I8" s="18" t="s">
        <v>2036</v>
      </c>
      <c r="J8" s="18" t="s">
        <v>2037</v>
      </c>
    </row>
    <row r="9" spans="1:10">
      <c r="A9" s="18" t="s">
        <v>194</v>
      </c>
      <c r="B9" s="18" t="s">
        <v>2031</v>
      </c>
      <c r="C9" s="18" t="s">
        <v>99</v>
      </c>
      <c r="D9" s="19">
        <v>46023</v>
      </c>
      <c r="E9" s="19">
        <v>46388</v>
      </c>
      <c r="F9" s="18" t="s">
        <v>2032</v>
      </c>
      <c r="G9" s="18" t="s">
        <v>2033</v>
      </c>
      <c r="H9" s="18" t="s">
        <v>99</v>
      </c>
      <c r="I9" s="18" t="s">
        <v>2036</v>
      </c>
      <c r="J9" s="18" t="s">
        <v>2037</v>
      </c>
    </row>
    <row r="10" spans="1:10">
      <c r="A10" s="18" t="s">
        <v>204</v>
      </c>
      <c r="B10" s="18" t="s">
        <v>2031</v>
      </c>
      <c r="C10" s="18" t="s">
        <v>99</v>
      </c>
      <c r="D10" s="19">
        <v>46023</v>
      </c>
      <c r="E10" s="19">
        <v>46388</v>
      </c>
      <c r="F10" s="18" t="s">
        <v>2032</v>
      </c>
      <c r="G10" s="18" t="s">
        <v>2033</v>
      </c>
      <c r="H10" s="18" t="s">
        <v>99</v>
      </c>
      <c r="I10" s="18" t="s">
        <v>2034</v>
      </c>
      <c r="J10" s="18" t="s">
        <v>2035</v>
      </c>
    </row>
    <row r="11" spans="1:10">
      <c r="A11" s="18" t="s">
        <v>215</v>
      </c>
      <c r="B11" s="18" t="s">
        <v>2031</v>
      </c>
      <c r="C11" s="18" t="s">
        <v>99</v>
      </c>
      <c r="D11" s="19">
        <v>46023</v>
      </c>
      <c r="E11" s="19">
        <v>46388</v>
      </c>
      <c r="F11" s="18" t="s">
        <v>2032</v>
      </c>
      <c r="G11" s="18" t="s">
        <v>2033</v>
      </c>
      <c r="H11" s="18" t="s">
        <v>99</v>
      </c>
      <c r="I11" s="18" t="s">
        <v>2036</v>
      </c>
      <c r="J11" s="18" t="s">
        <v>2037</v>
      </c>
    </row>
    <row r="12" spans="1:10">
      <c r="A12" s="18" t="s">
        <v>226</v>
      </c>
      <c r="B12" s="18" t="s">
        <v>2031</v>
      </c>
      <c r="C12" s="18" t="s">
        <v>99</v>
      </c>
      <c r="D12" s="19">
        <v>46023</v>
      </c>
      <c r="E12" s="19">
        <v>46388</v>
      </c>
      <c r="F12" s="18" t="s">
        <v>2032</v>
      </c>
      <c r="G12" s="18" t="s">
        <v>2033</v>
      </c>
      <c r="H12" s="18" t="s">
        <v>99</v>
      </c>
      <c r="I12" s="18" t="s">
        <v>2036</v>
      </c>
      <c r="J12" s="18" t="s">
        <v>2037</v>
      </c>
    </row>
    <row r="13" spans="1:10">
      <c r="A13" s="18" t="s">
        <v>237</v>
      </c>
      <c r="B13" s="18" t="s">
        <v>2031</v>
      </c>
      <c r="C13" s="18" t="s">
        <v>99</v>
      </c>
      <c r="D13" s="19">
        <v>46023</v>
      </c>
      <c r="E13" s="19">
        <v>46388</v>
      </c>
      <c r="F13" s="18" t="s">
        <v>2032</v>
      </c>
      <c r="G13" s="18" t="s">
        <v>2033</v>
      </c>
      <c r="H13" s="18" t="s">
        <v>99</v>
      </c>
      <c r="I13" s="18" t="s">
        <v>2036</v>
      </c>
      <c r="J13" s="18" t="s">
        <v>2037</v>
      </c>
    </row>
    <row r="14" spans="1:10">
      <c r="A14" s="18" t="s">
        <v>248</v>
      </c>
      <c r="B14" s="18" t="s">
        <v>2031</v>
      </c>
      <c r="C14" s="18" t="s">
        <v>99</v>
      </c>
      <c r="D14" s="19">
        <v>46023</v>
      </c>
      <c r="E14" s="19">
        <v>46388</v>
      </c>
      <c r="F14" s="18" t="s">
        <v>2032</v>
      </c>
      <c r="G14" s="18" t="s">
        <v>2033</v>
      </c>
      <c r="H14" s="18" t="s">
        <v>99</v>
      </c>
      <c r="I14" s="18" t="s">
        <v>2036</v>
      </c>
      <c r="J14" s="18" t="s">
        <v>2037</v>
      </c>
    </row>
    <row r="15" spans="1:10">
      <c r="A15" s="18" t="s">
        <v>259</v>
      </c>
      <c r="B15" s="18" t="s">
        <v>2031</v>
      </c>
      <c r="C15" s="18" t="s">
        <v>99</v>
      </c>
      <c r="D15" s="19">
        <v>46023</v>
      </c>
      <c r="E15" s="19">
        <v>46388</v>
      </c>
      <c r="F15" s="18" t="s">
        <v>2032</v>
      </c>
      <c r="G15" s="18" t="s">
        <v>2033</v>
      </c>
      <c r="H15" s="18" t="s">
        <v>99</v>
      </c>
      <c r="I15" s="18" t="s">
        <v>2036</v>
      </c>
      <c r="J15" s="18" t="s">
        <v>2037</v>
      </c>
    </row>
    <row r="16" spans="1:10">
      <c r="A16" s="18" t="s">
        <v>270</v>
      </c>
      <c r="B16" s="18" t="s">
        <v>2031</v>
      </c>
      <c r="C16" s="18" t="s">
        <v>99</v>
      </c>
      <c r="D16" s="19">
        <v>46023</v>
      </c>
      <c r="E16" s="19">
        <v>46388</v>
      </c>
      <c r="F16" s="18" t="s">
        <v>2032</v>
      </c>
      <c r="G16" s="18" t="s">
        <v>2033</v>
      </c>
      <c r="H16" s="18" t="s">
        <v>99</v>
      </c>
      <c r="I16" s="18" t="s">
        <v>2036</v>
      </c>
      <c r="J16" s="18" t="s">
        <v>2037</v>
      </c>
    </row>
    <row r="17" spans="1:10">
      <c r="A17" s="18" t="s">
        <v>281</v>
      </c>
      <c r="B17" s="18" t="s">
        <v>2031</v>
      </c>
      <c r="C17" s="18" t="s">
        <v>99</v>
      </c>
      <c r="D17" s="19">
        <v>46023</v>
      </c>
      <c r="E17" s="19">
        <v>46388</v>
      </c>
      <c r="F17" s="18" t="s">
        <v>2032</v>
      </c>
      <c r="G17" s="18" t="s">
        <v>2033</v>
      </c>
      <c r="H17" s="18" t="s">
        <v>99</v>
      </c>
      <c r="I17" s="18" t="s">
        <v>2036</v>
      </c>
      <c r="J17" s="18" t="s">
        <v>2037</v>
      </c>
    </row>
    <row r="18" spans="1:10">
      <c r="A18" s="18" t="s">
        <v>292</v>
      </c>
      <c r="B18" s="18" t="s">
        <v>2031</v>
      </c>
      <c r="C18" s="18" t="s">
        <v>99</v>
      </c>
      <c r="D18" s="19">
        <v>46023</v>
      </c>
      <c r="E18" s="19">
        <v>46388</v>
      </c>
      <c r="F18" s="18" t="s">
        <v>2032</v>
      </c>
      <c r="G18" s="18" t="s">
        <v>2033</v>
      </c>
      <c r="H18" s="18" t="s">
        <v>99</v>
      </c>
      <c r="I18" s="18" t="s">
        <v>2034</v>
      </c>
      <c r="J18" s="18" t="s">
        <v>2035</v>
      </c>
    </row>
    <row r="19" spans="1:10">
      <c r="A19" s="18" t="s">
        <v>303</v>
      </c>
      <c r="B19" s="18" t="s">
        <v>2031</v>
      </c>
      <c r="C19" s="18" t="s">
        <v>99</v>
      </c>
      <c r="D19" s="19">
        <v>46023</v>
      </c>
      <c r="E19" s="19">
        <v>46388</v>
      </c>
      <c r="F19" s="18" t="s">
        <v>2032</v>
      </c>
      <c r="G19" s="18" t="s">
        <v>2033</v>
      </c>
      <c r="H19" s="18" t="s">
        <v>99</v>
      </c>
      <c r="I19" s="18" t="s">
        <v>2036</v>
      </c>
      <c r="J19" s="18" t="s">
        <v>2037</v>
      </c>
    </row>
    <row r="20" spans="1:10">
      <c r="A20" s="18" t="s">
        <v>313</v>
      </c>
      <c r="B20" s="18" t="s">
        <v>2031</v>
      </c>
      <c r="C20" s="18" t="s">
        <v>99</v>
      </c>
      <c r="D20" s="19">
        <v>46023</v>
      </c>
      <c r="E20" s="19">
        <v>46388</v>
      </c>
      <c r="F20" s="18" t="s">
        <v>2032</v>
      </c>
      <c r="G20" s="18" t="s">
        <v>2033</v>
      </c>
      <c r="H20" s="18" t="s">
        <v>99</v>
      </c>
      <c r="I20" s="18" t="s">
        <v>2036</v>
      </c>
      <c r="J20" s="18" t="s">
        <v>2037</v>
      </c>
    </row>
    <row r="21" spans="1:10">
      <c r="A21" s="18" t="s">
        <v>324</v>
      </c>
      <c r="B21" s="18" t="s">
        <v>2031</v>
      </c>
      <c r="C21" s="18" t="s">
        <v>99</v>
      </c>
      <c r="D21" s="19">
        <v>46023</v>
      </c>
      <c r="E21" s="19">
        <v>46388</v>
      </c>
      <c r="F21" s="18" t="s">
        <v>2032</v>
      </c>
      <c r="G21" s="18" t="s">
        <v>2033</v>
      </c>
      <c r="H21" s="18" t="s">
        <v>99</v>
      </c>
      <c r="I21" s="18" t="s">
        <v>2036</v>
      </c>
      <c r="J21" s="18" t="s">
        <v>2037</v>
      </c>
    </row>
    <row r="22" spans="1:10">
      <c r="A22" s="18" t="s">
        <v>335</v>
      </c>
      <c r="B22" s="18" t="s">
        <v>2031</v>
      </c>
      <c r="C22" s="18" t="s">
        <v>99</v>
      </c>
      <c r="D22" s="19">
        <v>46023</v>
      </c>
      <c r="E22" s="19">
        <v>46388</v>
      </c>
      <c r="F22" s="18" t="s">
        <v>2032</v>
      </c>
      <c r="G22" s="18" t="s">
        <v>2033</v>
      </c>
      <c r="H22" s="18" t="s">
        <v>99</v>
      </c>
      <c r="I22" s="18" t="s">
        <v>2036</v>
      </c>
      <c r="J22" s="18" t="s">
        <v>2037</v>
      </c>
    </row>
    <row r="23" spans="1:10">
      <c r="A23" s="18" t="s">
        <v>342</v>
      </c>
      <c r="B23" s="18" t="s">
        <v>2031</v>
      </c>
      <c r="C23" s="18" t="s">
        <v>99</v>
      </c>
      <c r="D23" s="19">
        <v>46023</v>
      </c>
      <c r="E23" s="19">
        <v>46388</v>
      </c>
      <c r="F23" s="18" t="s">
        <v>2032</v>
      </c>
      <c r="G23" s="18" t="s">
        <v>2033</v>
      </c>
      <c r="H23" s="18" t="s">
        <v>99</v>
      </c>
      <c r="I23" s="18" t="s">
        <v>2036</v>
      </c>
      <c r="J23" s="18" t="s">
        <v>2037</v>
      </c>
    </row>
    <row r="24" spans="1:10">
      <c r="A24" s="18" t="s">
        <v>350</v>
      </c>
      <c r="B24" s="18" t="s">
        <v>2031</v>
      </c>
      <c r="C24" s="18" t="s">
        <v>99</v>
      </c>
      <c r="D24" s="19">
        <v>46023</v>
      </c>
      <c r="E24" s="19">
        <v>46388</v>
      </c>
      <c r="F24" s="18" t="s">
        <v>2032</v>
      </c>
      <c r="G24" s="18" t="s">
        <v>2033</v>
      </c>
      <c r="H24" s="18" t="s">
        <v>99</v>
      </c>
      <c r="I24" s="18" t="s">
        <v>2036</v>
      </c>
      <c r="J24" s="18" t="s">
        <v>2037</v>
      </c>
    </row>
    <row r="25" spans="1:10">
      <c r="A25" s="18" t="s">
        <v>356</v>
      </c>
      <c r="B25" s="18" t="s">
        <v>2031</v>
      </c>
      <c r="C25" s="18" t="s">
        <v>99</v>
      </c>
      <c r="D25" s="19">
        <v>46023</v>
      </c>
      <c r="E25" s="19">
        <v>46388</v>
      </c>
      <c r="F25" s="18" t="s">
        <v>2032</v>
      </c>
      <c r="G25" s="18" t="s">
        <v>2033</v>
      </c>
      <c r="H25" s="18" t="s">
        <v>99</v>
      </c>
      <c r="I25" s="18" t="s">
        <v>2036</v>
      </c>
      <c r="J25" s="18" t="s">
        <v>2037</v>
      </c>
    </row>
    <row r="26" spans="1:10">
      <c r="A26" s="18" t="s">
        <v>364</v>
      </c>
      <c r="B26" s="18" t="s">
        <v>2031</v>
      </c>
      <c r="C26" s="18" t="s">
        <v>99</v>
      </c>
      <c r="D26" s="19">
        <v>46023</v>
      </c>
      <c r="E26" s="19">
        <v>46388</v>
      </c>
      <c r="F26" s="18" t="s">
        <v>2032</v>
      </c>
      <c r="G26" s="18" t="s">
        <v>2033</v>
      </c>
      <c r="H26" s="18" t="s">
        <v>99</v>
      </c>
      <c r="I26" s="18" t="s">
        <v>2034</v>
      </c>
      <c r="J26" s="18" t="s">
        <v>2035</v>
      </c>
    </row>
    <row r="27" spans="1:10">
      <c r="A27" s="18" t="s">
        <v>371</v>
      </c>
      <c r="B27" s="18" t="s">
        <v>2031</v>
      </c>
      <c r="C27" s="18" t="s">
        <v>99</v>
      </c>
      <c r="D27" s="19">
        <v>46023</v>
      </c>
      <c r="E27" s="19">
        <v>46388</v>
      </c>
      <c r="F27" s="18" t="s">
        <v>2032</v>
      </c>
      <c r="G27" s="18" t="s">
        <v>2033</v>
      </c>
      <c r="H27" s="18" t="s">
        <v>99</v>
      </c>
      <c r="I27" s="18" t="s">
        <v>2036</v>
      </c>
      <c r="J27" s="18" t="s">
        <v>2037</v>
      </c>
    </row>
    <row r="28" spans="1:10">
      <c r="A28" s="18" t="s">
        <v>379</v>
      </c>
      <c r="B28" s="18" t="s">
        <v>2031</v>
      </c>
      <c r="C28" s="18" t="s">
        <v>99</v>
      </c>
      <c r="D28" s="19">
        <v>46023</v>
      </c>
      <c r="E28" s="19">
        <v>46388</v>
      </c>
      <c r="F28" s="18" t="s">
        <v>2032</v>
      </c>
      <c r="G28" s="18" t="s">
        <v>2033</v>
      </c>
      <c r="H28" s="18" t="s">
        <v>99</v>
      </c>
      <c r="I28" s="18" t="s">
        <v>2036</v>
      </c>
      <c r="J28" s="18" t="s">
        <v>2037</v>
      </c>
    </row>
    <row r="29" spans="1:10">
      <c r="A29" s="18" t="s">
        <v>386</v>
      </c>
      <c r="B29" s="18" t="s">
        <v>2031</v>
      </c>
      <c r="C29" s="18" t="s">
        <v>99</v>
      </c>
      <c r="D29" s="19">
        <v>46023</v>
      </c>
      <c r="E29" s="19">
        <v>46388</v>
      </c>
      <c r="F29" s="18" t="s">
        <v>2032</v>
      </c>
      <c r="G29" s="18" t="s">
        <v>2033</v>
      </c>
      <c r="H29" s="18" t="s">
        <v>99</v>
      </c>
      <c r="I29" s="18" t="s">
        <v>2036</v>
      </c>
      <c r="J29" s="18" t="s">
        <v>2037</v>
      </c>
    </row>
    <row r="30" spans="1:10">
      <c r="A30" s="18" t="s">
        <v>393</v>
      </c>
      <c r="B30" s="18" t="s">
        <v>2031</v>
      </c>
      <c r="C30" s="18" t="s">
        <v>99</v>
      </c>
      <c r="D30" s="19">
        <v>46023</v>
      </c>
      <c r="E30" s="19">
        <v>46388</v>
      </c>
      <c r="F30" s="18" t="s">
        <v>2032</v>
      </c>
      <c r="G30" s="18" t="s">
        <v>2033</v>
      </c>
      <c r="H30" s="18" t="s">
        <v>99</v>
      </c>
      <c r="I30" s="18" t="s">
        <v>2036</v>
      </c>
      <c r="J30" s="18" t="s">
        <v>2037</v>
      </c>
    </row>
    <row r="31" spans="1:10">
      <c r="A31" s="18" t="s">
        <v>400</v>
      </c>
      <c r="B31" s="18" t="s">
        <v>2031</v>
      </c>
      <c r="C31" s="18" t="s">
        <v>99</v>
      </c>
      <c r="D31" s="19">
        <v>46023</v>
      </c>
      <c r="E31" s="19">
        <v>46388</v>
      </c>
      <c r="F31" s="18" t="s">
        <v>2032</v>
      </c>
      <c r="G31" s="18" t="s">
        <v>2033</v>
      </c>
      <c r="H31" s="18" t="s">
        <v>99</v>
      </c>
      <c r="I31" s="18" t="s">
        <v>2036</v>
      </c>
      <c r="J31" s="18" t="s">
        <v>2037</v>
      </c>
    </row>
    <row r="32" spans="1:10">
      <c r="A32" s="18" t="s">
        <v>408</v>
      </c>
      <c r="B32" s="18" t="s">
        <v>2031</v>
      </c>
      <c r="C32" s="18" t="s">
        <v>99</v>
      </c>
      <c r="D32" s="19">
        <v>46023</v>
      </c>
      <c r="E32" s="19">
        <v>46388</v>
      </c>
      <c r="F32" s="18" t="s">
        <v>2032</v>
      </c>
      <c r="G32" s="18" t="s">
        <v>2033</v>
      </c>
      <c r="H32" s="18" t="s">
        <v>99</v>
      </c>
      <c r="I32" s="18" t="s">
        <v>2036</v>
      </c>
      <c r="J32" s="18" t="s">
        <v>2037</v>
      </c>
    </row>
    <row r="33" spans="1:10">
      <c r="A33" s="18" t="s">
        <v>415</v>
      </c>
      <c r="B33" s="18" t="s">
        <v>2031</v>
      </c>
      <c r="C33" s="18" t="s">
        <v>99</v>
      </c>
      <c r="D33" s="19">
        <v>46023</v>
      </c>
      <c r="E33" s="19">
        <v>46388</v>
      </c>
      <c r="F33" s="18" t="s">
        <v>2032</v>
      </c>
      <c r="G33" s="18" t="s">
        <v>2033</v>
      </c>
      <c r="H33" s="18" t="s">
        <v>99</v>
      </c>
      <c r="I33" s="18" t="s">
        <v>2036</v>
      </c>
      <c r="J33" s="18" t="s">
        <v>2037</v>
      </c>
    </row>
    <row r="34" spans="1:10">
      <c r="A34" s="18" t="s">
        <v>423</v>
      </c>
      <c r="B34" s="18" t="s">
        <v>2031</v>
      </c>
      <c r="C34" s="18" t="s">
        <v>99</v>
      </c>
      <c r="D34" s="19">
        <v>46023</v>
      </c>
      <c r="E34" s="19">
        <v>46388</v>
      </c>
      <c r="F34" s="18" t="s">
        <v>2032</v>
      </c>
      <c r="G34" s="18" t="s">
        <v>2033</v>
      </c>
      <c r="H34" s="18" t="s">
        <v>99</v>
      </c>
      <c r="I34" s="18" t="s">
        <v>2034</v>
      </c>
      <c r="J34" s="18" t="s">
        <v>2035</v>
      </c>
    </row>
    <row r="35" spans="1:10">
      <c r="A35" s="18" t="s">
        <v>430</v>
      </c>
      <c r="B35" s="18" t="s">
        <v>2031</v>
      </c>
      <c r="C35" s="18" t="s">
        <v>99</v>
      </c>
      <c r="D35" s="19">
        <v>46023</v>
      </c>
      <c r="E35" s="19">
        <v>46388</v>
      </c>
      <c r="F35" s="18" t="s">
        <v>2032</v>
      </c>
      <c r="G35" s="18" t="s">
        <v>2033</v>
      </c>
      <c r="H35" s="18" t="s">
        <v>99</v>
      </c>
      <c r="I35" s="18" t="s">
        <v>2036</v>
      </c>
      <c r="J35" s="18" t="s">
        <v>2037</v>
      </c>
    </row>
    <row r="36" spans="1:10">
      <c r="A36" s="18" t="s">
        <v>438</v>
      </c>
      <c r="B36" s="18" t="s">
        <v>2031</v>
      </c>
      <c r="C36" s="18" t="s">
        <v>99</v>
      </c>
      <c r="D36" s="19">
        <v>46023</v>
      </c>
      <c r="E36" s="19">
        <v>46388</v>
      </c>
      <c r="F36" s="18" t="s">
        <v>2032</v>
      </c>
      <c r="G36" s="18" t="s">
        <v>2033</v>
      </c>
      <c r="H36" s="18" t="s">
        <v>99</v>
      </c>
      <c r="I36" s="18" t="s">
        <v>2036</v>
      </c>
      <c r="J36" s="18" t="s">
        <v>2037</v>
      </c>
    </row>
    <row r="37" spans="1:10">
      <c r="A37" s="18" t="s">
        <v>445</v>
      </c>
      <c r="B37" s="18" t="s">
        <v>2031</v>
      </c>
      <c r="C37" s="18" t="s">
        <v>99</v>
      </c>
      <c r="D37" s="19">
        <v>46023</v>
      </c>
      <c r="E37" s="19">
        <v>46388</v>
      </c>
      <c r="F37" s="18" t="s">
        <v>2032</v>
      </c>
      <c r="G37" s="18" t="s">
        <v>2033</v>
      </c>
      <c r="H37" s="18" t="s">
        <v>99</v>
      </c>
      <c r="I37" s="18" t="s">
        <v>2036</v>
      </c>
      <c r="J37" s="18" t="s">
        <v>2037</v>
      </c>
    </row>
    <row r="38" spans="1:10">
      <c r="A38" s="18" t="s">
        <v>453</v>
      </c>
      <c r="B38" s="18" t="s">
        <v>2031</v>
      </c>
      <c r="C38" s="18" t="s">
        <v>99</v>
      </c>
      <c r="D38" s="19">
        <v>46023</v>
      </c>
      <c r="E38" s="19">
        <v>46388</v>
      </c>
      <c r="F38" s="18" t="s">
        <v>2032</v>
      </c>
      <c r="G38" s="18" t="s">
        <v>2033</v>
      </c>
      <c r="H38" s="18" t="s">
        <v>99</v>
      </c>
      <c r="I38" s="18" t="s">
        <v>2036</v>
      </c>
      <c r="J38" s="18" t="s">
        <v>2037</v>
      </c>
    </row>
    <row r="39" spans="1:10">
      <c r="A39" s="18" t="s">
        <v>460</v>
      </c>
      <c r="B39" s="18" t="s">
        <v>2031</v>
      </c>
      <c r="C39" s="18" t="s">
        <v>99</v>
      </c>
      <c r="D39" s="19">
        <v>46023</v>
      </c>
      <c r="E39" s="19">
        <v>46388</v>
      </c>
      <c r="F39" s="18" t="s">
        <v>2032</v>
      </c>
      <c r="G39" s="18" t="s">
        <v>2033</v>
      </c>
      <c r="H39" s="18" t="s">
        <v>99</v>
      </c>
      <c r="I39" s="18" t="s">
        <v>2036</v>
      </c>
      <c r="J39" s="18" t="s">
        <v>2037</v>
      </c>
    </row>
    <row r="40" spans="1:10">
      <c r="A40" s="18" t="s">
        <v>468</v>
      </c>
      <c r="B40" s="18" t="s">
        <v>2031</v>
      </c>
      <c r="C40" s="18" t="s">
        <v>99</v>
      </c>
      <c r="D40" s="19">
        <v>46023</v>
      </c>
      <c r="E40" s="19">
        <v>46388</v>
      </c>
      <c r="F40" s="18" t="s">
        <v>2032</v>
      </c>
      <c r="G40" s="18" t="s">
        <v>2033</v>
      </c>
      <c r="H40" s="18" t="s">
        <v>99</v>
      </c>
      <c r="I40" s="18" t="s">
        <v>2036</v>
      </c>
      <c r="J40" s="18" t="s">
        <v>2037</v>
      </c>
    </row>
    <row r="41" spans="1:10">
      <c r="A41" s="18" t="s">
        <v>475</v>
      </c>
      <c r="B41" s="18" t="s">
        <v>2031</v>
      </c>
      <c r="C41" s="18" t="s">
        <v>99</v>
      </c>
      <c r="D41" s="19">
        <v>46023</v>
      </c>
      <c r="E41" s="19">
        <v>46388</v>
      </c>
      <c r="F41" s="18" t="s">
        <v>2032</v>
      </c>
      <c r="G41" s="18" t="s">
        <v>2033</v>
      </c>
      <c r="H41" s="18" t="s">
        <v>99</v>
      </c>
      <c r="I41" s="18" t="s">
        <v>2036</v>
      </c>
      <c r="J41" s="18" t="s">
        <v>2037</v>
      </c>
    </row>
    <row r="42" spans="1:10">
      <c r="A42" s="18" t="s">
        <v>483</v>
      </c>
      <c r="B42" s="18" t="s">
        <v>2031</v>
      </c>
      <c r="C42" s="18" t="s">
        <v>99</v>
      </c>
      <c r="D42" s="19">
        <v>46023</v>
      </c>
      <c r="E42" s="19">
        <v>46388</v>
      </c>
      <c r="F42" s="18" t="s">
        <v>2032</v>
      </c>
      <c r="G42" s="18" t="s">
        <v>2033</v>
      </c>
      <c r="H42" s="18" t="s">
        <v>99</v>
      </c>
      <c r="I42" s="18" t="s">
        <v>2034</v>
      </c>
      <c r="J42" s="18" t="s">
        <v>2035</v>
      </c>
    </row>
    <row r="43" spans="1:10">
      <c r="A43" s="18" t="s">
        <v>491</v>
      </c>
      <c r="B43" s="18" t="s">
        <v>2031</v>
      </c>
      <c r="C43" s="18" t="s">
        <v>99</v>
      </c>
      <c r="D43" s="19">
        <v>46023</v>
      </c>
      <c r="E43" s="19">
        <v>46388</v>
      </c>
      <c r="F43" s="18" t="s">
        <v>2032</v>
      </c>
      <c r="G43" s="18" t="s">
        <v>2033</v>
      </c>
      <c r="H43" s="18" t="s">
        <v>99</v>
      </c>
      <c r="I43" s="18" t="s">
        <v>2036</v>
      </c>
      <c r="J43" s="18" t="s">
        <v>2037</v>
      </c>
    </row>
    <row r="44" spans="1:10">
      <c r="A44" s="18" t="s">
        <v>499</v>
      </c>
      <c r="B44" s="18" t="s">
        <v>2031</v>
      </c>
      <c r="C44" s="18" t="s">
        <v>99</v>
      </c>
      <c r="D44" s="19">
        <v>46023</v>
      </c>
      <c r="E44" s="19">
        <v>46388</v>
      </c>
      <c r="F44" s="18" t="s">
        <v>2032</v>
      </c>
      <c r="G44" s="18" t="s">
        <v>2033</v>
      </c>
      <c r="H44" s="18" t="s">
        <v>99</v>
      </c>
      <c r="I44" s="18" t="s">
        <v>2036</v>
      </c>
      <c r="J44" s="18" t="s">
        <v>2037</v>
      </c>
    </row>
    <row r="45" spans="1:10">
      <c r="A45" s="18" t="s">
        <v>507</v>
      </c>
      <c r="B45" s="18" t="s">
        <v>2031</v>
      </c>
      <c r="C45" s="18" t="s">
        <v>99</v>
      </c>
      <c r="D45" s="19">
        <v>46023</v>
      </c>
      <c r="E45" s="19">
        <v>46388</v>
      </c>
      <c r="F45" s="18" t="s">
        <v>2032</v>
      </c>
      <c r="G45" s="18" t="s">
        <v>2033</v>
      </c>
      <c r="H45" s="18" t="s">
        <v>99</v>
      </c>
      <c r="I45" s="18" t="s">
        <v>2036</v>
      </c>
      <c r="J45" s="18" t="s">
        <v>2037</v>
      </c>
    </row>
    <row r="46" spans="1:10">
      <c r="A46" s="18" t="s">
        <v>515</v>
      </c>
      <c r="B46" s="18" t="s">
        <v>2031</v>
      </c>
      <c r="C46" s="18" t="s">
        <v>99</v>
      </c>
      <c r="D46" s="19">
        <v>46023</v>
      </c>
      <c r="E46" s="19">
        <v>46388</v>
      </c>
      <c r="F46" s="18" t="s">
        <v>2032</v>
      </c>
      <c r="G46" s="18" t="s">
        <v>2033</v>
      </c>
      <c r="H46" s="18" t="s">
        <v>99</v>
      </c>
      <c r="I46" s="18" t="s">
        <v>2036</v>
      </c>
      <c r="J46" s="18" t="s">
        <v>2037</v>
      </c>
    </row>
    <row r="47" spans="1:10">
      <c r="A47" s="18" t="s">
        <v>523</v>
      </c>
      <c r="B47" s="18" t="s">
        <v>2031</v>
      </c>
      <c r="C47" s="18" t="s">
        <v>99</v>
      </c>
      <c r="D47" s="19">
        <v>46023</v>
      </c>
      <c r="E47" s="19">
        <v>46388</v>
      </c>
      <c r="F47" s="18" t="s">
        <v>2032</v>
      </c>
      <c r="G47" s="18" t="s">
        <v>2033</v>
      </c>
      <c r="H47" s="18" t="s">
        <v>99</v>
      </c>
      <c r="I47" s="18" t="s">
        <v>2036</v>
      </c>
      <c r="J47" s="18" t="s">
        <v>2037</v>
      </c>
    </row>
    <row r="48" spans="1:10">
      <c r="A48" s="18" t="s">
        <v>531</v>
      </c>
      <c r="B48" s="18" t="s">
        <v>2031</v>
      </c>
      <c r="C48" s="18" t="s">
        <v>99</v>
      </c>
      <c r="D48" s="19">
        <v>46023</v>
      </c>
      <c r="E48" s="19">
        <v>46388</v>
      </c>
      <c r="F48" s="18" t="s">
        <v>2032</v>
      </c>
      <c r="G48" s="18" t="s">
        <v>2033</v>
      </c>
      <c r="H48" s="18" t="s">
        <v>99</v>
      </c>
      <c r="I48" s="18" t="s">
        <v>2036</v>
      </c>
      <c r="J48" s="18" t="s">
        <v>2037</v>
      </c>
    </row>
    <row r="49" spans="1:10">
      <c r="A49" s="18" t="s">
        <v>539</v>
      </c>
      <c r="B49" s="18" t="s">
        <v>2031</v>
      </c>
      <c r="C49" s="18" t="s">
        <v>99</v>
      </c>
      <c r="D49" s="19">
        <v>46023</v>
      </c>
      <c r="E49" s="19">
        <v>46388</v>
      </c>
      <c r="F49" s="18" t="s">
        <v>2032</v>
      </c>
      <c r="G49" s="18" t="s">
        <v>2033</v>
      </c>
      <c r="H49" s="18" t="s">
        <v>99</v>
      </c>
      <c r="I49" s="18" t="s">
        <v>2036</v>
      </c>
      <c r="J49" s="18" t="s">
        <v>2037</v>
      </c>
    </row>
    <row r="50" spans="1:10">
      <c r="A50" s="18" t="s">
        <v>547</v>
      </c>
      <c r="B50" s="18" t="s">
        <v>2031</v>
      </c>
      <c r="C50" s="18" t="s">
        <v>99</v>
      </c>
      <c r="D50" s="19">
        <v>46023</v>
      </c>
      <c r="E50" s="19">
        <v>46388</v>
      </c>
      <c r="F50" s="18" t="s">
        <v>2032</v>
      </c>
      <c r="G50" s="18" t="s">
        <v>2033</v>
      </c>
      <c r="H50" s="18" t="s">
        <v>99</v>
      </c>
      <c r="I50" s="18" t="s">
        <v>2034</v>
      </c>
      <c r="J50" s="18" t="s">
        <v>2035</v>
      </c>
    </row>
    <row r="51" spans="1:10">
      <c r="A51" s="18" t="s">
        <v>555</v>
      </c>
      <c r="B51" s="18" t="s">
        <v>2031</v>
      </c>
      <c r="C51" s="18" t="s">
        <v>99</v>
      </c>
      <c r="D51" s="19">
        <v>46023</v>
      </c>
      <c r="E51" s="19">
        <v>46388</v>
      </c>
      <c r="F51" s="18" t="s">
        <v>2032</v>
      </c>
      <c r="G51" s="18" t="s">
        <v>2033</v>
      </c>
      <c r="H51" s="18" t="s">
        <v>99</v>
      </c>
      <c r="I51" s="18" t="s">
        <v>2036</v>
      </c>
      <c r="J51" s="18" t="s">
        <v>2037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H10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6" customWidth="1"/>
    <col min="4" max="4" width="20" customWidth="1"/>
    <col min="5" max="5" width="18" customWidth="1"/>
    <col min="6" max="7" width="14" customWidth="1"/>
    <col min="8" max="8" width="24" customWidth="1"/>
  </cols>
  <sheetData>
    <row r="1" spans="1:8" ht="30" customHeight="1">
      <c r="A1" s="17" t="s">
        <v>2038</v>
      </c>
      <c r="B1" s="17" t="s">
        <v>66</v>
      </c>
      <c r="C1" s="17" t="s">
        <v>567</v>
      </c>
      <c r="D1" s="17" t="s">
        <v>2039</v>
      </c>
      <c r="E1" s="17" t="s">
        <v>2040</v>
      </c>
      <c r="F1" s="17" t="s">
        <v>58</v>
      </c>
      <c r="G1" s="17" t="s">
        <v>945</v>
      </c>
      <c r="H1" s="17" t="s">
        <v>2041</v>
      </c>
    </row>
    <row r="2" spans="1:8">
      <c r="A2" s="18" t="s">
        <v>2042</v>
      </c>
      <c r="B2" s="18" t="s">
        <v>35</v>
      </c>
      <c r="C2" s="18" t="s">
        <v>98</v>
      </c>
      <c r="D2" s="18" t="s">
        <v>2043</v>
      </c>
      <c r="E2" s="18" t="s">
        <v>41</v>
      </c>
      <c r="F2" s="18" t="s">
        <v>99</v>
      </c>
      <c r="G2" s="19">
        <v>45292</v>
      </c>
      <c r="H2" s="18" t="s">
        <v>2044</v>
      </c>
    </row>
    <row r="3" spans="1:8">
      <c r="A3" s="18" t="s">
        <v>2045</v>
      </c>
      <c r="B3" s="18" t="s">
        <v>35</v>
      </c>
      <c r="C3" s="18" t="s">
        <v>134</v>
      </c>
      <c r="D3" s="18" t="s">
        <v>600</v>
      </c>
      <c r="E3" s="18" t="s">
        <v>2046</v>
      </c>
      <c r="F3" s="18" t="s">
        <v>99</v>
      </c>
      <c r="G3" s="19">
        <v>45809</v>
      </c>
      <c r="H3" s="18" t="s">
        <v>2044</v>
      </c>
    </row>
    <row r="4" spans="1:8">
      <c r="A4" s="18" t="s">
        <v>2047</v>
      </c>
      <c r="B4" s="18" t="s">
        <v>107</v>
      </c>
      <c r="C4" s="18" t="s">
        <v>118</v>
      </c>
      <c r="D4" s="18" t="s">
        <v>2043</v>
      </c>
      <c r="E4" s="18" t="s">
        <v>41</v>
      </c>
      <c r="F4" s="18" t="s">
        <v>99</v>
      </c>
      <c r="G4" s="19">
        <v>45292</v>
      </c>
      <c r="H4" s="18" t="s">
        <v>2044</v>
      </c>
    </row>
    <row r="5" spans="1:8">
      <c r="A5" s="18" t="s">
        <v>2048</v>
      </c>
      <c r="B5" s="18" t="s">
        <v>107</v>
      </c>
      <c r="C5" s="18" t="s">
        <v>149</v>
      </c>
      <c r="D5" s="18" t="s">
        <v>608</v>
      </c>
      <c r="E5" s="18" t="s">
        <v>2046</v>
      </c>
      <c r="F5" s="18" t="s">
        <v>99</v>
      </c>
      <c r="G5" s="19">
        <v>45809</v>
      </c>
      <c r="H5" s="18" t="s">
        <v>2044</v>
      </c>
    </row>
    <row r="6" spans="1:8">
      <c r="A6" s="18" t="s">
        <v>2049</v>
      </c>
      <c r="B6" s="18" t="s">
        <v>125</v>
      </c>
      <c r="C6" s="18" t="s">
        <v>134</v>
      </c>
      <c r="D6" s="18" t="s">
        <v>2043</v>
      </c>
      <c r="E6" s="18" t="s">
        <v>41</v>
      </c>
      <c r="F6" s="18" t="s">
        <v>99</v>
      </c>
      <c r="G6" s="19">
        <v>45292</v>
      </c>
      <c r="H6" s="18" t="s">
        <v>2044</v>
      </c>
    </row>
    <row r="7" spans="1:8">
      <c r="A7" s="18" t="s">
        <v>2050</v>
      </c>
      <c r="B7" s="18" t="s">
        <v>125</v>
      </c>
      <c r="C7" s="18" t="s">
        <v>162</v>
      </c>
      <c r="D7" s="18" t="s">
        <v>2051</v>
      </c>
      <c r="E7" s="18" t="s">
        <v>2046</v>
      </c>
      <c r="F7" s="18" t="s">
        <v>99</v>
      </c>
      <c r="G7" s="19">
        <v>45809</v>
      </c>
      <c r="H7" s="18" t="s">
        <v>2044</v>
      </c>
    </row>
    <row r="8" spans="1:8">
      <c r="A8" s="18" t="s">
        <v>2052</v>
      </c>
      <c r="B8" s="18" t="s">
        <v>141</v>
      </c>
      <c r="C8" s="18" t="s">
        <v>149</v>
      </c>
      <c r="D8" s="18" t="s">
        <v>2043</v>
      </c>
      <c r="E8" s="18" t="s">
        <v>41</v>
      </c>
      <c r="F8" s="18" t="s">
        <v>99</v>
      </c>
      <c r="G8" s="19">
        <v>45292</v>
      </c>
      <c r="H8" s="18" t="s">
        <v>2044</v>
      </c>
    </row>
    <row r="9" spans="1:8">
      <c r="A9" s="18" t="s">
        <v>2053</v>
      </c>
      <c r="B9" s="18" t="s">
        <v>141</v>
      </c>
      <c r="C9" s="18" t="s">
        <v>176</v>
      </c>
      <c r="D9" s="18" t="s">
        <v>600</v>
      </c>
      <c r="E9" s="18" t="s">
        <v>2046</v>
      </c>
      <c r="F9" s="18" t="s">
        <v>99</v>
      </c>
      <c r="G9" s="19">
        <v>45809</v>
      </c>
      <c r="H9" s="18" t="s">
        <v>2044</v>
      </c>
    </row>
    <row r="10" spans="1:8">
      <c r="A10" s="18" t="s">
        <v>2054</v>
      </c>
      <c r="B10" s="18" t="s">
        <v>155</v>
      </c>
      <c r="C10" s="18" t="s">
        <v>162</v>
      </c>
      <c r="D10" s="18" t="s">
        <v>2043</v>
      </c>
      <c r="E10" s="18" t="s">
        <v>41</v>
      </c>
      <c r="F10" s="18" t="s">
        <v>99</v>
      </c>
      <c r="G10" s="19">
        <v>45292</v>
      </c>
      <c r="H10" s="18" t="s">
        <v>2044</v>
      </c>
    </row>
    <row r="11" spans="1:8">
      <c r="A11" s="18" t="s">
        <v>2055</v>
      </c>
      <c r="B11" s="18" t="s">
        <v>155</v>
      </c>
      <c r="C11" s="18" t="s">
        <v>98</v>
      </c>
      <c r="D11" s="18" t="s">
        <v>608</v>
      </c>
      <c r="E11" s="18" t="s">
        <v>2046</v>
      </c>
      <c r="F11" s="18" t="s">
        <v>99</v>
      </c>
      <c r="G11" s="19">
        <v>45809</v>
      </c>
      <c r="H11" s="18" t="s">
        <v>2044</v>
      </c>
    </row>
    <row r="12" spans="1:8">
      <c r="A12" s="18" t="s">
        <v>2056</v>
      </c>
      <c r="B12" s="18" t="s">
        <v>169</v>
      </c>
      <c r="C12" s="18" t="s">
        <v>176</v>
      </c>
      <c r="D12" s="18" t="s">
        <v>2043</v>
      </c>
      <c r="E12" s="18" t="s">
        <v>41</v>
      </c>
      <c r="F12" s="18" t="s">
        <v>99</v>
      </c>
      <c r="G12" s="19">
        <v>45292</v>
      </c>
      <c r="H12" s="18" t="s">
        <v>2044</v>
      </c>
    </row>
    <row r="13" spans="1:8">
      <c r="A13" s="18" t="s">
        <v>2057</v>
      </c>
      <c r="B13" s="18" t="s">
        <v>169</v>
      </c>
      <c r="C13" s="18" t="s">
        <v>118</v>
      </c>
      <c r="D13" s="18" t="s">
        <v>2051</v>
      </c>
      <c r="E13" s="18" t="s">
        <v>2046</v>
      </c>
      <c r="F13" s="18" t="s">
        <v>99</v>
      </c>
      <c r="G13" s="19">
        <v>45809</v>
      </c>
      <c r="H13" s="18" t="s">
        <v>2044</v>
      </c>
    </row>
    <row r="14" spans="1:8">
      <c r="A14" s="18" t="s">
        <v>2058</v>
      </c>
      <c r="B14" s="18" t="s">
        <v>183</v>
      </c>
      <c r="C14" s="18" t="s">
        <v>98</v>
      </c>
      <c r="D14" s="18" t="s">
        <v>2043</v>
      </c>
      <c r="E14" s="18" t="s">
        <v>41</v>
      </c>
      <c r="F14" s="18" t="s">
        <v>99</v>
      </c>
      <c r="G14" s="19">
        <v>45292</v>
      </c>
      <c r="H14" s="18" t="s">
        <v>2044</v>
      </c>
    </row>
    <row r="15" spans="1:8">
      <c r="A15" s="18" t="s">
        <v>2059</v>
      </c>
      <c r="B15" s="18" t="s">
        <v>183</v>
      </c>
      <c r="C15" s="18" t="s">
        <v>134</v>
      </c>
      <c r="D15" s="18" t="s">
        <v>600</v>
      </c>
      <c r="E15" s="18" t="s">
        <v>2046</v>
      </c>
      <c r="F15" s="18" t="s">
        <v>99</v>
      </c>
      <c r="G15" s="19">
        <v>45809</v>
      </c>
      <c r="H15" s="18" t="s">
        <v>2044</v>
      </c>
    </row>
    <row r="16" spans="1:8">
      <c r="A16" s="18" t="s">
        <v>2060</v>
      </c>
      <c r="B16" s="18" t="s">
        <v>194</v>
      </c>
      <c r="C16" s="18" t="s">
        <v>118</v>
      </c>
      <c r="D16" s="18" t="s">
        <v>2043</v>
      </c>
      <c r="E16" s="18" t="s">
        <v>41</v>
      </c>
      <c r="F16" s="18" t="s">
        <v>99</v>
      </c>
      <c r="G16" s="19">
        <v>45292</v>
      </c>
      <c r="H16" s="18" t="s">
        <v>2044</v>
      </c>
    </row>
    <row r="17" spans="1:8">
      <c r="A17" s="18" t="s">
        <v>2061</v>
      </c>
      <c r="B17" s="18" t="s">
        <v>194</v>
      </c>
      <c r="C17" s="18" t="s">
        <v>149</v>
      </c>
      <c r="D17" s="18" t="s">
        <v>608</v>
      </c>
      <c r="E17" s="18" t="s">
        <v>2046</v>
      </c>
      <c r="F17" s="18" t="s">
        <v>99</v>
      </c>
      <c r="G17" s="19">
        <v>45809</v>
      </c>
      <c r="H17" s="18" t="s">
        <v>2044</v>
      </c>
    </row>
    <row r="18" spans="1:8">
      <c r="A18" s="18" t="s">
        <v>2062</v>
      </c>
      <c r="B18" s="18" t="s">
        <v>204</v>
      </c>
      <c r="C18" s="18" t="s">
        <v>134</v>
      </c>
      <c r="D18" s="18" t="s">
        <v>2043</v>
      </c>
      <c r="E18" s="18" t="s">
        <v>41</v>
      </c>
      <c r="F18" s="18" t="s">
        <v>99</v>
      </c>
      <c r="G18" s="19">
        <v>45292</v>
      </c>
      <c r="H18" s="18" t="s">
        <v>2044</v>
      </c>
    </row>
    <row r="19" spans="1:8">
      <c r="A19" s="18" t="s">
        <v>2063</v>
      </c>
      <c r="B19" s="18" t="s">
        <v>204</v>
      </c>
      <c r="C19" s="18" t="s">
        <v>162</v>
      </c>
      <c r="D19" s="18" t="s">
        <v>2051</v>
      </c>
      <c r="E19" s="18" t="s">
        <v>2046</v>
      </c>
      <c r="F19" s="18" t="s">
        <v>99</v>
      </c>
      <c r="G19" s="19">
        <v>45809</v>
      </c>
      <c r="H19" s="18" t="s">
        <v>2044</v>
      </c>
    </row>
    <row r="20" spans="1:8">
      <c r="A20" s="18" t="s">
        <v>2064</v>
      </c>
      <c r="B20" s="18" t="s">
        <v>215</v>
      </c>
      <c r="C20" s="18" t="s">
        <v>149</v>
      </c>
      <c r="D20" s="18" t="s">
        <v>2043</v>
      </c>
      <c r="E20" s="18" t="s">
        <v>41</v>
      </c>
      <c r="F20" s="18" t="s">
        <v>99</v>
      </c>
      <c r="G20" s="19">
        <v>45292</v>
      </c>
      <c r="H20" s="18" t="s">
        <v>2044</v>
      </c>
    </row>
    <row r="21" spans="1:8">
      <c r="A21" s="18" t="s">
        <v>2065</v>
      </c>
      <c r="B21" s="18" t="s">
        <v>215</v>
      </c>
      <c r="C21" s="18" t="s">
        <v>176</v>
      </c>
      <c r="D21" s="18" t="s">
        <v>600</v>
      </c>
      <c r="E21" s="18" t="s">
        <v>2046</v>
      </c>
      <c r="F21" s="18" t="s">
        <v>99</v>
      </c>
      <c r="G21" s="19">
        <v>45809</v>
      </c>
      <c r="H21" s="18" t="s">
        <v>2044</v>
      </c>
    </row>
    <row r="22" spans="1:8">
      <c r="A22" s="18" t="s">
        <v>2066</v>
      </c>
      <c r="B22" s="18" t="s">
        <v>226</v>
      </c>
      <c r="C22" s="18" t="s">
        <v>162</v>
      </c>
      <c r="D22" s="18" t="s">
        <v>2043</v>
      </c>
      <c r="E22" s="18" t="s">
        <v>41</v>
      </c>
      <c r="F22" s="18" t="s">
        <v>99</v>
      </c>
      <c r="G22" s="19">
        <v>45292</v>
      </c>
      <c r="H22" s="18" t="s">
        <v>2044</v>
      </c>
    </row>
    <row r="23" spans="1:8">
      <c r="A23" s="18" t="s">
        <v>2067</v>
      </c>
      <c r="B23" s="18" t="s">
        <v>226</v>
      </c>
      <c r="C23" s="18" t="s">
        <v>98</v>
      </c>
      <c r="D23" s="18" t="s">
        <v>608</v>
      </c>
      <c r="E23" s="18" t="s">
        <v>2046</v>
      </c>
      <c r="F23" s="18" t="s">
        <v>99</v>
      </c>
      <c r="G23" s="19">
        <v>45809</v>
      </c>
      <c r="H23" s="18" t="s">
        <v>2044</v>
      </c>
    </row>
    <row r="24" spans="1:8">
      <c r="A24" s="18" t="s">
        <v>2068</v>
      </c>
      <c r="B24" s="18" t="s">
        <v>237</v>
      </c>
      <c r="C24" s="18" t="s">
        <v>176</v>
      </c>
      <c r="D24" s="18" t="s">
        <v>2043</v>
      </c>
      <c r="E24" s="18" t="s">
        <v>41</v>
      </c>
      <c r="F24" s="18" t="s">
        <v>99</v>
      </c>
      <c r="G24" s="19">
        <v>45292</v>
      </c>
      <c r="H24" s="18" t="s">
        <v>2044</v>
      </c>
    </row>
    <row r="25" spans="1:8">
      <c r="A25" s="18" t="s">
        <v>2069</v>
      </c>
      <c r="B25" s="18" t="s">
        <v>237</v>
      </c>
      <c r="C25" s="18" t="s">
        <v>118</v>
      </c>
      <c r="D25" s="18" t="s">
        <v>2051</v>
      </c>
      <c r="E25" s="18" t="s">
        <v>2046</v>
      </c>
      <c r="F25" s="18" t="s">
        <v>99</v>
      </c>
      <c r="G25" s="19">
        <v>45809</v>
      </c>
      <c r="H25" s="18" t="s">
        <v>2044</v>
      </c>
    </row>
    <row r="26" spans="1:8">
      <c r="A26" s="18" t="s">
        <v>2070</v>
      </c>
      <c r="B26" s="18" t="s">
        <v>248</v>
      </c>
      <c r="C26" s="18" t="s">
        <v>98</v>
      </c>
      <c r="D26" s="18" t="s">
        <v>2043</v>
      </c>
      <c r="E26" s="18" t="s">
        <v>41</v>
      </c>
      <c r="F26" s="18" t="s">
        <v>99</v>
      </c>
      <c r="G26" s="19">
        <v>45292</v>
      </c>
      <c r="H26" s="18" t="s">
        <v>2044</v>
      </c>
    </row>
    <row r="27" spans="1:8">
      <c r="A27" s="18" t="s">
        <v>2071</v>
      </c>
      <c r="B27" s="18" t="s">
        <v>248</v>
      </c>
      <c r="C27" s="18" t="s">
        <v>134</v>
      </c>
      <c r="D27" s="18" t="s">
        <v>600</v>
      </c>
      <c r="E27" s="18" t="s">
        <v>2046</v>
      </c>
      <c r="F27" s="18" t="s">
        <v>99</v>
      </c>
      <c r="G27" s="19">
        <v>45809</v>
      </c>
      <c r="H27" s="18" t="s">
        <v>2044</v>
      </c>
    </row>
    <row r="28" spans="1:8">
      <c r="A28" s="18" t="s">
        <v>2072</v>
      </c>
      <c r="B28" s="18" t="s">
        <v>259</v>
      </c>
      <c r="C28" s="18" t="s">
        <v>118</v>
      </c>
      <c r="D28" s="18" t="s">
        <v>2043</v>
      </c>
      <c r="E28" s="18" t="s">
        <v>41</v>
      </c>
      <c r="F28" s="18" t="s">
        <v>99</v>
      </c>
      <c r="G28" s="19">
        <v>45292</v>
      </c>
      <c r="H28" s="18" t="s">
        <v>2044</v>
      </c>
    </row>
    <row r="29" spans="1:8">
      <c r="A29" s="18" t="s">
        <v>2073</v>
      </c>
      <c r="B29" s="18" t="s">
        <v>259</v>
      </c>
      <c r="C29" s="18" t="s">
        <v>149</v>
      </c>
      <c r="D29" s="18" t="s">
        <v>608</v>
      </c>
      <c r="E29" s="18" t="s">
        <v>2046</v>
      </c>
      <c r="F29" s="18" t="s">
        <v>99</v>
      </c>
      <c r="G29" s="19">
        <v>45809</v>
      </c>
      <c r="H29" s="18" t="s">
        <v>2044</v>
      </c>
    </row>
    <row r="30" spans="1:8">
      <c r="A30" s="18" t="s">
        <v>2074</v>
      </c>
      <c r="B30" s="18" t="s">
        <v>270</v>
      </c>
      <c r="C30" s="18" t="s">
        <v>134</v>
      </c>
      <c r="D30" s="18" t="s">
        <v>2043</v>
      </c>
      <c r="E30" s="18" t="s">
        <v>41</v>
      </c>
      <c r="F30" s="18" t="s">
        <v>99</v>
      </c>
      <c r="G30" s="19">
        <v>45292</v>
      </c>
      <c r="H30" s="18" t="s">
        <v>2044</v>
      </c>
    </row>
    <row r="31" spans="1:8">
      <c r="A31" s="18" t="s">
        <v>2075</v>
      </c>
      <c r="B31" s="18" t="s">
        <v>270</v>
      </c>
      <c r="C31" s="18" t="s">
        <v>162</v>
      </c>
      <c r="D31" s="18" t="s">
        <v>2051</v>
      </c>
      <c r="E31" s="18" t="s">
        <v>2046</v>
      </c>
      <c r="F31" s="18" t="s">
        <v>99</v>
      </c>
      <c r="G31" s="19">
        <v>45809</v>
      </c>
      <c r="H31" s="18" t="s">
        <v>2044</v>
      </c>
    </row>
    <row r="32" spans="1:8">
      <c r="A32" s="18" t="s">
        <v>2076</v>
      </c>
      <c r="B32" s="18" t="s">
        <v>281</v>
      </c>
      <c r="C32" s="18" t="s">
        <v>149</v>
      </c>
      <c r="D32" s="18" t="s">
        <v>2043</v>
      </c>
      <c r="E32" s="18" t="s">
        <v>41</v>
      </c>
      <c r="F32" s="18" t="s">
        <v>99</v>
      </c>
      <c r="G32" s="19">
        <v>45292</v>
      </c>
      <c r="H32" s="18" t="s">
        <v>2044</v>
      </c>
    </row>
    <row r="33" spans="1:8">
      <c r="A33" s="18" t="s">
        <v>2077</v>
      </c>
      <c r="B33" s="18" t="s">
        <v>281</v>
      </c>
      <c r="C33" s="18" t="s">
        <v>176</v>
      </c>
      <c r="D33" s="18" t="s">
        <v>600</v>
      </c>
      <c r="E33" s="18" t="s">
        <v>2046</v>
      </c>
      <c r="F33" s="18" t="s">
        <v>99</v>
      </c>
      <c r="G33" s="19">
        <v>45809</v>
      </c>
      <c r="H33" s="18" t="s">
        <v>2044</v>
      </c>
    </row>
    <row r="34" spans="1:8">
      <c r="A34" s="18" t="s">
        <v>2078</v>
      </c>
      <c r="B34" s="18" t="s">
        <v>292</v>
      </c>
      <c r="C34" s="18" t="s">
        <v>162</v>
      </c>
      <c r="D34" s="18" t="s">
        <v>2043</v>
      </c>
      <c r="E34" s="18" t="s">
        <v>41</v>
      </c>
      <c r="F34" s="18" t="s">
        <v>99</v>
      </c>
      <c r="G34" s="19">
        <v>45292</v>
      </c>
      <c r="H34" s="18" t="s">
        <v>2044</v>
      </c>
    </row>
    <row r="35" spans="1:8">
      <c r="A35" s="18" t="s">
        <v>2079</v>
      </c>
      <c r="B35" s="18" t="s">
        <v>292</v>
      </c>
      <c r="C35" s="18" t="s">
        <v>98</v>
      </c>
      <c r="D35" s="18" t="s">
        <v>608</v>
      </c>
      <c r="E35" s="18" t="s">
        <v>2046</v>
      </c>
      <c r="F35" s="18" t="s">
        <v>99</v>
      </c>
      <c r="G35" s="19">
        <v>45809</v>
      </c>
      <c r="H35" s="18" t="s">
        <v>2044</v>
      </c>
    </row>
    <row r="36" spans="1:8">
      <c r="A36" s="18" t="s">
        <v>2080</v>
      </c>
      <c r="B36" s="18" t="s">
        <v>303</v>
      </c>
      <c r="C36" s="18" t="s">
        <v>176</v>
      </c>
      <c r="D36" s="18" t="s">
        <v>2043</v>
      </c>
      <c r="E36" s="18" t="s">
        <v>41</v>
      </c>
      <c r="F36" s="18" t="s">
        <v>99</v>
      </c>
      <c r="G36" s="19">
        <v>45292</v>
      </c>
      <c r="H36" s="18" t="s">
        <v>2044</v>
      </c>
    </row>
    <row r="37" spans="1:8">
      <c r="A37" s="18" t="s">
        <v>2081</v>
      </c>
      <c r="B37" s="18" t="s">
        <v>303</v>
      </c>
      <c r="C37" s="18" t="s">
        <v>118</v>
      </c>
      <c r="D37" s="18" t="s">
        <v>2051</v>
      </c>
      <c r="E37" s="18" t="s">
        <v>2046</v>
      </c>
      <c r="F37" s="18" t="s">
        <v>99</v>
      </c>
      <c r="G37" s="19">
        <v>45809</v>
      </c>
      <c r="H37" s="18" t="s">
        <v>2044</v>
      </c>
    </row>
    <row r="38" spans="1:8">
      <c r="A38" s="18" t="s">
        <v>2082</v>
      </c>
      <c r="B38" s="18" t="s">
        <v>313</v>
      </c>
      <c r="C38" s="18" t="s">
        <v>98</v>
      </c>
      <c r="D38" s="18" t="s">
        <v>2043</v>
      </c>
      <c r="E38" s="18" t="s">
        <v>41</v>
      </c>
      <c r="F38" s="18" t="s">
        <v>99</v>
      </c>
      <c r="G38" s="19">
        <v>45292</v>
      </c>
      <c r="H38" s="18" t="s">
        <v>2044</v>
      </c>
    </row>
    <row r="39" spans="1:8">
      <c r="A39" s="18" t="s">
        <v>2083</v>
      </c>
      <c r="B39" s="18" t="s">
        <v>313</v>
      </c>
      <c r="C39" s="18" t="s">
        <v>134</v>
      </c>
      <c r="D39" s="18" t="s">
        <v>600</v>
      </c>
      <c r="E39" s="18" t="s">
        <v>2046</v>
      </c>
      <c r="F39" s="18" t="s">
        <v>99</v>
      </c>
      <c r="G39" s="19">
        <v>45809</v>
      </c>
      <c r="H39" s="18" t="s">
        <v>2044</v>
      </c>
    </row>
    <row r="40" spans="1:8">
      <c r="A40" s="18" t="s">
        <v>2084</v>
      </c>
      <c r="B40" s="18" t="s">
        <v>324</v>
      </c>
      <c r="C40" s="18" t="s">
        <v>118</v>
      </c>
      <c r="D40" s="18" t="s">
        <v>2043</v>
      </c>
      <c r="E40" s="18" t="s">
        <v>41</v>
      </c>
      <c r="F40" s="18" t="s">
        <v>99</v>
      </c>
      <c r="G40" s="19">
        <v>45292</v>
      </c>
      <c r="H40" s="18" t="s">
        <v>2044</v>
      </c>
    </row>
    <row r="41" spans="1:8">
      <c r="A41" s="18" t="s">
        <v>2085</v>
      </c>
      <c r="B41" s="18" t="s">
        <v>324</v>
      </c>
      <c r="C41" s="18" t="s">
        <v>149</v>
      </c>
      <c r="D41" s="18" t="s">
        <v>608</v>
      </c>
      <c r="E41" s="18" t="s">
        <v>2046</v>
      </c>
      <c r="F41" s="18" t="s">
        <v>99</v>
      </c>
      <c r="G41" s="19">
        <v>45809</v>
      </c>
      <c r="H41" s="18" t="s">
        <v>2044</v>
      </c>
    </row>
    <row r="42" spans="1:8">
      <c r="A42" s="18" t="s">
        <v>2086</v>
      </c>
      <c r="B42" s="18" t="s">
        <v>335</v>
      </c>
      <c r="C42" s="18" t="s">
        <v>134</v>
      </c>
      <c r="D42" s="18" t="s">
        <v>2043</v>
      </c>
      <c r="E42" s="18" t="s">
        <v>41</v>
      </c>
      <c r="F42" s="18" t="s">
        <v>99</v>
      </c>
      <c r="G42" s="19">
        <v>45292</v>
      </c>
      <c r="H42" s="18" t="s">
        <v>2044</v>
      </c>
    </row>
    <row r="43" spans="1:8">
      <c r="A43" s="18" t="s">
        <v>2087</v>
      </c>
      <c r="B43" s="18" t="s">
        <v>335</v>
      </c>
      <c r="C43" s="18" t="s">
        <v>162</v>
      </c>
      <c r="D43" s="18" t="s">
        <v>2051</v>
      </c>
      <c r="E43" s="18" t="s">
        <v>2046</v>
      </c>
      <c r="F43" s="18" t="s">
        <v>99</v>
      </c>
      <c r="G43" s="19">
        <v>45809</v>
      </c>
      <c r="H43" s="18" t="s">
        <v>2044</v>
      </c>
    </row>
    <row r="44" spans="1:8">
      <c r="A44" s="18" t="s">
        <v>2088</v>
      </c>
      <c r="B44" s="18" t="s">
        <v>342</v>
      </c>
      <c r="C44" s="18" t="s">
        <v>149</v>
      </c>
      <c r="D44" s="18" t="s">
        <v>2043</v>
      </c>
      <c r="E44" s="18" t="s">
        <v>41</v>
      </c>
      <c r="F44" s="18" t="s">
        <v>99</v>
      </c>
      <c r="G44" s="19">
        <v>45292</v>
      </c>
      <c r="H44" s="18" t="s">
        <v>2044</v>
      </c>
    </row>
    <row r="45" spans="1:8">
      <c r="A45" s="18" t="s">
        <v>2089</v>
      </c>
      <c r="B45" s="18" t="s">
        <v>342</v>
      </c>
      <c r="C45" s="18" t="s">
        <v>176</v>
      </c>
      <c r="D45" s="18" t="s">
        <v>600</v>
      </c>
      <c r="E45" s="18" t="s">
        <v>2046</v>
      </c>
      <c r="F45" s="18" t="s">
        <v>99</v>
      </c>
      <c r="G45" s="19">
        <v>45809</v>
      </c>
      <c r="H45" s="18" t="s">
        <v>2044</v>
      </c>
    </row>
    <row r="46" spans="1:8">
      <c r="A46" s="18" t="s">
        <v>2090</v>
      </c>
      <c r="B46" s="18" t="s">
        <v>350</v>
      </c>
      <c r="C46" s="18" t="s">
        <v>162</v>
      </c>
      <c r="D46" s="18" t="s">
        <v>2043</v>
      </c>
      <c r="E46" s="18" t="s">
        <v>41</v>
      </c>
      <c r="F46" s="18" t="s">
        <v>99</v>
      </c>
      <c r="G46" s="19">
        <v>45292</v>
      </c>
      <c r="H46" s="18" t="s">
        <v>2044</v>
      </c>
    </row>
    <row r="47" spans="1:8">
      <c r="A47" s="18" t="s">
        <v>2091</v>
      </c>
      <c r="B47" s="18" t="s">
        <v>350</v>
      </c>
      <c r="C47" s="18" t="s">
        <v>98</v>
      </c>
      <c r="D47" s="18" t="s">
        <v>608</v>
      </c>
      <c r="E47" s="18" t="s">
        <v>2046</v>
      </c>
      <c r="F47" s="18" t="s">
        <v>99</v>
      </c>
      <c r="G47" s="19">
        <v>45809</v>
      </c>
      <c r="H47" s="18" t="s">
        <v>2044</v>
      </c>
    </row>
    <row r="48" spans="1:8">
      <c r="A48" s="18" t="s">
        <v>2092</v>
      </c>
      <c r="B48" s="18" t="s">
        <v>356</v>
      </c>
      <c r="C48" s="18" t="s">
        <v>176</v>
      </c>
      <c r="D48" s="18" t="s">
        <v>2043</v>
      </c>
      <c r="E48" s="18" t="s">
        <v>41</v>
      </c>
      <c r="F48" s="18" t="s">
        <v>99</v>
      </c>
      <c r="G48" s="19">
        <v>45292</v>
      </c>
      <c r="H48" s="18" t="s">
        <v>2044</v>
      </c>
    </row>
    <row r="49" spans="1:8">
      <c r="A49" s="18" t="s">
        <v>2093</v>
      </c>
      <c r="B49" s="18" t="s">
        <v>356</v>
      </c>
      <c r="C49" s="18" t="s">
        <v>118</v>
      </c>
      <c r="D49" s="18" t="s">
        <v>2051</v>
      </c>
      <c r="E49" s="18" t="s">
        <v>2046</v>
      </c>
      <c r="F49" s="18" t="s">
        <v>99</v>
      </c>
      <c r="G49" s="19">
        <v>45809</v>
      </c>
      <c r="H49" s="18" t="s">
        <v>2044</v>
      </c>
    </row>
    <row r="50" spans="1:8">
      <c r="A50" s="18" t="s">
        <v>2094</v>
      </c>
      <c r="B50" s="18" t="s">
        <v>364</v>
      </c>
      <c r="C50" s="18" t="s">
        <v>98</v>
      </c>
      <c r="D50" s="18" t="s">
        <v>2043</v>
      </c>
      <c r="E50" s="18" t="s">
        <v>41</v>
      </c>
      <c r="F50" s="18" t="s">
        <v>99</v>
      </c>
      <c r="G50" s="19">
        <v>45292</v>
      </c>
      <c r="H50" s="18" t="s">
        <v>2044</v>
      </c>
    </row>
    <row r="51" spans="1:8">
      <c r="A51" s="18" t="s">
        <v>2095</v>
      </c>
      <c r="B51" s="18" t="s">
        <v>364</v>
      </c>
      <c r="C51" s="18" t="s">
        <v>134</v>
      </c>
      <c r="D51" s="18" t="s">
        <v>600</v>
      </c>
      <c r="E51" s="18" t="s">
        <v>2046</v>
      </c>
      <c r="F51" s="18" t="s">
        <v>99</v>
      </c>
      <c r="G51" s="19">
        <v>45809</v>
      </c>
      <c r="H51" s="18" t="s">
        <v>2044</v>
      </c>
    </row>
    <row r="52" spans="1:8">
      <c r="A52" s="18" t="s">
        <v>2096</v>
      </c>
      <c r="B52" s="18" t="s">
        <v>371</v>
      </c>
      <c r="C52" s="18" t="s">
        <v>118</v>
      </c>
      <c r="D52" s="18" t="s">
        <v>2043</v>
      </c>
      <c r="E52" s="18" t="s">
        <v>41</v>
      </c>
      <c r="F52" s="18" t="s">
        <v>99</v>
      </c>
      <c r="G52" s="19">
        <v>45292</v>
      </c>
      <c r="H52" s="18" t="s">
        <v>2044</v>
      </c>
    </row>
    <row r="53" spans="1:8">
      <c r="A53" s="18" t="s">
        <v>2097</v>
      </c>
      <c r="B53" s="18" t="s">
        <v>371</v>
      </c>
      <c r="C53" s="18" t="s">
        <v>149</v>
      </c>
      <c r="D53" s="18" t="s">
        <v>608</v>
      </c>
      <c r="E53" s="18" t="s">
        <v>2046</v>
      </c>
      <c r="F53" s="18" t="s">
        <v>99</v>
      </c>
      <c r="G53" s="19">
        <v>45809</v>
      </c>
      <c r="H53" s="18" t="s">
        <v>2044</v>
      </c>
    </row>
    <row r="54" spans="1:8">
      <c r="A54" s="18" t="s">
        <v>2098</v>
      </c>
      <c r="B54" s="18" t="s">
        <v>379</v>
      </c>
      <c r="C54" s="18" t="s">
        <v>134</v>
      </c>
      <c r="D54" s="18" t="s">
        <v>2043</v>
      </c>
      <c r="E54" s="18" t="s">
        <v>41</v>
      </c>
      <c r="F54" s="18" t="s">
        <v>99</v>
      </c>
      <c r="G54" s="19">
        <v>45292</v>
      </c>
      <c r="H54" s="18" t="s">
        <v>2044</v>
      </c>
    </row>
    <row r="55" spans="1:8">
      <c r="A55" s="18" t="s">
        <v>2099</v>
      </c>
      <c r="B55" s="18" t="s">
        <v>379</v>
      </c>
      <c r="C55" s="18" t="s">
        <v>162</v>
      </c>
      <c r="D55" s="18" t="s">
        <v>2051</v>
      </c>
      <c r="E55" s="18" t="s">
        <v>2046</v>
      </c>
      <c r="F55" s="18" t="s">
        <v>99</v>
      </c>
      <c r="G55" s="19">
        <v>45809</v>
      </c>
      <c r="H55" s="18" t="s">
        <v>2044</v>
      </c>
    </row>
    <row r="56" spans="1:8">
      <c r="A56" s="18" t="s">
        <v>2100</v>
      </c>
      <c r="B56" s="18" t="s">
        <v>386</v>
      </c>
      <c r="C56" s="18" t="s">
        <v>149</v>
      </c>
      <c r="D56" s="18" t="s">
        <v>2043</v>
      </c>
      <c r="E56" s="18" t="s">
        <v>41</v>
      </c>
      <c r="F56" s="18" t="s">
        <v>99</v>
      </c>
      <c r="G56" s="19">
        <v>45292</v>
      </c>
      <c r="H56" s="18" t="s">
        <v>2044</v>
      </c>
    </row>
    <row r="57" spans="1:8">
      <c r="A57" s="18" t="s">
        <v>2101</v>
      </c>
      <c r="B57" s="18" t="s">
        <v>386</v>
      </c>
      <c r="C57" s="18" t="s">
        <v>176</v>
      </c>
      <c r="D57" s="18" t="s">
        <v>600</v>
      </c>
      <c r="E57" s="18" t="s">
        <v>2046</v>
      </c>
      <c r="F57" s="18" t="s">
        <v>99</v>
      </c>
      <c r="G57" s="19">
        <v>45809</v>
      </c>
      <c r="H57" s="18" t="s">
        <v>2044</v>
      </c>
    </row>
    <row r="58" spans="1:8">
      <c r="A58" s="18" t="s">
        <v>2102</v>
      </c>
      <c r="B58" s="18" t="s">
        <v>393</v>
      </c>
      <c r="C58" s="18" t="s">
        <v>162</v>
      </c>
      <c r="D58" s="18" t="s">
        <v>2043</v>
      </c>
      <c r="E58" s="18" t="s">
        <v>41</v>
      </c>
      <c r="F58" s="18" t="s">
        <v>99</v>
      </c>
      <c r="G58" s="19">
        <v>45292</v>
      </c>
      <c r="H58" s="18" t="s">
        <v>2044</v>
      </c>
    </row>
    <row r="59" spans="1:8">
      <c r="A59" s="18" t="s">
        <v>2103</v>
      </c>
      <c r="B59" s="18" t="s">
        <v>393</v>
      </c>
      <c r="C59" s="18" t="s">
        <v>98</v>
      </c>
      <c r="D59" s="18" t="s">
        <v>608</v>
      </c>
      <c r="E59" s="18" t="s">
        <v>2046</v>
      </c>
      <c r="F59" s="18" t="s">
        <v>99</v>
      </c>
      <c r="G59" s="19">
        <v>45809</v>
      </c>
      <c r="H59" s="18" t="s">
        <v>2044</v>
      </c>
    </row>
    <row r="60" spans="1:8">
      <c r="A60" s="18" t="s">
        <v>2104</v>
      </c>
      <c r="B60" s="18" t="s">
        <v>400</v>
      </c>
      <c r="C60" s="18" t="s">
        <v>176</v>
      </c>
      <c r="D60" s="18" t="s">
        <v>2043</v>
      </c>
      <c r="E60" s="18" t="s">
        <v>41</v>
      </c>
      <c r="F60" s="18" t="s">
        <v>99</v>
      </c>
      <c r="G60" s="19">
        <v>45292</v>
      </c>
      <c r="H60" s="18" t="s">
        <v>2044</v>
      </c>
    </row>
    <row r="61" spans="1:8">
      <c r="A61" s="18" t="s">
        <v>2105</v>
      </c>
      <c r="B61" s="18" t="s">
        <v>400</v>
      </c>
      <c r="C61" s="18" t="s">
        <v>118</v>
      </c>
      <c r="D61" s="18" t="s">
        <v>2051</v>
      </c>
      <c r="E61" s="18" t="s">
        <v>2046</v>
      </c>
      <c r="F61" s="18" t="s">
        <v>99</v>
      </c>
      <c r="G61" s="19">
        <v>45809</v>
      </c>
      <c r="H61" s="18" t="s">
        <v>2044</v>
      </c>
    </row>
    <row r="62" spans="1:8">
      <c r="A62" s="18" t="s">
        <v>2106</v>
      </c>
      <c r="B62" s="18" t="s">
        <v>408</v>
      </c>
      <c r="C62" s="18" t="s">
        <v>98</v>
      </c>
      <c r="D62" s="18" t="s">
        <v>2043</v>
      </c>
      <c r="E62" s="18" t="s">
        <v>41</v>
      </c>
      <c r="F62" s="18" t="s">
        <v>99</v>
      </c>
      <c r="G62" s="19">
        <v>45292</v>
      </c>
      <c r="H62" s="18" t="s">
        <v>2044</v>
      </c>
    </row>
    <row r="63" spans="1:8">
      <c r="A63" s="18" t="s">
        <v>2107</v>
      </c>
      <c r="B63" s="18" t="s">
        <v>408</v>
      </c>
      <c r="C63" s="18" t="s">
        <v>134</v>
      </c>
      <c r="D63" s="18" t="s">
        <v>600</v>
      </c>
      <c r="E63" s="18" t="s">
        <v>2046</v>
      </c>
      <c r="F63" s="18" t="s">
        <v>99</v>
      </c>
      <c r="G63" s="19">
        <v>45809</v>
      </c>
      <c r="H63" s="18" t="s">
        <v>2044</v>
      </c>
    </row>
    <row r="64" spans="1:8">
      <c r="A64" s="18" t="s">
        <v>2108</v>
      </c>
      <c r="B64" s="18" t="s">
        <v>415</v>
      </c>
      <c r="C64" s="18" t="s">
        <v>118</v>
      </c>
      <c r="D64" s="18" t="s">
        <v>2043</v>
      </c>
      <c r="E64" s="18" t="s">
        <v>41</v>
      </c>
      <c r="F64" s="18" t="s">
        <v>99</v>
      </c>
      <c r="G64" s="19">
        <v>45292</v>
      </c>
      <c r="H64" s="18" t="s">
        <v>2044</v>
      </c>
    </row>
    <row r="65" spans="1:8">
      <c r="A65" s="18" t="s">
        <v>2109</v>
      </c>
      <c r="B65" s="18" t="s">
        <v>415</v>
      </c>
      <c r="C65" s="18" t="s">
        <v>149</v>
      </c>
      <c r="D65" s="18" t="s">
        <v>608</v>
      </c>
      <c r="E65" s="18" t="s">
        <v>2046</v>
      </c>
      <c r="F65" s="18" t="s">
        <v>99</v>
      </c>
      <c r="G65" s="19">
        <v>45809</v>
      </c>
      <c r="H65" s="18" t="s">
        <v>2044</v>
      </c>
    </row>
    <row r="66" spans="1:8">
      <c r="A66" s="18" t="s">
        <v>2110</v>
      </c>
      <c r="B66" s="18" t="s">
        <v>423</v>
      </c>
      <c r="C66" s="18" t="s">
        <v>134</v>
      </c>
      <c r="D66" s="18" t="s">
        <v>2043</v>
      </c>
      <c r="E66" s="18" t="s">
        <v>41</v>
      </c>
      <c r="F66" s="18" t="s">
        <v>99</v>
      </c>
      <c r="G66" s="19">
        <v>45292</v>
      </c>
      <c r="H66" s="18" t="s">
        <v>2044</v>
      </c>
    </row>
    <row r="67" spans="1:8">
      <c r="A67" s="18" t="s">
        <v>2111</v>
      </c>
      <c r="B67" s="18" t="s">
        <v>423</v>
      </c>
      <c r="C67" s="18" t="s">
        <v>162</v>
      </c>
      <c r="D67" s="18" t="s">
        <v>2051</v>
      </c>
      <c r="E67" s="18" t="s">
        <v>2046</v>
      </c>
      <c r="F67" s="18" t="s">
        <v>99</v>
      </c>
      <c r="G67" s="19">
        <v>45809</v>
      </c>
      <c r="H67" s="18" t="s">
        <v>2044</v>
      </c>
    </row>
    <row r="68" spans="1:8">
      <c r="A68" s="18" t="s">
        <v>2112</v>
      </c>
      <c r="B68" s="18" t="s">
        <v>430</v>
      </c>
      <c r="C68" s="18" t="s">
        <v>149</v>
      </c>
      <c r="D68" s="18" t="s">
        <v>2043</v>
      </c>
      <c r="E68" s="18" t="s">
        <v>41</v>
      </c>
      <c r="F68" s="18" t="s">
        <v>99</v>
      </c>
      <c r="G68" s="19">
        <v>45292</v>
      </c>
      <c r="H68" s="18" t="s">
        <v>2044</v>
      </c>
    </row>
    <row r="69" spans="1:8">
      <c r="A69" s="18" t="s">
        <v>2113</v>
      </c>
      <c r="B69" s="18" t="s">
        <v>430</v>
      </c>
      <c r="C69" s="18" t="s">
        <v>176</v>
      </c>
      <c r="D69" s="18" t="s">
        <v>600</v>
      </c>
      <c r="E69" s="18" t="s">
        <v>2046</v>
      </c>
      <c r="F69" s="18" t="s">
        <v>99</v>
      </c>
      <c r="G69" s="19">
        <v>45809</v>
      </c>
      <c r="H69" s="18" t="s">
        <v>2044</v>
      </c>
    </row>
    <row r="70" spans="1:8">
      <c r="A70" s="18" t="s">
        <v>2114</v>
      </c>
      <c r="B70" s="18" t="s">
        <v>438</v>
      </c>
      <c r="C70" s="18" t="s">
        <v>162</v>
      </c>
      <c r="D70" s="18" t="s">
        <v>2043</v>
      </c>
      <c r="E70" s="18" t="s">
        <v>41</v>
      </c>
      <c r="F70" s="18" t="s">
        <v>99</v>
      </c>
      <c r="G70" s="19">
        <v>45292</v>
      </c>
      <c r="H70" s="18" t="s">
        <v>2044</v>
      </c>
    </row>
    <row r="71" spans="1:8">
      <c r="A71" s="18" t="s">
        <v>2115</v>
      </c>
      <c r="B71" s="18" t="s">
        <v>438</v>
      </c>
      <c r="C71" s="18" t="s">
        <v>98</v>
      </c>
      <c r="D71" s="18" t="s">
        <v>608</v>
      </c>
      <c r="E71" s="18" t="s">
        <v>2046</v>
      </c>
      <c r="F71" s="18" t="s">
        <v>99</v>
      </c>
      <c r="G71" s="19">
        <v>45809</v>
      </c>
      <c r="H71" s="18" t="s">
        <v>2044</v>
      </c>
    </row>
    <row r="72" spans="1:8">
      <c r="A72" s="18" t="s">
        <v>2116</v>
      </c>
      <c r="B72" s="18" t="s">
        <v>445</v>
      </c>
      <c r="C72" s="18" t="s">
        <v>176</v>
      </c>
      <c r="D72" s="18" t="s">
        <v>2043</v>
      </c>
      <c r="E72" s="18" t="s">
        <v>41</v>
      </c>
      <c r="F72" s="18" t="s">
        <v>99</v>
      </c>
      <c r="G72" s="19">
        <v>45292</v>
      </c>
      <c r="H72" s="18" t="s">
        <v>2044</v>
      </c>
    </row>
    <row r="73" spans="1:8">
      <c r="A73" s="18" t="s">
        <v>2117</v>
      </c>
      <c r="B73" s="18" t="s">
        <v>445</v>
      </c>
      <c r="C73" s="18" t="s">
        <v>118</v>
      </c>
      <c r="D73" s="18" t="s">
        <v>2051</v>
      </c>
      <c r="E73" s="18" t="s">
        <v>2046</v>
      </c>
      <c r="F73" s="18" t="s">
        <v>99</v>
      </c>
      <c r="G73" s="19">
        <v>45809</v>
      </c>
      <c r="H73" s="18" t="s">
        <v>2044</v>
      </c>
    </row>
    <row r="74" spans="1:8">
      <c r="A74" s="18" t="s">
        <v>2118</v>
      </c>
      <c r="B74" s="18" t="s">
        <v>453</v>
      </c>
      <c r="C74" s="18" t="s">
        <v>98</v>
      </c>
      <c r="D74" s="18" t="s">
        <v>2043</v>
      </c>
      <c r="E74" s="18" t="s">
        <v>41</v>
      </c>
      <c r="F74" s="18" t="s">
        <v>99</v>
      </c>
      <c r="G74" s="19">
        <v>45292</v>
      </c>
      <c r="H74" s="18" t="s">
        <v>2044</v>
      </c>
    </row>
    <row r="75" spans="1:8">
      <c r="A75" s="18" t="s">
        <v>2119</v>
      </c>
      <c r="B75" s="18" t="s">
        <v>453</v>
      </c>
      <c r="C75" s="18" t="s">
        <v>134</v>
      </c>
      <c r="D75" s="18" t="s">
        <v>600</v>
      </c>
      <c r="E75" s="18" t="s">
        <v>2046</v>
      </c>
      <c r="F75" s="18" t="s">
        <v>99</v>
      </c>
      <c r="G75" s="19">
        <v>45809</v>
      </c>
      <c r="H75" s="18" t="s">
        <v>2044</v>
      </c>
    </row>
    <row r="76" spans="1:8">
      <c r="A76" s="18" t="s">
        <v>2120</v>
      </c>
      <c r="B76" s="18" t="s">
        <v>460</v>
      </c>
      <c r="C76" s="18" t="s">
        <v>118</v>
      </c>
      <c r="D76" s="18" t="s">
        <v>2043</v>
      </c>
      <c r="E76" s="18" t="s">
        <v>41</v>
      </c>
      <c r="F76" s="18" t="s">
        <v>99</v>
      </c>
      <c r="G76" s="19">
        <v>45292</v>
      </c>
      <c r="H76" s="18" t="s">
        <v>2044</v>
      </c>
    </row>
    <row r="77" spans="1:8">
      <c r="A77" s="18" t="s">
        <v>2121</v>
      </c>
      <c r="B77" s="18" t="s">
        <v>460</v>
      </c>
      <c r="C77" s="18" t="s">
        <v>149</v>
      </c>
      <c r="D77" s="18" t="s">
        <v>608</v>
      </c>
      <c r="E77" s="18" t="s">
        <v>2046</v>
      </c>
      <c r="F77" s="18" t="s">
        <v>99</v>
      </c>
      <c r="G77" s="19">
        <v>45809</v>
      </c>
      <c r="H77" s="18" t="s">
        <v>2044</v>
      </c>
    </row>
    <row r="78" spans="1:8">
      <c r="A78" s="18" t="s">
        <v>2122</v>
      </c>
      <c r="B78" s="18" t="s">
        <v>468</v>
      </c>
      <c r="C78" s="18" t="s">
        <v>134</v>
      </c>
      <c r="D78" s="18" t="s">
        <v>2043</v>
      </c>
      <c r="E78" s="18" t="s">
        <v>41</v>
      </c>
      <c r="F78" s="18" t="s">
        <v>99</v>
      </c>
      <c r="G78" s="19">
        <v>45292</v>
      </c>
      <c r="H78" s="18" t="s">
        <v>2044</v>
      </c>
    </row>
    <row r="79" spans="1:8">
      <c r="A79" s="18" t="s">
        <v>2123</v>
      </c>
      <c r="B79" s="18" t="s">
        <v>468</v>
      </c>
      <c r="C79" s="18" t="s">
        <v>162</v>
      </c>
      <c r="D79" s="18" t="s">
        <v>2051</v>
      </c>
      <c r="E79" s="18" t="s">
        <v>2046</v>
      </c>
      <c r="F79" s="18" t="s">
        <v>99</v>
      </c>
      <c r="G79" s="19">
        <v>45809</v>
      </c>
      <c r="H79" s="18" t="s">
        <v>2044</v>
      </c>
    </row>
    <row r="80" spans="1:8">
      <c r="A80" s="18" t="s">
        <v>2124</v>
      </c>
      <c r="B80" s="18" t="s">
        <v>475</v>
      </c>
      <c r="C80" s="18" t="s">
        <v>149</v>
      </c>
      <c r="D80" s="18" t="s">
        <v>2043</v>
      </c>
      <c r="E80" s="18" t="s">
        <v>41</v>
      </c>
      <c r="F80" s="18" t="s">
        <v>99</v>
      </c>
      <c r="G80" s="19">
        <v>45292</v>
      </c>
      <c r="H80" s="18" t="s">
        <v>2044</v>
      </c>
    </row>
    <row r="81" spans="1:8">
      <c r="A81" s="18" t="s">
        <v>2125</v>
      </c>
      <c r="B81" s="18" t="s">
        <v>475</v>
      </c>
      <c r="C81" s="18" t="s">
        <v>176</v>
      </c>
      <c r="D81" s="18" t="s">
        <v>600</v>
      </c>
      <c r="E81" s="18" t="s">
        <v>2046</v>
      </c>
      <c r="F81" s="18" t="s">
        <v>99</v>
      </c>
      <c r="G81" s="19">
        <v>45809</v>
      </c>
      <c r="H81" s="18" t="s">
        <v>2044</v>
      </c>
    </row>
    <row r="82" spans="1:8">
      <c r="A82" s="18" t="s">
        <v>2126</v>
      </c>
      <c r="B82" s="18" t="s">
        <v>483</v>
      </c>
      <c r="C82" s="18" t="s">
        <v>162</v>
      </c>
      <c r="D82" s="18" t="s">
        <v>2043</v>
      </c>
      <c r="E82" s="18" t="s">
        <v>41</v>
      </c>
      <c r="F82" s="18" t="s">
        <v>99</v>
      </c>
      <c r="G82" s="19">
        <v>45292</v>
      </c>
      <c r="H82" s="18" t="s">
        <v>2044</v>
      </c>
    </row>
    <row r="83" spans="1:8">
      <c r="A83" s="18" t="s">
        <v>2127</v>
      </c>
      <c r="B83" s="18" t="s">
        <v>483</v>
      </c>
      <c r="C83" s="18" t="s">
        <v>98</v>
      </c>
      <c r="D83" s="18" t="s">
        <v>608</v>
      </c>
      <c r="E83" s="18" t="s">
        <v>2046</v>
      </c>
      <c r="F83" s="18" t="s">
        <v>99</v>
      </c>
      <c r="G83" s="19">
        <v>45809</v>
      </c>
      <c r="H83" s="18" t="s">
        <v>2044</v>
      </c>
    </row>
    <row r="84" spans="1:8">
      <c r="A84" s="18" t="s">
        <v>2128</v>
      </c>
      <c r="B84" s="18" t="s">
        <v>491</v>
      </c>
      <c r="C84" s="18" t="s">
        <v>176</v>
      </c>
      <c r="D84" s="18" t="s">
        <v>2043</v>
      </c>
      <c r="E84" s="18" t="s">
        <v>41</v>
      </c>
      <c r="F84" s="18" t="s">
        <v>99</v>
      </c>
      <c r="G84" s="19">
        <v>45292</v>
      </c>
      <c r="H84" s="18" t="s">
        <v>2044</v>
      </c>
    </row>
    <row r="85" spans="1:8">
      <c r="A85" s="18" t="s">
        <v>2129</v>
      </c>
      <c r="B85" s="18" t="s">
        <v>491</v>
      </c>
      <c r="C85" s="18" t="s">
        <v>118</v>
      </c>
      <c r="D85" s="18" t="s">
        <v>2051</v>
      </c>
      <c r="E85" s="18" t="s">
        <v>2046</v>
      </c>
      <c r="F85" s="18" t="s">
        <v>99</v>
      </c>
      <c r="G85" s="19">
        <v>45809</v>
      </c>
      <c r="H85" s="18" t="s">
        <v>2044</v>
      </c>
    </row>
    <row r="86" spans="1:8">
      <c r="A86" s="18" t="s">
        <v>2130</v>
      </c>
      <c r="B86" s="18" t="s">
        <v>499</v>
      </c>
      <c r="C86" s="18" t="s">
        <v>98</v>
      </c>
      <c r="D86" s="18" t="s">
        <v>2043</v>
      </c>
      <c r="E86" s="18" t="s">
        <v>41</v>
      </c>
      <c r="F86" s="18" t="s">
        <v>99</v>
      </c>
      <c r="G86" s="19">
        <v>45292</v>
      </c>
      <c r="H86" s="18" t="s">
        <v>2044</v>
      </c>
    </row>
    <row r="87" spans="1:8">
      <c r="A87" s="18" t="s">
        <v>2131</v>
      </c>
      <c r="B87" s="18" t="s">
        <v>499</v>
      </c>
      <c r="C87" s="18" t="s">
        <v>134</v>
      </c>
      <c r="D87" s="18" t="s">
        <v>600</v>
      </c>
      <c r="E87" s="18" t="s">
        <v>2046</v>
      </c>
      <c r="F87" s="18" t="s">
        <v>99</v>
      </c>
      <c r="G87" s="19">
        <v>45809</v>
      </c>
      <c r="H87" s="18" t="s">
        <v>2044</v>
      </c>
    </row>
    <row r="88" spans="1:8">
      <c r="A88" s="18" t="s">
        <v>2132</v>
      </c>
      <c r="B88" s="18" t="s">
        <v>507</v>
      </c>
      <c r="C88" s="18" t="s">
        <v>118</v>
      </c>
      <c r="D88" s="18" t="s">
        <v>2043</v>
      </c>
      <c r="E88" s="18" t="s">
        <v>41</v>
      </c>
      <c r="F88" s="18" t="s">
        <v>99</v>
      </c>
      <c r="G88" s="19">
        <v>45292</v>
      </c>
      <c r="H88" s="18" t="s">
        <v>2044</v>
      </c>
    </row>
    <row r="89" spans="1:8">
      <c r="A89" s="18" t="s">
        <v>2133</v>
      </c>
      <c r="B89" s="18" t="s">
        <v>507</v>
      </c>
      <c r="C89" s="18" t="s">
        <v>149</v>
      </c>
      <c r="D89" s="18" t="s">
        <v>608</v>
      </c>
      <c r="E89" s="18" t="s">
        <v>2046</v>
      </c>
      <c r="F89" s="18" t="s">
        <v>99</v>
      </c>
      <c r="G89" s="19">
        <v>45809</v>
      </c>
      <c r="H89" s="18" t="s">
        <v>2044</v>
      </c>
    </row>
    <row r="90" spans="1:8">
      <c r="A90" s="18" t="s">
        <v>2134</v>
      </c>
      <c r="B90" s="18" t="s">
        <v>515</v>
      </c>
      <c r="C90" s="18" t="s">
        <v>134</v>
      </c>
      <c r="D90" s="18" t="s">
        <v>2043</v>
      </c>
      <c r="E90" s="18" t="s">
        <v>41</v>
      </c>
      <c r="F90" s="18" t="s">
        <v>99</v>
      </c>
      <c r="G90" s="19">
        <v>45292</v>
      </c>
      <c r="H90" s="18" t="s">
        <v>2044</v>
      </c>
    </row>
    <row r="91" spans="1:8">
      <c r="A91" s="18" t="s">
        <v>2135</v>
      </c>
      <c r="B91" s="18" t="s">
        <v>515</v>
      </c>
      <c r="C91" s="18" t="s">
        <v>162</v>
      </c>
      <c r="D91" s="18" t="s">
        <v>2051</v>
      </c>
      <c r="E91" s="18" t="s">
        <v>2046</v>
      </c>
      <c r="F91" s="18" t="s">
        <v>99</v>
      </c>
      <c r="G91" s="19">
        <v>45809</v>
      </c>
      <c r="H91" s="18" t="s">
        <v>2044</v>
      </c>
    </row>
    <row r="92" spans="1:8">
      <c r="A92" s="18" t="s">
        <v>2136</v>
      </c>
      <c r="B92" s="18" t="s">
        <v>523</v>
      </c>
      <c r="C92" s="18" t="s">
        <v>149</v>
      </c>
      <c r="D92" s="18" t="s">
        <v>2043</v>
      </c>
      <c r="E92" s="18" t="s">
        <v>41</v>
      </c>
      <c r="F92" s="18" t="s">
        <v>99</v>
      </c>
      <c r="G92" s="19">
        <v>45292</v>
      </c>
      <c r="H92" s="18" t="s">
        <v>2044</v>
      </c>
    </row>
    <row r="93" spans="1:8">
      <c r="A93" s="18" t="s">
        <v>2137</v>
      </c>
      <c r="B93" s="18" t="s">
        <v>523</v>
      </c>
      <c r="C93" s="18" t="s">
        <v>176</v>
      </c>
      <c r="D93" s="18" t="s">
        <v>600</v>
      </c>
      <c r="E93" s="18" t="s">
        <v>2046</v>
      </c>
      <c r="F93" s="18" t="s">
        <v>99</v>
      </c>
      <c r="G93" s="19">
        <v>45809</v>
      </c>
      <c r="H93" s="18" t="s">
        <v>2044</v>
      </c>
    </row>
    <row r="94" spans="1:8">
      <c r="A94" s="18" t="s">
        <v>2138</v>
      </c>
      <c r="B94" s="18" t="s">
        <v>531</v>
      </c>
      <c r="C94" s="18" t="s">
        <v>162</v>
      </c>
      <c r="D94" s="18" t="s">
        <v>2043</v>
      </c>
      <c r="E94" s="18" t="s">
        <v>41</v>
      </c>
      <c r="F94" s="18" t="s">
        <v>99</v>
      </c>
      <c r="G94" s="19">
        <v>45292</v>
      </c>
      <c r="H94" s="18" t="s">
        <v>2044</v>
      </c>
    </row>
    <row r="95" spans="1:8">
      <c r="A95" s="18" t="s">
        <v>2139</v>
      </c>
      <c r="B95" s="18" t="s">
        <v>531</v>
      </c>
      <c r="C95" s="18" t="s">
        <v>98</v>
      </c>
      <c r="D95" s="18" t="s">
        <v>608</v>
      </c>
      <c r="E95" s="18" t="s">
        <v>2046</v>
      </c>
      <c r="F95" s="18" t="s">
        <v>99</v>
      </c>
      <c r="G95" s="19">
        <v>45809</v>
      </c>
      <c r="H95" s="18" t="s">
        <v>2044</v>
      </c>
    </row>
    <row r="96" spans="1:8">
      <c r="A96" s="18" t="s">
        <v>2140</v>
      </c>
      <c r="B96" s="18" t="s">
        <v>539</v>
      </c>
      <c r="C96" s="18" t="s">
        <v>176</v>
      </c>
      <c r="D96" s="18" t="s">
        <v>2043</v>
      </c>
      <c r="E96" s="18" t="s">
        <v>41</v>
      </c>
      <c r="F96" s="18" t="s">
        <v>99</v>
      </c>
      <c r="G96" s="19">
        <v>45292</v>
      </c>
      <c r="H96" s="18" t="s">
        <v>2044</v>
      </c>
    </row>
    <row r="97" spans="1:8">
      <c r="A97" s="18" t="s">
        <v>2141</v>
      </c>
      <c r="B97" s="18" t="s">
        <v>539</v>
      </c>
      <c r="C97" s="18" t="s">
        <v>118</v>
      </c>
      <c r="D97" s="18" t="s">
        <v>2051</v>
      </c>
      <c r="E97" s="18" t="s">
        <v>2046</v>
      </c>
      <c r="F97" s="18" t="s">
        <v>99</v>
      </c>
      <c r="G97" s="19">
        <v>45809</v>
      </c>
      <c r="H97" s="18" t="s">
        <v>2044</v>
      </c>
    </row>
    <row r="98" spans="1:8">
      <c r="A98" s="18" t="s">
        <v>2142</v>
      </c>
      <c r="B98" s="18" t="s">
        <v>547</v>
      </c>
      <c r="C98" s="18" t="s">
        <v>98</v>
      </c>
      <c r="D98" s="18" t="s">
        <v>2043</v>
      </c>
      <c r="E98" s="18" t="s">
        <v>41</v>
      </c>
      <c r="F98" s="18" t="s">
        <v>99</v>
      </c>
      <c r="G98" s="19">
        <v>45292</v>
      </c>
      <c r="H98" s="18" t="s">
        <v>2044</v>
      </c>
    </row>
    <row r="99" spans="1:8">
      <c r="A99" s="18" t="s">
        <v>2143</v>
      </c>
      <c r="B99" s="18" t="s">
        <v>547</v>
      </c>
      <c r="C99" s="18" t="s">
        <v>134</v>
      </c>
      <c r="D99" s="18" t="s">
        <v>600</v>
      </c>
      <c r="E99" s="18" t="s">
        <v>2046</v>
      </c>
      <c r="F99" s="18" t="s">
        <v>99</v>
      </c>
      <c r="G99" s="19">
        <v>45809</v>
      </c>
      <c r="H99" s="18" t="s">
        <v>2044</v>
      </c>
    </row>
    <row r="100" spans="1:8">
      <c r="A100" s="18" t="s">
        <v>2144</v>
      </c>
      <c r="B100" s="18" t="s">
        <v>555</v>
      </c>
      <c r="C100" s="18" t="s">
        <v>118</v>
      </c>
      <c r="D100" s="18" t="s">
        <v>2043</v>
      </c>
      <c r="E100" s="18" t="s">
        <v>41</v>
      </c>
      <c r="F100" s="18" t="s">
        <v>99</v>
      </c>
      <c r="G100" s="19">
        <v>45292</v>
      </c>
      <c r="H100" s="18" t="s">
        <v>2044</v>
      </c>
    </row>
    <row r="101" spans="1:8">
      <c r="A101" s="18" t="s">
        <v>2145</v>
      </c>
      <c r="B101" s="18" t="s">
        <v>555</v>
      </c>
      <c r="C101" s="18" t="s">
        <v>149</v>
      </c>
      <c r="D101" s="18" t="s">
        <v>608</v>
      </c>
      <c r="E101" s="18" t="s">
        <v>2046</v>
      </c>
      <c r="F101" s="18" t="s">
        <v>99</v>
      </c>
      <c r="G101" s="19">
        <v>45809</v>
      </c>
      <c r="H101" s="18" t="s">
        <v>2044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B183"/>
  </sheetPr>
  <dimension ref="A1:K51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28" customWidth="1"/>
    <col min="4" max="6" width="16" customWidth="1"/>
    <col min="7" max="7" width="22" customWidth="1"/>
    <col min="8" max="9" width="20" customWidth="1"/>
    <col min="10" max="10" width="18" customWidth="1"/>
    <col min="11" max="11" width="14" customWidth="1"/>
  </cols>
  <sheetData>
    <row r="1" spans="1:11" ht="30" customHeight="1">
      <c r="A1" s="17" t="s">
        <v>66</v>
      </c>
      <c r="B1" s="17" t="s">
        <v>2146</v>
      </c>
      <c r="C1" s="17" t="s">
        <v>2147</v>
      </c>
      <c r="D1" s="17" t="s">
        <v>2148</v>
      </c>
      <c r="E1" s="17" t="s">
        <v>2149</v>
      </c>
      <c r="F1" s="17" t="s">
        <v>2150</v>
      </c>
      <c r="G1" s="17" t="s">
        <v>2151</v>
      </c>
      <c r="H1" s="17" t="s">
        <v>2152</v>
      </c>
      <c r="I1" s="17" t="s">
        <v>2153</v>
      </c>
      <c r="J1" s="17" t="s">
        <v>2154</v>
      </c>
      <c r="K1" s="17" t="s">
        <v>2155</v>
      </c>
    </row>
    <row r="2" spans="1:11">
      <c r="A2" s="18" t="s">
        <v>35</v>
      </c>
      <c r="B2" s="18" t="s">
        <v>2156</v>
      </c>
      <c r="C2" s="18" t="s">
        <v>2157</v>
      </c>
      <c r="D2" s="18" t="s">
        <v>2158</v>
      </c>
      <c r="E2" s="18" t="s">
        <v>2159</v>
      </c>
      <c r="F2" s="18" t="s">
        <v>2160</v>
      </c>
      <c r="G2" s="18" t="s">
        <v>2036</v>
      </c>
      <c r="H2" s="18" t="s">
        <v>2161</v>
      </c>
      <c r="I2" s="18" t="s">
        <v>2162</v>
      </c>
      <c r="J2" s="18" t="s">
        <v>2163</v>
      </c>
      <c r="K2" s="18" t="s">
        <v>881</v>
      </c>
    </row>
    <row r="3" spans="1:11">
      <c r="A3" s="18" t="s">
        <v>107</v>
      </c>
      <c r="B3" s="18" t="s">
        <v>2164</v>
      </c>
      <c r="C3" s="18" t="s">
        <v>2165</v>
      </c>
      <c r="D3" s="18" t="s">
        <v>2166</v>
      </c>
      <c r="E3" s="18" t="s">
        <v>2167</v>
      </c>
      <c r="F3" s="18" t="s">
        <v>897</v>
      </c>
      <c r="G3" s="18" t="s">
        <v>2036</v>
      </c>
      <c r="H3" s="18" t="s">
        <v>2168</v>
      </c>
      <c r="I3" s="18" t="s">
        <v>2169</v>
      </c>
      <c r="J3" s="18" t="s">
        <v>2163</v>
      </c>
      <c r="K3" s="18" t="s">
        <v>2170</v>
      </c>
    </row>
    <row r="4" spans="1:11">
      <c r="A4" s="18" t="s">
        <v>125</v>
      </c>
      <c r="B4" s="18" t="s">
        <v>2156</v>
      </c>
      <c r="C4" s="18" t="s">
        <v>2165</v>
      </c>
      <c r="D4" s="18" t="s">
        <v>2166</v>
      </c>
      <c r="E4" s="18" t="s">
        <v>2167</v>
      </c>
      <c r="F4" s="18" t="s">
        <v>897</v>
      </c>
      <c r="G4" s="18" t="s">
        <v>2036</v>
      </c>
      <c r="H4" s="18" t="s">
        <v>2161</v>
      </c>
      <c r="I4" s="18" t="s">
        <v>2171</v>
      </c>
      <c r="J4" s="18" t="s">
        <v>2163</v>
      </c>
      <c r="K4" s="18" t="s">
        <v>2170</v>
      </c>
    </row>
    <row r="5" spans="1:11">
      <c r="A5" s="18" t="s">
        <v>141</v>
      </c>
      <c r="B5" s="18" t="s">
        <v>2164</v>
      </c>
      <c r="C5" s="18" t="s">
        <v>2157</v>
      </c>
      <c r="D5" s="18" t="s">
        <v>2166</v>
      </c>
      <c r="E5" s="18" t="s">
        <v>2167</v>
      </c>
      <c r="F5" s="18" t="s">
        <v>2160</v>
      </c>
      <c r="G5" s="18" t="s">
        <v>2036</v>
      </c>
      <c r="H5" s="18" t="s">
        <v>2168</v>
      </c>
      <c r="I5" s="18" t="s">
        <v>2172</v>
      </c>
      <c r="J5" s="18" t="s">
        <v>2163</v>
      </c>
      <c r="K5" s="18" t="s">
        <v>2170</v>
      </c>
    </row>
    <row r="6" spans="1:11">
      <c r="A6" s="18" t="s">
        <v>155</v>
      </c>
      <c r="B6" s="18" t="s">
        <v>2156</v>
      </c>
      <c r="C6" s="18" t="s">
        <v>2165</v>
      </c>
      <c r="D6" s="18" t="s">
        <v>2166</v>
      </c>
      <c r="E6" s="18" t="s">
        <v>2159</v>
      </c>
      <c r="F6" s="18" t="s">
        <v>897</v>
      </c>
      <c r="G6" s="18" t="s">
        <v>2036</v>
      </c>
      <c r="H6" s="18" t="s">
        <v>2161</v>
      </c>
      <c r="I6" s="18" t="s">
        <v>2173</v>
      </c>
      <c r="J6" s="18" t="s">
        <v>2163</v>
      </c>
      <c r="K6" s="18" t="s">
        <v>2170</v>
      </c>
    </row>
    <row r="7" spans="1:11">
      <c r="A7" s="18" t="s">
        <v>169</v>
      </c>
      <c r="B7" s="18" t="s">
        <v>2164</v>
      </c>
      <c r="C7" s="18" t="s">
        <v>2165</v>
      </c>
      <c r="D7" s="18" t="s">
        <v>2158</v>
      </c>
      <c r="E7" s="18" t="s">
        <v>2167</v>
      </c>
      <c r="F7" s="18" t="s">
        <v>897</v>
      </c>
      <c r="G7" s="18" t="s">
        <v>2036</v>
      </c>
      <c r="H7" s="18" t="s">
        <v>2168</v>
      </c>
      <c r="I7" s="18" t="s">
        <v>2162</v>
      </c>
      <c r="J7" s="18" t="s">
        <v>2163</v>
      </c>
      <c r="K7" s="18" t="s">
        <v>2170</v>
      </c>
    </row>
    <row r="8" spans="1:11">
      <c r="A8" s="18" t="s">
        <v>183</v>
      </c>
      <c r="B8" s="18" t="s">
        <v>2156</v>
      </c>
      <c r="C8" s="18" t="s">
        <v>2157</v>
      </c>
      <c r="D8" s="18" t="s">
        <v>2166</v>
      </c>
      <c r="E8" s="18" t="s">
        <v>2167</v>
      </c>
      <c r="F8" s="18" t="s">
        <v>2160</v>
      </c>
      <c r="G8" s="18" t="s">
        <v>2036</v>
      </c>
      <c r="H8" s="18" t="s">
        <v>2161</v>
      </c>
      <c r="I8" s="18" t="s">
        <v>2169</v>
      </c>
      <c r="J8" s="18" t="s">
        <v>2163</v>
      </c>
      <c r="K8" s="18" t="s">
        <v>2170</v>
      </c>
    </row>
    <row r="9" spans="1:11">
      <c r="A9" s="18" t="s">
        <v>194</v>
      </c>
      <c r="B9" s="18" t="s">
        <v>2164</v>
      </c>
      <c r="C9" s="18" t="s">
        <v>2165</v>
      </c>
      <c r="D9" s="18" t="s">
        <v>2166</v>
      </c>
      <c r="E9" s="18" t="s">
        <v>2167</v>
      </c>
      <c r="F9" s="18" t="s">
        <v>897</v>
      </c>
      <c r="G9" s="18" t="s">
        <v>2036</v>
      </c>
      <c r="H9" s="18" t="s">
        <v>2168</v>
      </c>
      <c r="I9" s="18" t="s">
        <v>2171</v>
      </c>
      <c r="J9" s="18" t="s">
        <v>2163</v>
      </c>
      <c r="K9" s="18" t="s">
        <v>881</v>
      </c>
    </row>
    <row r="10" spans="1:11">
      <c r="A10" s="18" t="s">
        <v>204</v>
      </c>
      <c r="B10" s="18" t="s">
        <v>2156</v>
      </c>
      <c r="C10" s="18" t="s">
        <v>2165</v>
      </c>
      <c r="D10" s="18" t="s">
        <v>2166</v>
      </c>
      <c r="E10" s="18" t="s">
        <v>2159</v>
      </c>
      <c r="F10" s="18" t="s">
        <v>897</v>
      </c>
      <c r="G10" s="18" t="s">
        <v>2036</v>
      </c>
      <c r="H10" s="18" t="s">
        <v>2161</v>
      </c>
      <c r="I10" s="18" t="s">
        <v>2172</v>
      </c>
      <c r="J10" s="18" t="s">
        <v>2163</v>
      </c>
      <c r="K10" s="18" t="s">
        <v>2170</v>
      </c>
    </row>
    <row r="11" spans="1:11">
      <c r="A11" s="18" t="s">
        <v>215</v>
      </c>
      <c r="B11" s="18" t="s">
        <v>2164</v>
      </c>
      <c r="C11" s="18" t="s">
        <v>2157</v>
      </c>
      <c r="D11" s="18" t="s">
        <v>2166</v>
      </c>
      <c r="E11" s="18" t="s">
        <v>2167</v>
      </c>
      <c r="F11" s="18" t="s">
        <v>2160</v>
      </c>
      <c r="G11" s="18" t="s">
        <v>2036</v>
      </c>
      <c r="H11" s="18" t="s">
        <v>2168</v>
      </c>
      <c r="I11" s="18" t="s">
        <v>2173</v>
      </c>
      <c r="J11" s="18" t="s">
        <v>2163</v>
      </c>
      <c r="K11" s="18" t="s">
        <v>2170</v>
      </c>
    </row>
    <row r="12" spans="1:11">
      <c r="A12" s="18" t="s">
        <v>226</v>
      </c>
      <c r="B12" s="18" t="s">
        <v>2156</v>
      </c>
      <c r="C12" s="18" t="s">
        <v>2165</v>
      </c>
      <c r="D12" s="18" t="s">
        <v>2158</v>
      </c>
      <c r="E12" s="18" t="s">
        <v>2167</v>
      </c>
      <c r="F12" s="18" t="s">
        <v>897</v>
      </c>
      <c r="G12" s="18" t="s">
        <v>2036</v>
      </c>
      <c r="H12" s="18" t="s">
        <v>2161</v>
      </c>
      <c r="I12" s="18" t="s">
        <v>2162</v>
      </c>
      <c r="J12" s="18" t="s">
        <v>2163</v>
      </c>
      <c r="K12" s="18" t="s">
        <v>2170</v>
      </c>
    </row>
    <row r="13" spans="1:11">
      <c r="A13" s="18" t="s">
        <v>237</v>
      </c>
      <c r="B13" s="18" t="s">
        <v>2164</v>
      </c>
      <c r="C13" s="18" t="s">
        <v>2165</v>
      </c>
      <c r="D13" s="18" t="s">
        <v>2166</v>
      </c>
      <c r="E13" s="18" t="s">
        <v>2167</v>
      </c>
      <c r="F13" s="18" t="s">
        <v>897</v>
      </c>
      <c r="G13" s="18" t="s">
        <v>2036</v>
      </c>
      <c r="H13" s="18" t="s">
        <v>2168</v>
      </c>
      <c r="I13" s="18" t="s">
        <v>2169</v>
      </c>
      <c r="J13" s="18" t="s">
        <v>2163</v>
      </c>
      <c r="K13" s="18" t="s">
        <v>2170</v>
      </c>
    </row>
    <row r="14" spans="1:11">
      <c r="A14" s="18" t="s">
        <v>248</v>
      </c>
      <c r="B14" s="18" t="s">
        <v>2156</v>
      </c>
      <c r="C14" s="18" t="s">
        <v>2157</v>
      </c>
      <c r="D14" s="18" t="s">
        <v>2166</v>
      </c>
      <c r="E14" s="18" t="s">
        <v>2159</v>
      </c>
      <c r="F14" s="18" t="s">
        <v>2160</v>
      </c>
      <c r="G14" s="18" t="s">
        <v>2036</v>
      </c>
      <c r="H14" s="18" t="s">
        <v>2161</v>
      </c>
      <c r="I14" s="18" t="s">
        <v>2171</v>
      </c>
      <c r="J14" s="18" t="s">
        <v>2163</v>
      </c>
      <c r="K14" s="18" t="s">
        <v>2170</v>
      </c>
    </row>
    <row r="15" spans="1:11">
      <c r="A15" s="18" t="s">
        <v>259</v>
      </c>
      <c r="B15" s="18" t="s">
        <v>2164</v>
      </c>
      <c r="C15" s="18" t="s">
        <v>2165</v>
      </c>
      <c r="D15" s="18" t="s">
        <v>2166</v>
      </c>
      <c r="E15" s="18" t="s">
        <v>2167</v>
      </c>
      <c r="F15" s="18" t="s">
        <v>897</v>
      </c>
      <c r="G15" s="18" t="s">
        <v>2036</v>
      </c>
      <c r="H15" s="18" t="s">
        <v>2168</v>
      </c>
      <c r="I15" s="18" t="s">
        <v>2172</v>
      </c>
      <c r="J15" s="18" t="s">
        <v>2163</v>
      </c>
      <c r="K15" s="18" t="s">
        <v>2170</v>
      </c>
    </row>
    <row r="16" spans="1:11">
      <c r="A16" s="18" t="s">
        <v>270</v>
      </c>
      <c r="B16" s="18" t="s">
        <v>2156</v>
      </c>
      <c r="C16" s="18" t="s">
        <v>2165</v>
      </c>
      <c r="D16" s="18" t="s">
        <v>2166</v>
      </c>
      <c r="E16" s="18" t="s">
        <v>2167</v>
      </c>
      <c r="F16" s="18" t="s">
        <v>897</v>
      </c>
      <c r="G16" s="18" t="s">
        <v>2036</v>
      </c>
      <c r="H16" s="18" t="s">
        <v>2161</v>
      </c>
      <c r="I16" s="18" t="s">
        <v>2173</v>
      </c>
      <c r="J16" s="18" t="s">
        <v>2163</v>
      </c>
      <c r="K16" s="18" t="s">
        <v>881</v>
      </c>
    </row>
    <row r="17" spans="1:11">
      <c r="A17" s="18" t="s">
        <v>281</v>
      </c>
      <c r="B17" s="18" t="s">
        <v>2164</v>
      </c>
      <c r="C17" s="18" t="s">
        <v>2157</v>
      </c>
      <c r="D17" s="18" t="s">
        <v>2158</v>
      </c>
      <c r="E17" s="18" t="s">
        <v>2167</v>
      </c>
      <c r="F17" s="18" t="s">
        <v>2160</v>
      </c>
      <c r="G17" s="18" t="s">
        <v>2036</v>
      </c>
      <c r="H17" s="18" t="s">
        <v>2168</v>
      </c>
      <c r="I17" s="18" t="s">
        <v>2162</v>
      </c>
      <c r="J17" s="18" t="s">
        <v>2163</v>
      </c>
      <c r="K17" s="18" t="s">
        <v>2170</v>
      </c>
    </row>
    <row r="18" spans="1:11">
      <c r="A18" s="18" t="s">
        <v>292</v>
      </c>
      <c r="B18" s="18" t="s">
        <v>2156</v>
      </c>
      <c r="C18" s="18" t="s">
        <v>2165</v>
      </c>
      <c r="D18" s="18" t="s">
        <v>2166</v>
      </c>
      <c r="E18" s="18" t="s">
        <v>2159</v>
      </c>
      <c r="F18" s="18" t="s">
        <v>897</v>
      </c>
      <c r="G18" s="18" t="s">
        <v>2036</v>
      </c>
      <c r="H18" s="18" t="s">
        <v>2161</v>
      </c>
      <c r="I18" s="18" t="s">
        <v>2169</v>
      </c>
      <c r="J18" s="18" t="s">
        <v>2163</v>
      </c>
      <c r="K18" s="18" t="s">
        <v>2170</v>
      </c>
    </row>
    <row r="19" spans="1:11">
      <c r="A19" s="18" t="s">
        <v>303</v>
      </c>
      <c r="B19" s="18" t="s">
        <v>2164</v>
      </c>
      <c r="C19" s="18" t="s">
        <v>2165</v>
      </c>
      <c r="D19" s="18" t="s">
        <v>2166</v>
      </c>
      <c r="E19" s="18" t="s">
        <v>2167</v>
      </c>
      <c r="F19" s="18" t="s">
        <v>897</v>
      </c>
      <c r="G19" s="18" t="s">
        <v>2036</v>
      </c>
      <c r="H19" s="18" t="s">
        <v>2168</v>
      </c>
      <c r="I19" s="18" t="s">
        <v>2171</v>
      </c>
      <c r="J19" s="18" t="s">
        <v>2163</v>
      </c>
      <c r="K19" s="18" t="s">
        <v>2170</v>
      </c>
    </row>
    <row r="20" spans="1:11">
      <c r="A20" s="18" t="s">
        <v>313</v>
      </c>
      <c r="B20" s="18" t="s">
        <v>2156</v>
      </c>
      <c r="C20" s="18" t="s">
        <v>2157</v>
      </c>
      <c r="D20" s="18" t="s">
        <v>2166</v>
      </c>
      <c r="E20" s="18" t="s">
        <v>2167</v>
      </c>
      <c r="F20" s="18" t="s">
        <v>2160</v>
      </c>
      <c r="G20" s="18" t="s">
        <v>2036</v>
      </c>
      <c r="H20" s="18" t="s">
        <v>2161</v>
      </c>
      <c r="I20" s="18" t="s">
        <v>2172</v>
      </c>
      <c r="J20" s="18" t="s">
        <v>2163</v>
      </c>
      <c r="K20" s="18" t="s">
        <v>2170</v>
      </c>
    </row>
    <row r="21" spans="1:11">
      <c r="A21" s="18" t="s">
        <v>324</v>
      </c>
      <c r="B21" s="18" t="s">
        <v>2164</v>
      </c>
      <c r="C21" s="18" t="s">
        <v>2165</v>
      </c>
      <c r="D21" s="18" t="s">
        <v>2166</v>
      </c>
      <c r="E21" s="18" t="s">
        <v>2167</v>
      </c>
      <c r="F21" s="18" t="s">
        <v>897</v>
      </c>
      <c r="G21" s="18" t="s">
        <v>2036</v>
      </c>
      <c r="H21" s="18" t="s">
        <v>2168</v>
      </c>
      <c r="I21" s="18" t="s">
        <v>2173</v>
      </c>
      <c r="J21" s="18" t="s">
        <v>2163</v>
      </c>
      <c r="K21" s="18" t="s">
        <v>2170</v>
      </c>
    </row>
    <row r="22" spans="1:11">
      <c r="A22" s="18" t="s">
        <v>335</v>
      </c>
      <c r="B22" s="18" t="s">
        <v>2156</v>
      </c>
      <c r="C22" s="18" t="s">
        <v>2165</v>
      </c>
      <c r="D22" s="18" t="s">
        <v>2158</v>
      </c>
      <c r="E22" s="18" t="s">
        <v>2159</v>
      </c>
      <c r="F22" s="18" t="s">
        <v>897</v>
      </c>
      <c r="G22" s="18" t="s">
        <v>2036</v>
      </c>
      <c r="H22" s="18" t="s">
        <v>2161</v>
      </c>
      <c r="I22" s="18" t="s">
        <v>2162</v>
      </c>
      <c r="J22" s="18" t="s">
        <v>2163</v>
      </c>
      <c r="K22" s="18" t="s">
        <v>2170</v>
      </c>
    </row>
    <row r="23" spans="1:11">
      <c r="A23" s="18" t="s">
        <v>342</v>
      </c>
      <c r="B23" s="18" t="s">
        <v>2164</v>
      </c>
      <c r="C23" s="18" t="s">
        <v>2157</v>
      </c>
      <c r="D23" s="18" t="s">
        <v>2166</v>
      </c>
      <c r="E23" s="18" t="s">
        <v>2167</v>
      </c>
      <c r="F23" s="18" t="s">
        <v>2160</v>
      </c>
      <c r="G23" s="18" t="s">
        <v>2036</v>
      </c>
      <c r="H23" s="18" t="s">
        <v>2168</v>
      </c>
      <c r="I23" s="18" t="s">
        <v>2169</v>
      </c>
      <c r="J23" s="18" t="s">
        <v>2163</v>
      </c>
      <c r="K23" s="18" t="s">
        <v>881</v>
      </c>
    </row>
    <row r="24" spans="1:11">
      <c r="A24" s="18" t="s">
        <v>350</v>
      </c>
      <c r="B24" s="18" t="s">
        <v>2156</v>
      </c>
      <c r="C24" s="18" t="s">
        <v>2165</v>
      </c>
      <c r="D24" s="18" t="s">
        <v>2166</v>
      </c>
      <c r="E24" s="18" t="s">
        <v>2167</v>
      </c>
      <c r="F24" s="18" t="s">
        <v>897</v>
      </c>
      <c r="G24" s="18" t="s">
        <v>2036</v>
      </c>
      <c r="H24" s="18" t="s">
        <v>2161</v>
      </c>
      <c r="I24" s="18" t="s">
        <v>2171</v>
      </c>
      <c r="J24" s="18" t="s">
        <v>2163</v>
      </c>
      <c r="K24" s="18" t="s">
        <v>2170</v>
      </c>
    </row>
    <row r="25" spans="1:11">
      <c r="A25" s="18" t="s">
        <v>356</v>
      </c>
      <c r="B25" s="18" t="s">
        <v>2164</v>
      </c>
      <c r="C25" s="18" t="s">
        <v>2165</v>
      </c>
      <c r="D25" s="18" t="s">
        <v>2166</v>
      </c>
      <c r="E25" s="18" t="s">
        <v>2167</v>
      </c>
      <c r="F25" s="18" t="s">
        <v>897</v>
      </c>
      <c r="G25" s="18" t="s">
        <v>2036</v>
      </c>
      <c r="H25" s="18" t="s">
        <v>2168</v>
      </c>
      <c r="I25" s="18" t="s">
        <v>2172</v>
      </c>
      <c r="J25" s="18" t="s">
        <v>2163</v>
      </c>
      <c r="K25" s="18" t="s">
        <v>2170</v>
      </c>
    </row>
    <row r="26" spans="1:11">
      <c r="A26" s="18" t="s">
        <v>364</v>
      </c>
      <c r="B26" s="18" t="s">
        <v>2156</v>
      </c>
      <c r="C26" s="18" t="s">
        <v>2157</v>
      </c>
      <c r="D26" s="18" t="s">
        <v>2166</v>
      </c>
      <c r="E26" s="18" t="s">
        <v>2159</v>
      </c>
      <c r="F26" s="18" t="s">
        <v>2160</v>
      </c>
      <c r="G26" s="18" t="s">
        <v>2036</v>
      </c>
      <c r="H26" s="18" t="s">
        <v>2161</v>
      </c>
      <c r="I26" s="18" t="s">
        <v>2173</v>
      </c>
      <c r="J26" s="18" t="s">
        <v>2163</v>
      </c>
      <c r="K26" s="18" t="s">
        <v>2170</v>
      </c>
    </row>
    <row r="27" spans="1:11">
      <c r="A27" s="18" t="s">
        <v>371</v>
      </c>
      <c r="B27" s="18" t="s">
        <v>2164</v>
      </c>
      <c r="C27" s="18" t="s">
        <v>2165</v>
      </c>
      <c r="D27" s="18" t="s">
        <v>2158</v>
      </c>
      <c r="E27" s="18" t="s">
        <v>2167</v>
      </c>
      <c r="F27" s="18" t="s">
        <v>897</v>
      </c>
      <c r="G27" s="18" t="s">
        <v>2036</v>
      </c>
      <c r="H27" s="18" t="s">
        <v>2168</v>
      </c>
      <c r="I27" s="18" t="s">
        <v>2162</v>
      </c>
      <c r="J27" s="18" t="s">
        <v>2163</v>
      </c>
      <c r="K27" s="18" t="s">
        <v>2170</v>
      </c>
    </row>
    <row r="28" spans="1:11">
      <c r="A28" s="18" t="s">
        <v>379</v>
      </c>
      <c r="B28" s="18" t="s">
        <v>2156</v>
      </c>
      <c r="C28" s="18" t="s">
        <v>2165</v>
      </c>
      <c r="D28" s="18" t="s">
        <v>2166</v>
      </c>
      <c r="E28" s="18" t="s">
        <v>2167</v>
      </c>
      <c r="F28" s="18" t="s">
        <v>897</v>
      </c>
      <c r="G28" s="18" t="s">
        <v>2036</v>
      </c>
      <c r="H28" s="18" t="s">
        <v>2161</v>
      </c>
      <c r="I28" s="18" t="s">
        <v>2169</v>
      </c>
      <c r="J28" s="18" t="s">
        <v>2163</v>
      </c>
      <c r="K28" s="18" t="s">
        <v>2170</v>
      </c>
    </row>
    <row r="29" spans="1:11">
      <c r="A29" s="18" t="s">
        <v>386</v>
      </c>
      <c r="B29" s="18" t="s">
        <v>2164</v>
      </c>
      <c r="C29" s="18" t="s">
        <v>2157</v>
      </c>
      <c r="D29" s="18" t="s">
        <v>2166</v>
      </c>
      <c r="E29" s="18" t="s">
        <v>2167</v>
      </c>
      <c r="F29" s="18" t="s">
        <v>2160</v>
      </c>
      <c r="G29" s="18" t="s">
        <v>2036</v>
      </c>
      <c r="H29" s="18" t="s">
        <v>2168</v>
      </c>
      <c r="I29" s="18" t="s">
        <v>2171</v>
      </c>
      <c r="J29" s="18" t="s">
        <v>2163</v>
      </c>
      <c r="K29" s="18" t="s">
        <v>2170</v>
      </c>
    </row>
    <row r="30" spans="1:11">
      <c r="A30" s="18" t="s">
        <v>393</v>
      </c>
      <c r="B30" s="18" t="s">
        <v>2156</v>
      </c>
      <c r="C30" s="18" t="s">
        <v>2165</v>
      </c>
      <c r="D30" s="18" t="s">
        <v>2166</v>
      </c>
      <c r="E30" s="18" t="s">
        <v>2159</v>
      </c>
      <c r="F30" s="18" t="s">
        <v>897</v>
      </c>
      <c r="G30" s="18" t="s">
        <v>2036</v>
      </c>
      <c r="H30" s="18" t="s">
        <v>2161</v>
      </c>
      <c r="I30" s="18" t="s">
        <v>2172</v>
      </c>
      <c r="J30" s="18" t="s">
        <v>2163</v>
      </c>
      <c r="K30" s="18" t="s">
        <v>881</v>
      </c>
    </row>
    <row r="31" spans="1:11">
      <c r="A31" s="18" t="s">
        <v>400</v>
      </c>
      <c r="B31" s="18" t="s">
        <v>2164</v>
      </c>
      <c r="C31" s="18" t="s">
        <v>2165</v>
      </c>
      <c r="D31" s="18" t="s">
        <v>2166</v>
      </c>
      <c r="E31" s="18" t="s">
        <v>2167</v>
      </c>
      <c r="F31" s="18" t="s">
        <v>897</v>
      </c>
      <c r="G31" s="18" t="s">
        <v>2036</v>
      </c>
      <c r="H31" s="18" t="s">
        <v>2168</v>
      </c>
      <c r="I31" s="18" t="s">
        <v>2173</v>
      </c>
      <c r="J31" s="18" t="s">
        <v>2163</v>
      </c>
      <c r="K31" s="18" t="s">
        <v>2170</v>
      </c>
    </row>
    <row r="32" spans="1:11">
      <c r="A32" s="18" t="s">
        <v>408</v>
      </c>
      <c r="B32" s="18" t="s">
        <v>2156</v>
      </c>
      <c r="C32" s="18" t="s">
        <v>2157</v>
      </c>
      <c r="D32" s="18" t="s">
        <v>2158</v>
      </c>
      <c r="E32" s="18" t="s">
        <v>2167</v>
      </c>
      <c r="F32" s="18" t="s">
        <v>2160</v>
      </c>
      <c r="G32" s="18" t="s">
        <v>2036</v>
      </c>
      <c r="H32" s="18" t="s">
        <v>2161</v>
      </c>
      <c r="I32" s="18" t="s">
        <v>2162</v>
      </c>
      <c r="J32" s="18" t="s">
        <v>2163</v>
      </c>
      <c r="K32" s="18" t="s">
        <v>2170</v>
      </c>
    </row>
    <row r="33" spans="1:11">
      <c r="A33" s="18" t="s">
        <v>415</v>
      </c>
      <c r="B33" s="18" t="s">
        <v>2164</v>
      </c>
      <c r="C33" s="18" t="s">
        <v>2165</v>
      </c>
      <c r="D33" s="18" t="s">
        <v>2166</v>
      </c>
      <c r="E33" s="18" t="s">
        <v>2167</v>
      </c>
      <c r="F33" s="18" t="s">
        <v>897</v>
      </c>
      <c r="G33" s="18" t="s">
        <v>2036</v>
      </c>
      <c r="H33" s="18" t="s">
        <v>2168</v>
      </c>
      <c r="I33" s="18" t="s">
        <v>2169</v>
      </c>
      <c r="J33" s="18" t="s">
        <v>2163</v>
      </c>
      <c r="K33" s="18" t="s">
        <v>2170</v>
      </c>
    </row>
    <row r="34" spans="1:11">
      <c r="A34" s="18" t="s">
        <v>423</v>
      </c>
      <c r="B34" s="18" t="s">
        <v>2156</v>
      </c>
      <c r="C34" s="18" t="s">
        <v>2165</v>
      </c>
      <c r="D34" s="18" t="s">
        <v>2166</v>
      </c>
      <c r="E34" s="18" t="s">
        <v>2159</v>
      </c>
      <c r="F34" s="18" t="s">
        <v>897</v>
      </c>
      <c r="G34" s="18" t="s">
        <v>2036</v>
      </c>
      <c r="H34" s="18" t="s">
        <v>2161</v>
      </c>
      <c r="I34" s="18" t="s">
        <v>2171</v>
      </c>
      <c r="J34" s="18" t="s">
        <v>2163</v>
      </c>
      <c r="K34" s="18" t="s">
        <v>2170</v>
      </c>
    </row>
    <row r="35" spans="1:11">
      <c r="A35" s="18" t="s">
        <v>430</v>
      </c>
      <c r="B35" s="18" t="s">
        <v>2164</v>
      </c>
      <c r="C35" s="18" t="s">
        <v>2157</v>
      </c>
      <c r="D35" s="18" t="s">
        <v>2166</v>
      </c>
      <c r="E35" s="18" t="s">
        <v>2167</v>
      </c>
      <c r="F35" s="18" t="s">
        <v>2160</v>
      </c>
      <c r="G35" s="18" t="s">
        <v>2036</v>
      </c>
      <c r="H35" s="18" t="s">
        <v>2168</v>
      </c>
      <c r="I35" s="18" t="s">
        <v>2172</v>
      </c>
      <c r="J35" s="18" t="s">
        <v>2163</v>
      </c>
      <c r="K35" s="18" t="s">
        <v>2170</v>
      </c>
    </row>
    <row r="36" spans="1:11">
      <c r="A36" s="18" t="s">
        <v>438</v>
      </c>
      <c r="B36" s="18" t="s">
        <v>2156</v>
      </c>
      <c r="C36" s="18" t="s">
        <v>2165</v>
      </c>
      <c r="D36" s="18" t="s">
        <v>2166</v>
      </c>
      <c r="E36" s="18" t="s">
        <v>2167</v>
      </c>
      <c r="F36" s="18" t="s">
        <v>897</v>
      </c>
      <c r="G36" s="18" t="s">
        <v>2036</v>
      </c>
      <c r="H36" s="18" t="s">
        <v>2161</v>
      </c>
      <c r="I36" s="18" t="s">
        <v>2173</v>
      </c>
      <c r="J36" s="18" t="s">
        <v>2163</v>
      </c>
      <c r="K36" s="18" t="s">
        <v>2170</v>
      </c>
    </row>
    <row r="37" spans="1:11">
      <c r="A37" s="18" t="s">
        <v>445</v>
      </c>
      <c r="B37" s="18" t="s">
        <v>2164</v>
      </c>
      <c r="C37" s="18" t="s">
        <v>2165</v>
      </c>
      <c r="D37" s="18" t="s">
        <v>2158</v>
      </c>
      <c r="E37" s="18" t="s">
        <v>2167</v>
      </c>
      <c r="F37" s="18" t="s">
        <v>897</v>
      </c>
      <c r="G37" s="18" t="s">
        <v>2036</v>
      </c>
      <c r="H37" s="18" t="s">
        <v>2168</v>
      </c>
      <c r="I37" s="18" t="s">
        <v>2162</v>
      </c>
      <c r="J37" s="18" t="s">
        <v>2163</v>
      </c>
      <c r="K37" s="18" t="s">
        <v>881</v>
      </c>
    </row>
    <row r="38" spans="1:11">
      <c r="A38" s="18" t="s">
        <v>453</v>
      </c>
      <c r="B38" s="18" t="s">
        <v>2156</v>
      </c>
      <c r="C38" s="18" t="s">
        <v>2157</v>
      </c>
      <c r="D38" s="18" t="s">
        <v>2166</v>
      </c>
      <c r="E38" s="18" t="s">
        <v>2159</v>
      </c>
      <c r="F38" s="18" t="s">
        <v>2160</v>
      </c>
      <c r="G38" s="18" t="s">
        <v>2036</v>
      </c>
      <c r="H38" s="18" t="s">
        <v>2161</v>
      </c>
      <c r="I38" s="18" t="s">
        <v>2169</v>
      </c>
      <c r="J38" s="18" t="s">
        <v>2163</v>
      </c>
      <c r="K38" s="18" t="s">
        <v>2170</v>
      </c>
    </row>
    <row r="39" spans="1:11">
      <c r="A39" s="18" t="s">
        <v>460</v>
      </c>
      <c r="B39" s="18" t="s">
        <v>2164</v>
      </c>
      <c r="C39" s="18" t="s">
        <v>2165</v>
      </c>
      <c r="D39" s="18" t="s">
        <v>2166</v>
      </c>
      <c r="E39" s="18" t="s">
        <v>2167</v>
      </c>
      <c r="F39" s="18" t="s">
        <v>897</v>
      </c>
      <c r="G39" s="18" t="s">
        <v>2036</v>
      </c>
      <c r="H39" s="18" t="s">
        <v>2168</v>
      </c>
      <c r="I39" s="18" t="s">
        <v>2171</v>
      </c>
      <c r="J39" s="18" t="s">
        <v>2163</v>
      </c>
      <c r="K39" s="18" t="s">
        <v>2170</v>
      </c>
    </row>
    <row r="40" spans="1:11">
      <c r="A40" s="18" t="s">
        <v>468</v>
      </c>
      <c r="B40" s="18" t="s">
        <v>2156</v>
      </c>
      <c r="C40" s="18" t="s">
        <v>2165</v>
      </c>
      <c r="D40" s="18" t="s">
        <v>2166</v>
      </c>
      <c r="E40" s="18" t="s">
        <v>2167</v>
      </c>
      <c r="F40" s="18" t="s">
        <v>897</v>
      </c>
      <c r="G40" s="18" t="s">
        <v>2036</v>
      </c>
      <c r="H40" s="18" t="s">
        <v>2161</v>
      </c>
      <c r="I40" s="18" t="s">
        <v>2172</v>
      </c>
      <c r="J40" s="18" t="s">
        <v>2163</v>
      </c>
      <c r="K40" s="18" t="s">
        <v>2170</v>
      </c>
    </row>
    <row r="41" spans="1:11">
      <c r="A41" s="18" t="s">
        <v>475</v>
      </c>
      <c r="B41" s="18" t="s">
        <v>2164</v>
      </c>
      <c r="C41" s="18" t="s">
        <v>2157</v>
      </c>
      <c r="D41" s="18" t="s">
        <v>2166</v>
      </c>
      <c r="E41" s="18" t="s">
        <v>2167</v>
      </c>
      <c r="F41" s="18" t="s">
        <v>2160</v>
      </c>
      <c r="G41" s="18" t="s">
        <v>2036</v>
      </c>
      <c r="H41" s="18" t="s">
        <v>2168</v>
      </c>
      <c r="I41" s="18" t="s">
        <v>2173</v>
      </c>
      <c r="J41" s="18" t="s">
        <v>2163</v>
      </c>
      <c r="K41" s="18" t="s">
        <v>2170</v>
      </c>
    </row>
    <row r="42" spans="1:11">
      <c r="A42" s="18" t="s">
        <v>483</v>
      </c>
      <c r="B42" s="18" t="s">
        <v>2156</v>
      </c>
      <c r="C42" s="18" t="s">
        <v>2165</v>
      </c>
      <c r="D42" s="18" t="s">
        <v>2158</v>
      </c>
      <c r="E42" s="18" t="s">
        <v>2159</v>
      </c>
      <c r="F42" s="18" t="s">
        <v>897</v>
      </c>
      <c r="G42" s="18" t="s">
        <v>2036</v>
      </c>
      <c r="H42" s="18" t="s">
        <v>2161</v>
      </c>
      <c r="I42" s="18" t="s">
        <v>2162</v>
      </c>
      <c r="J42" s="18" t="s">
        <v>2163</v>
      </c>
      <c r="K42" s="18" t="s">
        <v>2170</v>
      </c>
    </row>
    <row r="43" spans="1:11">
      <c r="A43" s="18" t="s">
        <v>491</v>
      </c>
      <c r="B43" s="18" t="s">
        <v>2164</v>
      </c>
      <c r="C43" s="18" t="s">
        <v>2165</v>
      </c>
      <c r="D43" s="18" t="s">
        <v>2166</v>
      </c>
      <c r="E43" s="18" t="s">
        <v>2167</v>
      </c>
      <c r="F43" s="18" t="s">
        <v>897</v>
      </c>
      <c r="G43" s="18" t="s">
        <v>2036</v>
      </c>
      <c r="H43" s="18" t="s">
        <v>2168</v>
      </c>
      <c r="I43" s="18" t="s">
        <v>2169</v>
      </c>
      <c r="J43" s="18" t="s">
        <v>2163</v>
      </c>
      <c r="K43" s="18" t="s">
        <v>2170</v>
      </c>
    </row>
    <row r="44" spans="1:11">
      <c r="A44" s="18" t="s">
        <v>499</v>
      </c>
      <c r="B44" s="18" t="s">
        <v>2156</v>
      </c>
      <c r="C44" s="18" t="s">
        <v>2157</v>
      </c>
      <c r="D44" s="18" t="s">
        <v>2166</v>
      </c>
      <c r="E44" s="18" t="s">
        <v>2167</v>
      </c>
      <c r="F44" s="18" t="s">
        <v>2160</v>
      </c>
      <c r="G44" s="18" t="s">
        <v>2036</v>
      </c>
      <c r="H44" s="18" t="s">
        <v>2161</v>
      </c>
      <c r="I44" s="18" t="s">
        <v>2171</v>
      </c>
      <c r="J44" s="18" t="s">
        <v>2163</v>
      </c>
      <c r="K44" s="18" t="s">
        <v>881</v>
      </c>
    </row>
    <row r="45" spans="1:11">
      <c r="A45" s="18" t="s">
        <v>507</v>
      </c>
      <c r="B45" s="18" t="s">
        <v>2164</v>
      </c>
      <c r="C45" s="18" t="s">
        <v>2165</v>
      </c>
      <c r="D45" s="18" t="s">
        <v>2166</v>
      </c>
      <c r="E45" s="18" t="s">
        <v>2167</v>
      </c>
      <c r="F45" s="18" t="s">
        <v>897</v>
      </c>
      <c r="G45" s="18" t="s">
        <v>2036</v>
      </c>
      <c r="H45" s="18" t="s">
        <v>2168</v>
      </c>
      <c r="I45" s="18" t="s">
        <v>2172</v>
      </c>
      <c r="J45" s="18" t="s">
        <v>2163</v>
      </c>
      <c r="K45" s="18" t="s">
        <v>2170</v>
      </c>
    </row>
    <row r="46" spans="1:11">
      <c r="A46" s="18" t="s">
        <v>515</v>
      </c>
      <c r="B46" s="18" t="s">
        <v>2156</v>
      </c>
      <c r="C46" s="18" t="s">
        <v>2165</v>
      </c>
      <c r="D46" s="18" t="s">
        <v>2166</v>
      </c>
      <c r="E46" s="18" t="s">
        <v>2159</v>
      </c>
      <c r="F46" s="18" t="s">
        <v>897</v>
      </c>
      <c r="G46" s="18" t="s">
        <v>2036</v>
      </c>
      <c r="H46" s="18" t="s">
        <v>2161</v>
      </c>
      <c r="I46" s="18" t="s">
        <v>2173</v>
      </c>
      <c r="J46" s="18" t="s">
        <v>2163</v>
      </c>
      <c r="K46" s="18" t="s">
        <v>2170</v>
      </c>
    </row>
    <row r="47" spans="1:11">
      <c r="A47" s="18" t="s">
        <v>523</v>
      </c>
      <c r="B47" s="18" t="s">
        <v>2164</v>
      </c>
      <c r="C47" s="18" t="s">
        <v>2157</v>
      </c>
      <c r="D47" s="18" t="s">
        <v>2158</v>
      </c>
      <c r="E47" s="18" t="s">
        <v>2167</v>
      </c>
      <c r="F47" s="18" t="s">
        <v>2160</v>
      </c>
      <c r="G47" s="18" t="s">
        <v>2036</v>
      </c>
      <c r="H47" s="18" t="s">
        <v>2168</v>
      </c>
      <c r="I47" s="18" t="s">
        <v>2162</v>
      </c>
      <c r="J47" s="18" t="s">
        <v>2163</v>
      </c>
      <c r="K47" s="18" t="s">
        <v>2170</v>
      </c>
    </row>
    <row r="48" spans="1:11">
      <c r="A48" s="18" t="s">
        <v>531</v>
      </c>
      <c r="B48" s="18" t="s">
        <v>2156</v>
      </c>
      <c r="C48" s="18" t="s">
        <v>2165</v>
      </c>
      <c r="D48" s="18" t="s">
        <v>2166</v>
      </c>
      <c r="E48" s="18" t="s">
        <v>2167</v>
      </c>
      <c r="F48" s="18" t="s">
        <v>897</v>
      </c>
      <c r="G48" s="18" t="s">
        <v>2036</v>
      </c>
      <c r="H48" s="18" t="s">
        <v>2161</v>
      </c>
      <c r="I48" s="18" t="s">
        <v>2169</v>
      </c>
      <c r="J48" s="18" t="s">
        <v>2163</v>
      </c>
      <c r="K48" s="18" t="s">
        <v>2170</v>
      </c>
    </row>
    <row r="49" spans="1:11">
      <c r="A49" s="18" t="s">
        <v>539</v>
      </c>
      <c r="B49" s="18" t="s">
        <v>2164</v>
      </c>
      <c r="C49" s="18" t="s">
        <v>2165</v>
      </c>
      <c r="D49" s="18" t="s">
        <v>2166</v>
      </c>
      <c r="E49" s="18" t="s">
        <v>2167</v>
      </c>
      <c r="F49" s="18" t="s">
        <v>897</v>
      </c>
      <c r="G49" s="18" t="s">
        <v>2036</v>
      </c>
      <c r="H49" s="18" t="s">
        <v>2168</v>
      </c>
      <c r="I49" s="18" t="s">
        <v>2171</v>
      </c>
      <c r="J49" s="18" t="s">
        <v>2163</v>
      </c>
      <c r="K49" s="18" t="s">
        <v>2170</v>
      </c>
    </row>
    <row r="50" spans="1:11">
      <c r="A50" s="18" t="s">
        <v>547</v>
      </c>
      <c r="B50" s="18" t="s">
        <v>2156</v>
      </c>
      <c r="C50" s="18" t="s">
        <v>2157</v>
      </c>
      <c r="D50" s="18" t="s">
        <v>2166</v>
      </c>
      <c r="E50" s="18" t="s">
        <v>2159</v>
      </c>
      <c r="F50" s="18" t="s">
        <v>2160</v>
      </c>
      <c r="G50" s="18" t="s">
        <v>2036</v>
      </c>
      <c r="H50" s="18" t="s">
        <v>2161</v>
      </c>
      <c r="I50" s="18" t="s">
        <v>2172</v>
      </c>
      <c r="J50" s="18" t="s">
        <v>2163</v>
      </c>
      <c r="K50" s="18" t="s">
        <v>2170</v>
      </c>
    </row>
    <row r="51" spans="1:11">
      <c r="A51" s="18" t="s">
        <v>555</v>
      </c>
      <c r="B51" s="18" t="s">
        <v>2164</v>
      </c>
      <c r="C51" s="18" t="s">
        <v>2165</v>
      </c>
      <c r="D51" s="18" t="s">
        <v>2166</v>
      </c>
      <c r="E51" s="18" t="s">
        <v>2167</v>
      </c>
      <c r="F51" s="18" t="s">
        <v>897</v>
      </c>
      <c r="G51" s="18" t="s">
        <v>2036</v>
      </c>
      <c r="H51" s="18" t="s">
        <v>2168</v>
      </c>
      <c r="I51" s="18" t="s">
        <v>2173</v>
      </c>
      <c r="J51" s="18" t="s">
        <v>2163</v>
      </c>
      <c r="K51" s="18" t="s">
        <v>881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showGridLines="0" zoomScale="90" workbookViewId="0"/>
  </sheetViews>
  <sheetFormatPr defaultRowHeight="15"/>
  <cols>
    <col min="1" max="1" width="28" customWidth="1"/>
    <col min="2" max="2" width="20" customWidth="1"/>
    <col min="3" max="3" width="4" customWidth="1"/>
    <col min="4" max="4" width="24" customWidth="1"/>
    <col min="5" max="8" width="14" customWidth="1"/>
  </cols>
  <sheetData>
    <row r="1" spans="1:8">
      <c r="A1" s="29" t="s">
        <v>2174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4" spans="1:8" ht="30" customHeight="1">
      <c r="A4" s="17" t="s">
        <v>2175</v>
      </c>
      <c r="B4" s="17">
        <f>COUNTA(Patient_Master!A:A)-1</f>
        <v>50</v>
      </c>
      <c r="D4" s="17" t="s">
        <v>2176</v>
      </c>
      <c r="E4" s="17" t="s">
        <v>2177</v>
      </c>
    </row>
    <row r="5" spans="1:8">
      <c r="A5" s="11" t="s">
        <v>48</v>
      </c>
      <c r="B5" s="23">
        <f>COUNTIF(Problems!E:E,"Active")</f>
        <v>67</v>
      </c>
      <c r="D5" t="s">
        <v>574</v>
      </c>
      <c r="E5">
        <f>COUNTIF(Encounters!D:D,D5)</f>
        <v>50</v>
      </c>
    </row>
    <row r="6" spans="1:8">
      <c r="A6" s="11" t="s">
        <v>51</v>
      </c>
      <c r="B6" s="23">
        <f>COUNTIF(Labs!I:I,"High")</f>
        <v>88</v>
      </c>
      <c r="D6" t="s">
        <v>583</v>
      </c>
      <c r="E6">
        <f>COUNTIF(Encounters!D:D,D6)</f>
        <v>87</v>
      </c>
    </row>
    <row r="7" spans="1:8">
      <c r="A7" s="11" t="s">
        <v>2178</v>
      </c>
      <c r="B7" s="24">
        <f>SUM(Billing_Claims!K:K)</f>
        <v>4245</v>
      </c>
      <c r="D7" t="s">
        <v>587</v>
      </c>
      <c r="E7">
        <f>COUNTIF(Encounters!D:D,D7)</f>
        <v>13</v>
      </c>
    </row>
  </sheetData>
  <mergeCells count="1">
    <mergeCell ref="A1:H2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7E6E6"/>
  </sheetPr>
  <dimension ref="A1:E194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40" customWidth="1"/>
    <col min="4" max="4" width="46" customWidth="1"/>
    <col min="5" max="5" width="24" customWidth="1"/>
  </cols>
  <sheetData>
    <row r="1" spans="1:5" ht="30" customHeight="1">
      <c r="A1" s="17" t="s">
        <v>2179</v>
      </c>
      <c r="B1" s="17" t="s">
        <v>2180</v>
      </c>
      <c r="C1" s="17" t="s">
        <v>2181</v>
      </c>
      <c r="D1" s="17" t="s">
        <v>2182</v>
      </c>
      <c r="E1" s="17" t="s">
        <v>2183</v>
      </c>
    </row>
    <row r="2" spans="1:5">
      <c r="A2" s="18" t="s">
        <v>15</v>
      </c>
      <c r="B2" s="18" t="s">
        <v>66</v>
      </c>
      <c r="C2" s="18" t="s">
        <v>34</v>
      </c>
      <c r="D2" s="18" t="s">
        <v>2184</v>
      </c>
      <c r="E2" s="18" t="s">
        <v>2185</v>
      </c>
    </row>
    <row r="3" spans="1:5">
      <c r="A3" s="18" t="s">
        <v>15</v>
      </c>
      <c r="B3" s="18" t="s">
        <v>37</v>
      </c>
      <c r="C3" s="18" t="s">
        <v>37</v>
      </c>
      <c r="D3" s="18" t="s">
        <v>2184</v>
      </c>
      <c r="E3" s="18" t="s">
        <v>2185</v>
      </c>
    </row>
    <row r="4" spans="1:5">
      <c r="A4" s="18" t="s">
        <v>15</v>
      </c>
      <c r="B4" s="18" t="s">
        <v>67</v>
      </c>
      <c r="C4" s="18" t="s">
        <v>2186</v>
      </c>
      <c r="D4" s="18" t="s">
        <v>2184</v>
      </c>
      <c r="E4" s="18" t="s">
        <v>2185</v>
      </c>
    </row>
    <row r="5" spans="1:5">
      <c r="A5" s="18" t="s">
        <v>15</v>
      </c>
      <c r="B5" s="18" t="s">
        <v>68</v>
      </c>
      <c r="C5" s="18" t="s">
        <v>2187</v>
      </c>
      <c r="D5" s="18" t="s">
        <v>2184</v>
      </c>
      <c r="E5" s="18" t="s">
        <v>2185</v>
      </c>
    </row>
    <row r="6" spans="1:5">
      <c r="A6" s="18" t="s">
        <v>15</v>
      </c>
      <c r="B6" s="18" t="s">
        <v>69</v>
      </c>
      <c r="C6" s="18" t="s">
        <v>2188</v>
      </c>
      <c r="D6" s="18" t="s">
        <v>2184</v>
      </c>
      <c r="E6" s="18" t="s">
        <v>2185</v>
      </c>
    </row>
    <row r="7" spans="1:5">
      <c r="A7" s="18" t="s">
        <v>15</v>
      </c>
      <c r="B7" s="18" t="s">
        <v>38</v>
      </c>
      <c r="C7" s="18" t="s">
        <v>38</v>
      </c>
      <c r="D7" s="18" t="s">
        <v>2184</v>
      </c>
      <c r="E7" s="18" t="s">
        <v>2185</v>
      </c>
    </row>
    <row r="8" spans="1:5">
      <c r="A8" s="18" t="s">
        <v>15</v>
      </c>
      <c r="B8" s="18" t="s">
        <v>39</v>
      </c>
      <c r="C8" s="18" t="s">
        <v>39</v>
      </c>
      <c r="D8" s="18" t="s">
        <v>2184</v>
      </c>
      <c r="E8" s="18" t="s">
        <v>2185</v>
      </c>
    </row>
    <row r="9" spans="1:5">
      <c r="A9" s="18" t="s">
        <v>15</v>
      </c>
      <c r="B9" s="18" t="s">
        <v>70</v>
      </c>
      <c r="C9" s="18" t="s">
        <v>2189</v>
      </c>
      <c r="D9" s="18" t="s">
        <v>2184</v>
      </c>
      <c r="E9" s="18" t="s">
        <v>2185</v>
      </c>
    </row>
    <row r="10" spans="1:5">
      <c r="A10" s="18" t="s">
        <v>15</v>
      </c>
      <c r="B10" s="18" t="s">
        <v>71</v>
      </c>
      <c r="C10" s="18" t="s">
        <v>71</v>
      </c>
      <c r="D10" s="18" t="s">
        <v>2184</v>
      </c>
      <c r="E10" s="18" t="s">
        <v>2185</v>
      </c>
    </row>
    <row r="11" spans="1:5">
      <c r="A11" s="18" t="s">
        <v>15</v>
      </c>
      <c r="B11" s="18" t="s">
        <v>72</v>
      </c>
      <c r="C11" s="18" t="s">
        <v>2190</v>
      </c>
      <c r="D11" s="18" t="s">
        <v>2184</v>
      </c>
      <c r="E11" s="18" t="s">
        <v>2185</v>
      </c>
    </row>
    <row r="12" spans="1:5">
      <c r="A12" s="18" t="s">
        <v>15</v>
      </c>
      <c r="B12" s="18" t="s">
        <v>73</v>
      </c>
      <c r="C12" s="18" t="s">
        <v>73</v>
      </c>
      <c r="D12" s="18" t="s">
        <v>2184</v>
      </c>
      <c r="E12" s="18" t="s">
        <v>2185</v>
      </c>
    </row>
    <row r="13" spans="1:5">
      <c r="A13" s="18" t="s">
        <v>15</v>
      </c>
      <c r="B13" s="18" t="s">
        <v>74</v>
      </c>
      <c r="C13" s="18" t="s">
        <v>74</v>
      </c>
      <c r="D13" s="18" t="s">
        <v>2184</v>
      </c>
      <c r="E13" s="18" t="s">
        <v>2185</v>
      </c>
    </row>
    <row r="14" spans="1:5">
      <c r="A14" s="18" t="s">
        <v>15</v>
      </c>
      <c r="B14" s="18" t="s">
        <v>75</v>
      </c>
      <c r="C14" s="18" t="s">
        <v>2191</v>
      </c>
      <c r="D14" s="18" t="s">
        <v>2184</v>
      </c>
      <c r="E14" s="18" t="s">
        <v>2185</v>
      </c>
    </row>
    <row r="15" spans="1:5">
      <c r="A15" s="18" t="s">
        <v>15</v>
      </c>
      <c r="B15" s="18" t="s">
        <v>76</v>
      </c>
      <c r="C15" s="18" t="s">
        <v>2192</v>
      </c>
      <c r="D15" s="18" t="s">
        <v>2184</v>
      </c>
      <c r="E15" s="18" t="s">
        <v>2185</v>
      </c>
    </row>
    <row r="16" spans="1:5">
      <c r="A16" s="18" t="s">
        <v>15</v>
      </c>
      <c r="B16" s="18" t="s">
        <v>41</v>
      </c>
      <c r="C16" s="18" t="s">
        <v>41</v>
      </c>
      <c r="D16" s="18" t="s">
        <v>2184</v>
      </c>
      <c r="E16" s="18" t="s">
        <v>2185</v>
      </c>
    </row>
    <row r="17" spans="1:5">
      <c r="A17" s="18" t="s">
        <v>15</v>
      </c>
      <c r="B17" s="18" t="s">
        <v>77</v>
      </c>
      <c r="C17" s="18" t="s">
        <v>2193</v>
      </c>
      <c r="D17" s="18" t="s">
        <v>2184</v>
      </c>
      <c r="E17" s="18" t="s">
        <v>2185</v>
      </c>
    </row>
    <row r="18" spans="1:5">
      <c r="A18" s="18" t="s">
        <v>15</v>
      </c>
      <c r="B18" s="18" t="s">
        <v>78</v>
      </c>
      <c r="C18" s="18" t="s">
        <v>2194</v>
      </c>
      <c r="D18" s="18" t="s">
        <v>2184</v>
      </c>
      <c r="E18" s="18" t="s">
        <v>2185</v>
      </c>
    </row>
    <row r="19" spans="1:5">
      <c r="A19" s="18" t="s">
        <v>15</v>
      </c>
      <c r="B19" s="18" t="s">
        <v>79</v>
      </c>
      <c r="C19" s="18" t="s">
        <v>2195</v>
      </c>
      <c r="D19" s="18" t="s">
        <v>2184</v>
      </c>
      <c r="E19" s="18" t="s">
        <v>2185</v>
      </c>
    </row>
    <row r="20" spans="1:5">
      <c r="A20" s="18" t="s">
        <v>15</v>
      </c>
      <c r="B20" s="18" t="s">
        <v>80</v>
      </c>
      <c r="C20" s="18" t="s">
        <v>80</v>
      </c>
      <c r="D20" s="18" t="s">
        <v>2184</v>
      </c>
      <c r="E20" s="18" t="s">
        <v>2185</v>
      </c>
    </row>
    <row r="21" spans="1:5">
      <c r="A21" s="18" t="s">
        <v>15</v>
      </c>
      <c r="B21" s="18" t="s">
        <v>81</v>
      </c>
      <c r="C21" s="18" t="s">
        <v>81</v>
      </c>
      <c r="D21" s="18" t="s">
        <v>2184</v>
      </c>
      <c r="E21" s="18" t="s">
        <v>2185</v>
      </c>
    </row>
    <row r="22" spans="1:5">
      <c r="A22" s="18" t="s">
        <v>15</v>
      </c>
      <c r="B22" s="18" t="s">
        <v>82</v>
      </c>
      <c r="C22" s="18" t="s">
        <v>82</v>
      </c>
      <c r="D22" s="18" t="s">
        <v>2184</v>
      </c>
      <c r="E22" s="18" t="s">
        <v>2185</v>
      </c>
    </row>
    <row r="23" spans="1:5">
      <c r="A23" s="18" t="s">
        <v>15</v>
      </c>
      <c r="B23" s="18" t="s">
        <v>83</v>
      </c>
      <c r="C23" s="18" t="s">
        <v>83</v>
      </c>
      <c r="D23" s="18" t="s">
        <v>2184</v>
      </c>
      <c r="E23" s="18" t="s">
        <v>2185</v>
      </c>
    </row>
    <row r="24" spans="1:5">
      <c r="A24" s="18" t="s">
        <v>15</v>
      </c>
      <c r="B24" s="18" t="s">
        <v>84</v>
      </c>
      <c r="C24" s="18" t="s">
        <v>84</v>
      </c>
      <c r="D24" s="18" t="s">
        <v>2184</v>
      </c>
      <c r="E24" s="18" t="s">
        <v>2185</v>
      </c>
    </row>
    <row r="25" spans="1:5">
      <c r="A25" s="18" t="s">
        <v>15</v>
      </c>
      <c r="B25" s="18" t="s">
        <v>85</v>
      </c>
      <c r="C25" s="18" t="s">
        <v>2196</v>
      </c>
      <c r="D25" s="18" t="s">
        <v>2184</v>
      </c>
      <c r="E25" s="18" t="s">
        <v>2185</v>
      </c>
    </row>
    <row r="26" spans="1:5">
      <c r="A26" s="18" t="s">
        <v>15</v>
      </c>
      <c r="B26" s="18" t="s">
        <v>86</v>
      </c>
      <c r="C26" s="18" t="s">
        <v>86</v>
      </c>
      <c r="D26" s="18" t="s">
        <v>2184</v>
      </c>
      <c r="E26" s="18" t="s">
        <v>2185</v>
      </c>
    </row>
    <row r="27" spans="1:5">
      <c r="A27" s="18" t="s">
        <v>15</v>
      </c>
      <c r="B27" s="18" t="s">
        <v>87</v>
      </c>
      <c r="C27" s="18" t="s">
        <v>87</v>
      </c>
      <c r="D27" s="18" t="s">
        <v>2184</v>
      </c>
      <c r="E27" s="18" t="s">
        <v>2185</v>
      </c>
    </row>
    <row r="28" spans="1:5">
      <c r="A28" s="18" t="s">
        <v>16</v>
      </c>
      <c r="B28" s="18" t="s">
        <v>563</v>
      </c>
      <c r="C28" s="18" t="s">
        <v>2197</v>
      </c>
      <c r="D28" s="18" t="s">
        <v>2198</v>
      </c>
      <c r="E28" s="18" t="s">
        <v>2185</v>
      </c>
    </row>
    <row r="29" spans="1:5">
      <c r="A29" s="18" t="s">
        <v>16</v>
      </c>
      <c r="B29" s="18" t="s">
        <v>66</v>
      </c>
      <c r="C29" s="18" t="s">
        <v>34</v>
      </c>
      <c r="D29" s="18" t="s">
        <v>2198</v>
      </c>
      <c r="E29" s="18" t="s">
        <v>2185</v>
      </c>
    </row>
    <row r="30" spans="1:5">
      <c r="A30" s="18" t="s">
        <v>16</v>
      </c>
      <c r="B30" s="18" t="s">
        <v>564</v>
      </c>
      <c r="C30" s="18" t="s">
        <v>564</v>
      </c>
      <c r="D30" s="18" t="s">
        <v>2198</v>
      </c>
      <c r="E30" s="18" t="s">
        <v>2185</v>
      </c>
    </row>
    <row r="31" spans="1:5">
      <c r="A31" s="18" t="s">
        <v>16</v>
      </c>
      <c r="B31" s="18" t="s">
        <v>565</v>
      </c>
      <c r="C31" s="18" t="s">
        <v>565</v>
      </c>
      <c r="D31" s="18" t="s">
        <v>2198</v>
      </c>
      <c r="E31" s="18" t="s">
        <v>2185</v>
      </c>
    </row>
    <row r="32" spans="1:5">
      <c r="A32" s="18" t="s">
        <v>16</v>
      </c>
      <c r="B32" s="18" t="s">
        <v>566</v>
      </c>
      <c r="C32" s="18" t="s">
        <v>566</v>
      </c>
      <c r="D32" s="18" t="s">
        <v>2198</v>
      </c>
      <c r="E32" s="18" t="s">
        <v>2185</v>
      </c>
    </row>
    <row r="33" spans="1:5">
      <c r="A33" s="18" t="s">
        <v>16</v>
      </c>
      <c r="B33" s="18" t="s">
        <v>567</v>
      </c>
      <c r="C33" s="18" t="s">
        <v>567</v>
      </c>
      <c r="D33" s="18" t="s">
        <v>2198</v>
      </c>
      <c r="E33" s="18" t="s">
        <v>2185</v>
      </c>
    </row>
    <row r="34" spans="1:5">
      <c r="A34" s="18" t="s">
        <v>16</v>
      </c>
      <c r="B34" s="18" t="s">
        <v>568</v>
      </c>
      <c r="C34" s="18" t="s">
        <v>568</v>
      </c>
      <c r="D34" s="18" t="s">
        <v>2198</v>
      </c>
      <c r="E34" s="18" t="s">
        <v>2185</v>
      </c>
    </row>
    <row r="35" spans="1:5">
      <c r="A35" s="18" t="s">
        <v>16</v>
      </c>
      <c r="B35" s="18" t="s">
        <v>58</v>
      </c>
      <c r="C35" s="18" t="s">
        <v>58</v>
      </c>
      <c r="D35" s="18" t="s">
        <v>2198</v>
      </c>
      <c r="E35" s="18" t="s">
        <v>2185</v>
      </c>
    </row>
    <row r="36" spans="1:5">
      <c r="A36" s="18" t="s">
        <v>16</v>
      </c>
      <c r="B36" s="18" t="s">
        <v>569</v>
      </c>
      <c r="C36" s="18" t="s">
        <v>2199</v>
      </c>
      <c r="D36" s="18" t="s">
        <v>2198</v>
      </c>
      <c r="E36" s="18" t="s">
        <v>2185</v>
      </c>
    </row>
    <row r="37" spans="1:5">
      <c r="A37" s="18" t="s">
        <v>16</v>
      </c>
      <c r="B37" s="18" t="s">
        <v>570</v>
      </c>
      <c r="C37" s="18" t="s">
        <v>2200</v>
      </c>
      <c r="D37" s="18" t="s">
        <v>2198</v>
      </c>
      <c r="E37" s="18" t="s">
        <v>2185</v>
      </c>
    </row>
    <row r="38" spans="1:5">
      <c r="A38" s="18" t="s">
        <v>16</v>
      </c>
      <c r="B38" s="18" t="s">
        <v>571</v>
      </c>
      <c r="C38" s="18" t="s">
        <v>571</v>
      </c>
      <c r="D38" s="18" t="s">
        <v>2198</v>
      </c>
      <c r="E38" s="18" t="s">
        <v>2185</v>
      </c>
    </row>
    <row r="39" spans="1:5">
      <c r="A39" s="18" t="s">
        <v>16</v>
      </c>
      <c r="B39" s="18" t="s">
        <v>572</v>
      </c>
      <c r="C39" s="18" t="s">
        <v>2201</v>
      </c>
      <c r="D39" s="18" t="s">
        <v>2198</v>
      </c>
      <c r="E39" s="18" t="s">
        <v>2185</v>
      </c>
    </row>
    <row r="40" spans="1:5">
      <c r="A40" s="18" t="s">
        <v>17</v>
      </c>
      <c r="B40" s="18" t="s">
        <v>761</v>
      </c>
      <c r="C40" s="18" t="s">
        <v>2202</v>
      </c>
      <c r="D40" s="18" t="s">
        <v>2203</v>
      </c>
      <c r="E40" s="18" t="s">
        <v>2185</v>
      </c>
    </row>
    <row r="41" spans="1:5">
      <c r="A41" s="18" t="s">
        <v>17</v>
      </c>
      <c r="B41" s="18" t="s">
        <v>66</v>
      </c>
      <c r="C41" s="18" t="s">
        <v>34</v>
      </c>
      <c r="D41" s="18" t="s">
        <v>2203</v>
      </c>
      <c r="E41" s="18" t="s">
        <v>2185</v>
      </c>
    </row>
    <row r="42" spans="1:5">
      <c r="A42" s="18" t="s">
        <v>17</v>
      </c>
      <c r="B42" s="18" t="s">
        <v>762</v>
      </c>
      <c r="C42" s="18" t="s">
        <v>2204</v>
      </c>
      <c r="D42" s="18" t="s">
        <v>2203</v>
      </c>
      <c r="E42" s="18" t="s">
        <v>2185</v>
      </c>
    </row>
    <row r="43" spans="1:5">
      <c r="A43" s="18" t="s">
        <v>17</v>
      </c>
      <c r="B43" s="18" t="s">
        <v>763</v>
      </c>
      <c r="C43" s="18" t="s">
        <v>2205</v>
      </c>
      <c r="D43" s="18" t="s">
        <v>2203</v>
      </c>
      <c r="E43" s="18" t="s">
        <v>2185</v>
      </c>
    </row>
    <row r="44" spans="1:5">
      <c r="A44" s="18" t="s">
        <v>17</v>
      </c>
      <c r="B44" s="18" t="s">
        <v>764</v>
      </c>
      <c r="C44" s="18" t="s">
        <v>2206</v>
      </c>
      <c r="D44" s="18" t="s">
        <v>2203</v>
      </c>
      <c r="E44" s="18" t="s">
        <v>2185</v>
      </c>
    </row>
    <row r="45" spans="1:5">
      <c r="A45" s="18" t="s">
        <v>17</v>
      </c>
      <c r="B45" s="18" t="s">
        <v>765</v>
      </c>
      <c r="C45" s="18" t="s">
        <v>2207</v>
      </c>
      <c r="D45" s="18" t="s">
        <v>2203</v>
      </c>
      <c r="E45" s="18" t="s">
        <v>2185</v>
      </c>
    </row>
    <row r="46" spans="1:5">
      <c r="A46" s="18" t="s">
        <v>17</v>
      </c>
      <c r="B46" s="18" t="s">
        <v>766</v>
      </c>
      <c r="C46" s="18" t="s">
        <v>2208</v>
      </c>
      <c r="D46" s="18" t="s">
        <v>2203</v>
      </c>
      <c r="E46" s="18" t="s">
        <v>2185</v>
      </c>
    </row>
    <row r="47" spans="1:5">
      <c r="A47" s="18" t="s">
        <v>17</v>
      </c>
      <c r="B47" s="18" t="s">
        <v>767</v>
      </c>
      <c r="C47" s="18" t="s">
        <v>2209</v>
      </c>
      <c r="D47" s="18" t="s">
        <v>2203</v>
      </c>
      <c r="E47" s="18" t="s">
        <v>2185</v>
      </c>
    </row>
    <row r="48" spans="1:5">
      <c r="A48" s="18" t="s">
        <v>17</v>
      </c>
      <c r="B48" s="18" t="s">
        <v>567</v>
      </c>
      <c r="C48" s="18" t="s">
        <v>567</v>
      </c>
      <c r="D48" s="18" t="s">
        <v>2203</v>
      </c>
      <c r="E48" s="18" t="s">
        <v>2185</v>
      </c>
    </row>
    <row r="49" spans="1:5">
      <c r="A49" s="18" t="s">
        <v>17</v>
      </c>
      <c r="B49" s="18" t="s">
        <v>768</v>
      </c>
      <c r="C49" s="18" t="s">
        <v>768</v>
      </c>
      <c r="D49" s="18" t="s">
        <v>2203</v>
      </c>
      <c r="E49" s="18" t="s">
        <v>2185</v>
      </c>
    </row>
    <row r="50" spans="1:5">
      <c r="A50" s="18" t="s">
        <v>18</v>
      </c>
      <c r="B50" s="18" t="s">
        <v>871</v>
      </c>
      <c r="C50" s="18" t="s">
        <v>2210</v>
      </c>
      <c r="D50" s="18" t="s">
        <v>2211</v>
      </c>
      <c r="E50" s="18" t="s">
        <v>2185</v>
      </c>
    </row>
    <row r="51" spans="1:5">
      <c r="A51" s="18" t="s">
        <v>18</v>
      </c>
      <c r="B51" s="18" t="s">
        <v>66</v>
      </c>
      <c r="C51" s="18" t="s">
        <v>34</v>
      </c>
      <c r="D51" s="18" t="s">
        <v>2211</v>
      </c>
      <c r="E51" s="18" t="s">
        <v>2185</v>
      </c>
    </row>
    <row r="52" spans="1:5">
      <c r="A52" s="18" t="s">
        <v>18</v>
      </c>
      <c r="B52" s="18" t="s">
        <v>872</v>
      </c>
      <c r="C52" s="18" t="s">
        <v>872</v>
      </c>
      <c r="D52" s="18" t="s">
        <v>2211</v>
      </c>
      <c r="E52" s="18" t="s">
        <v>2185</v>
      </c>
    </row>
    <row r="53" spans="1:5">
      <c r="A53" s="18" t="s">
        <v>18</v>
      </c>
      <c r="B53" s="18" t="s">
        <v>768</v>
      </c>
      <c r="C53" s="18" t="s">
        <v>768</v>
      </c>
      <c r="D53" s="18" t="s">
        <v>2211</v>
      </c>
      <c r="E53" s="18" t="s">
        <v>2185</v>
      </c>
    </row>
    <row r="54" spans="1:5">
      <c r="A54" s="18" t="s">
        <v>18</v>
      </c>
      <c r="B54" s="18" t="s">
        <v>873</v>
      </c>
      <c r="C54" s="18" t="s">
        <v>873</v>
      </c>
      <c r="D54" s="18" t="s">
        <v>2211</v>
      </c>
      <c r="E54" s="18" t="s">
        <v>2185</v>
      </c>
    </row>
    <row r="55" spans="1:5">
      <c r="A55" s="18" t="s">
        <v>18</v>
      </c>
      <c r="B55" s="18" t="s">
        <v>874</v>
      </c>
      <c r="C55" s="18" t="s">
        <v>874</v>
      </c>
      <c r="D55" s="18" t="s">
        <v>2211</v>
      </c>
      <c r="E55" s="18" t="s">
        <v>2185</v>
      </c>
    </row>
    <row r="56" spans="1:5">
      <c r="A56" s="18" t="s">
        <v>18</v>
      </c>
      <c r="B56" s="18" t="s">
        <v>764</v>
      </c>
      <c r="C56" s="18" t="s">
        <v>2206</v>
      </c>
      <c r="D56" s="18" t="s">
        <v>2211</v>
      </c>
      <c r="E56" s="18" t="s">
        <v>2185</v>
      </c>
    </row>
    <row r="57" spans="1:5">
      <c r="A57" s="18" t="s">
        <v>18</v>
      </c>
      <c r="B57" s="18" t="s">
        <v>765</v>
      </c>
      <c r="C57" s="18" t="s">
        <v>2207</v>
      </c>
      <c r="D57" s="18" t="s">
        <v>2211</v>
      </c>
      <c r="E57" s="18" t="s">
        <v>2185</v>
      </c>
    </row>
    <row r="58" spans="1:5">
      <c r="A58" s="18" t="s">
        <v>18</v>
      </c>
      <c r="B58" s="18" t="s">
        <v>875</v>
      </c>
      <c r="C58" s="18" t="s">
        <v>2212</v>
      </c>
      <c r="D58" s="18" t="s">
        <v>2211</v>
      </c>
      <c r="E58" s="18" t="s">
        <v>2185</v>
      </c>
    </row>
    <row r="59" spans="1:5">
      <c r="A59" s="18" t="s">
        <v>18</v>
      </c>
      <c r="B59" s="18" t="s">
        <v>876</v>
      </c>
      <c r="C59" s="18" t="s">
        <v>876</v>
      </c>
      <c r="D59" s="18" t="s">
        <v>2211</v>
      </c>
      <c r="E59" s="18" t="s">
        <v>2185</v>
      </c>
    </row>
    <row r="60" spans="1:5">
      <c r="A60" s="18" t="s">
        <v>19</v>
      </c>
      <c r="B60" s="18" t="s">
        <v>943</v>
      </c>
      <c r="C60" s="18" t="s">
        <v>2213</v>
      </c>
      <c r="D60" s="18" t="s">
        <v>2214</v>
      </c>
      <c r="E60" s="18" t="s">
        <v>2185</v>
      </c>
    </row>
    <row r="61" spans="1:5">
      <c r="A61" s="18" t="s">
        <v>19</v>
      </c>
      <c r="B61" s="18" t="s">
        <v>66</v>
      </c>
      <c r="C61" s="18" t="s">
        <v>34</v>
      </c>
      <c r="D61" s="18" t="s">
        <v>2214</v>
      </c>
      <c r="E61" s="18" t="s">
        <v>2185</v>
      </c>
    </row>
    <row r="62" spans="1:5">
      <c r="A62" s="18" t="s">
        <v>19</v>
      </c>
      <c r="B62" s="18" t="s">
        <v>55</v>
      </c>
      <c r="C62" s="18" t="s">
        <v>55</v>
      </c>
      <c r="D62" s="18" t="s">
        <v>2214</v>
      </c>
      <c r="E62" s="18" t="s">
        <v>2185</v>
      </c>
    </row>
    <row r="63" spans="1:5">
      <c r="A63" s="18" t="s">
        <v>19</v>
      </c>
      <c r="B63" s="18" t="s">
        <v>57</v>
      </c>
      <c r="C63" s="18" t="s">
        <v>57</v>
      </c>
      <c r="D63" s="18" t="s">
        <v>2214</v>
      </c>
      <c r="E63" s="18" t="s">
        <v>2185</v>
      </c>
    </row>
    <row r="64" spans="1:5">
      <c r="A64" s="18" t="s">
        <v>19</v>
      </c>
      <c r="B64" s="18" t="s">
        <v>944</v>
      </c>
      <c r="C64" s="18" t="s">
        <v>944</v>
      </c>
      <c r="D64" s="18" t="s">
        <v>2214</v>
      </c>
      <c r="E64" s="18" t="s">
        <v>2185</v>
      </c>
    </row>
    <row r="65" spans="1:5">
      <c r="A65" s="18" t="s">
        <v>19</v>
      </c>
      <c r="B65" s="18" t="s">
        <v>59</v>
      </c>
      <c r="C65" s="18" t="s">
        <v>59</v>
      </c>
      <c r="D65" s="18" t="s">
        <v>2214</v>
      </c>
      <c r="E65" s="18" t="s">
        <v>2185</v>
      </c>
    </row>
    <row r="66" spans="1:5">
      <c r="A66" s="18" t="s">
        <v>19</v>
      </c>
      <c r="B66" s="18" t="s">
        <v>945</v>
      </c>
      <c r="C66" s="18" t="s">
        <v>2215</v>
      </c>
      <c r="D66" s="18" t="s">
        <v>2214</v>
      </c>
      <c r="E66" s="18" t="s">
        <v>2185</v>
      </c>
    </row>
    <row r="67" spans="1:5">
      <c r="A67" s="18" t="s">
        <v>19</v>
      </c>
      <c r="B67" s="18" t="s">
        <v>58</v>
      </c>
      <c r="C67" s="18" t="s">
        <v>58</v>
      </c>
      <c r="D67" s="18" t="s">
        <v>2214</v>
      </c>
      <c r="E67" s="18" t="s">
        <v>2185</v>
      </c>
    </row>
    <row r="68" spans="1:5">
      <c r="A68" s="18" t="s">
        <v>19</v>
      </c>
      <c r="B68" s="18" t="s">
        <v>946</v>
      </c>
      <c r="C68" s="18" t="s">
        <v>946</v>
      </c>
      <c r="D68" s="18" t="s">
        <v>2214</v>
      </c>
      <c r="E68" s="18" t="s">
        <v>2185</v>
      </c>
    </row>
    <row r="69" spans="1:5">
      <c r="A69" s="18" t="s">
        <v>19</v>
      </c>
      <c r="B69" s="18" t="s">
        <v>947</v>
      </c>
      <c r="C69" s="18" t="s">
        <v>2216</v>
      </c>
      <c r="D69" s="18" t="s">
        <v>2214</v>
      </c>
      <c r="E69" s="18" t="s">
        <v>2185</v>
      </c>
    </row>
    <row r="70" spans="1:5">
      <c r="A70" s="18" t="s">
        <v>19</v>
      </c>
      <c r="B70" s="18" t="s">
        <v>948</v>
      </c>
      <c r="C70" s="18" t="s">
        <v>948</v>
      </c>
      <c r="D70" s="18" t="s">
        <v>2214</v>
      </c>
      <c r="E70" s="18" t="s">
        <v>2185</v>
      </c>
    </row>
    <row r="71" spans="1:5">
      <c r="A71" s="18" t="s">
        <v>19</v>
      </c>
      <c r="B71" s="18" t="s">
        <v>949</v>
      </c>
      <c r="C71" s="18" t="s">
        <v>949</v>
      </c>
      <c r="D71" s="18" t="s">
        <v>2214</v>
      </c>
      <c r="E71" s="18" t="s">
        <v>2185</v>
      </c>
    </row>
    <row r="72" spans="1:5">
      <c r="A72" s="18" t="s">
        <v>20</v>
      </c>
      <c r="B72" s="18" t="s">
        <v>1071</v>
      </c>
      <c r="C72" s="18" t="s">
        <v>2217</v>
      </c>
      <c r="D72" s="18" t="s">
        <v>2218</v>
      </c>
      <c r="E72" s="18" t="s">
        <v>2185</v>
      </c>
    </row>
    <row r="73" spans="1:5">
      <c r="A73" s="18" t="s">
        <v>20</v>
      </c>
      <c r="B73" s="18" t="s">
        <v>66</v>
      </c>
      <c r="C73" s="18" t="s">
        <v>34</v>
      </c>
      <c r="D73" s="18" t="s">
        <v>2218</v>
      </c>
      <c r="E73" s="18" t="s">
        <v>2185</v>
      </c>
    </row>
    <row r="74" spans="1:5">
      <c r="A74" s="18" t="s">
        <v>20</v>
      </c>
      <c r="B74" s="18" t="s">
        <v>1072</v>
      </c>
      <c r="C74" s="18" t="s">
        <v>2219</v>
      </c>
      <c r="D74" s="18" t="s">
        <v>2218</v>
      </c>
      <c r="E74" s="18" t="s">
        <v>2185</v>
      </c>
    </row>
    <row r="75" spans="1:5">
      <c r="A75" s="18" t="s">
        <v>20</v>
      </c>
      <c r="B75" s="18" t="s">
        <v>1073</v>
      </c>
      <c r="C75" s="18" t="s">
        <v>2220</v>
      </c>
      <c r="D75" s="18" t="s">
        <v>2218</v>
      </c>
      <c r="E75" s="18" t="s">
        <v>2185</v>
      </c>
    </row>
    <row r="76" spans="1:5">
      <c r="A76" s="18" t="s">
        <v>20</v>
      </c>
      <c r="B76" s="18" t="s">
        <v>1074</v>
      </c>
      <c r="C76" s="18" t="s">
        <v>2221</v>
      </c>
      <c r="D76" s="18" t="s">
        <v>2218</v>
      </c>
      <c r="E76" s="18" t="s">
        <v>2185</v>
      </c>
    </row>
    <row r="77" spans="1:5">
      <c r="A77" s="18" t="s">
        <v>20</v>
      </c>
      <c r="B77" s="18" t="s">
        <v>1075</v>
      </c>
      <c r="C77" s="18" t="s">
        <v>2222</v>
      </c>
      <c r="D77" s="18" t="s">
        <v>2218</v>
      </c>
      <c r="E77" s="18" t="s">
        <v>2185</v>
      </c>
    </row>
    <row r="78" spans="1:5">
      <c r="A78" s="18" t="s">
        <v>20</v>
      </c>
      <c r="B78" s="18" t="s">
        <v>1076</v>
      </c>
      <c r="C78" s="18" t="s">
        <v>2223</v>
      </c>
      <c r="D78" s="18" t="s">
        <v>2218</v>
      </c>
      <c r="E78" s="18" t="s">
        <v>2185</v>
      </c>
    </row>
    <row r="79" spans="1:5">
      <c r="A79" s="18" t="s">
        <v>20</v>
      </c>
      <c r="B79" s="18" t="s">
        <v>1077</v>
      </c>
      <c r="C79" s="18" t="s">
        <v>2224</v>
      </c>
      <c r="D79" s="18" t="s">
        <v>2218</v>
      </c>
      <c r="E79" s="18" t="s">
        <v>2185</v>
      </c>
    </row>
    <row r="80" spans="1:5">
      <c r="A80" s="18" t="s">
        <v>20</v>
      </c>
      <c r="B80" s="18" t="s">
        <v>1078</v>
      </c>
      <c r="C80" s="18" t="s">
        <v>2225</v>
      </c>
      <c r="D80" s="18" t="s">
        <v>2218</v>
      </c>
      <c r="E80" s="18" t="s">
        <v>2185</v>
      </c>
    </row>
    <row r="81" spans="1:5">
      <c r="A81" s="18" t="s">
        <v>20</v>
      </c>
      <c r="B81" s="18" t="s">
        <v>79</v>
      </c>
      <c r="C81" s="18" t="s">
        <v>2195</v>
      </c>
      <c r="D81" s="18" t="s">
        <v>2218</v>
      </c>
      <c r="E81" s="18" t="s">
        <v>2185</v>
      </c>
    </row>
    <row r="82" spans="1:5">
      <c r="A82" s="18" t="s">
        <v>20</v>
      </c>
      <c r="B82" s="18" t="s">
        <v>78</v>
      </c>
      <c r="C82" s="18" t="s">
        <v>2194</v>
      </c>
      <c r="D82" s="18" t="s">
        <v>2218</v>
      </c>
      <c r="E82" s="18" t="s">
        <v>2185</v>
      </c>
    </row>
    <row r="83" spans="1:5">
      <c r="A83" s="18" t="s">
        <v>20</v>
      </c>
      <c r="B83" s="18" t="s">
        <v>80</v>
      </c>
      <c r="C83" s="18" t="s">
        <v>80</v>
      </c>
      <c r="D83" s="18" t="s">
        <v>2218</v>
      </c>
      <c r="E83" s="18" t="s">
        <v>2185</v>
      </c>
    </row>
    <row r="84" spans="1:5">
      <c r="A84" s="18" t="s">
        <v>20</v>
      </c>
      <c r="B84" s="18" t="s">
        <v>1079</v>
      </c>
      <c r="C84" s="18" t="s">
        <v>2226</v>
      </c>
      <c r="D84" s="18" t="s">
        <v>2218</v>
      </c>
      <c r="E84" s="18" t="s">
        <v>2185</v>
      </c>
    </row>
    <row r="85" spans="1:5">
      <c r="A85" s="18" t="s">
        <v>20</v>
      </c>
      <c r="B85" s="18" t="s">
        <v>1080</v>
      </c>
      <c r="C85" s="18" t="s">
        <v>1080</v>
      </c>
      <c r="D85" s="18" t="s">
        <v>2218</v>
      </c>
      <c r="E85" s="18" t="s">
        <v>2185</v>
      </c>
    </row>
    <row r="86" spans="1:5">
      <c r="A86" s="18" t="s">
        <v>21</v>
      </c>
      <c r="B86" s="18" t="s">
        <v>1232</v>
      </c>
      <c r="C86" s="18" t="s">
        <v>2227</v>
      </c>
      <c r="D86" s="18" t="s">
        <v>2228</v>
      </c>
      <c r="E86" s="18" t="s">
        <v>2185</v>
      </c>
    </row>
    <row r="87" spans="1:5">
      <c r="A87" s="18" t="s">
        <v>21</v>
      </c>
      <c r="B87" s="18" t="s">
        <v>66</v>
      </c>
      <c r="C87" s="18" t="s">
        <v>34</v>
      </c>
      <c r="D87" s="18" t="s">
        <v>2228</v>
      </c>
      <c r="E87" s="18" t="s">
        <v>2185</v>
      </c>
    </row>
    <row r="88" spans="1:5">
      <c r="A88" s="18" t="s">
        <v>21</v>
      </c>
      <c r="B88" s="18" t="s">
        <v>1233</v>
      </c>
      <c r="C88" s="18" t="s">
        <v>2229</v>
      </c>
      <c r="D88" s="18" t="s">
        <v>2228</v>
      </c>
      <c r="E88" s="18" t="s">
        <v>2185</v>
      </c>
    </row>
    <row r="89" spans="1:5">
      <c r="A89" s="18" t="s">
        <v>21</v>
      </c>
      <c r="B89" s="18" t="s">
        <v>1234</v>
      </c>
      <c r="C89" s="18" t="s">
        <v>2230</v>
      </c>
      <c r="D89" s="18" t="s">
        <v>2228</v>
      </c>
      <c r="E89" s="18" t="s">
        <v>2185</v>
      </c>
    </row>
    <row r="90" spans="1:5">
      <c r="A90" s="18" t="s">
        <v>21</v>
      </c>
      <c r="B90" s="18" t="s">
        <v>1235</v>
      </c>
      <c r="C90" s="18" t="s">
        <v>2231</v>
      </c>
      <c r="D90" s="18" t="s">
        <v>2228</v>
      </c>
      <c r="E90" s="18" t="s">
        <v>2185</v>
      </c>
    </row>
    <row r="91" spans="1:5">
      <c r="A91" s="18" t="s">
        <v>21</v>
      </c>
      <c r="B91" s="18" t="s">
        <v>64</v>
      </c>
      <c r="C91" s="18" t="s">
        <v>64</v>
      </c>
      <c r="D91" s="18" t="s">
        <v>2228</v>
      </c>
      <c r="E91" s="18" t="s">
        <v>2185</v>
      </c>
    </row>
    <row r="92" spans="1:5">
      <c r="A92" s="18" t="s">
        <v>21</v>
      </c>
      <c r="B92" s="18" t="s">
        <v>1236</v>
      </c>
      <c r="C92" s="18" t="s">
        <v>1236</v>
      </c>
      <c r="D92" s="18" t="s">
        <v>2228</v>
      </c>
      <c r="E92" s="18" t="s">
        <v>2185</v>
      </c>
    </row>
    <row r="93" spans="1:5">
      <c r="A93" s="18" t="s">
        <v>21</v>
      </c>
      <c r="B93" s="18" t="s">
        <v>1237</v>
      </c>
      <c r="C93" s="18" t="s">
        <v>2232</v>
      </c>
      <c r="D93" s="18" t="s">
        <v>2228</v>
      </c>
      <c r="E93" s="18" t="s">
        <v>2185</v>
      </c>
    </row>
    <row r="94" spans="1:5">
      <c r="A94" s="18" t="s">
        <v>21</v>
      </c>
      <c r="B94" s="18" t="s">
        <v>65</v>
      </c>
      <c r="C94" s="18" t="s">
        <v>65</v>
      </c>
      <c r="D94" s="18" t="s">
        <v>2228</v>
      </c>
      <c r="E94" s="18" t="s">
        <v>2185</v>
      </c>
    </row>
    <row r="95" spans="1:5">
      <c r="A95" s="18" t="s">
        <v>21</v>
      </c>
      <c r="B95" s="18" t="s">
        <v>58</v>
      </c>
      <c r="C95" s="18" t="s">
        <v>58</v>
      </c>
      <c r="D95" s="18" t="s">
        <v>2228</v>
      </c>
      <c r="E95" s="18" t="s">
        <v>2185</v>
      </c>
    </row>
    <row r="96" spans="1:5">
      <c r="A96" s="18" t="s">
        <v>21</v>
      </c>
      <c r="B96" s="18" t="s">
        <v>1238</v>
      </c>
      <c r="C96" s="18" t="s">
        <v>2233</v>
      </c>
      <c r="D96" s="18" t="s">
        <v>2228</v>
      </c>
      <c r="E96" s="18" t="s">
        <v>2185</v>
      </c>
    </row>
    <row r="97" spans="1:5">
      <c r="A97" s="18" t="s">
        <v>21</v>
      </c>
      <c r="B97" s="18" t="s">
        <v>1239</v>
      </c>
      <c r="C97" s="18" t="s">
        <v>2234</v>
      </c>
      <c r="D97" s="18" t="s">
        <v>2228</v>
      </c>
      <c r="E97" s="18" t="s">
        <v>2185</v>
      </c>
    </row>
    <row r="98" spans="1:5">
      <c r="A98" s="18" t="s">
        <v>22</v>
      </c>
      <c r="B98" s="18" t="s">
        <v>1513</v>
      </c>
      <c r="C98" s="18" t="s">
        <v>2235</v>
      </c>
      <c r="D98" s="18" t="s">
        <v>2236</v>
      </c>
      <c r="E98" s="18" t="s">
        <v>2185</v>
      </c>
    </row>
    <row r="99" spans="1:5">
      <c r="A99" s="18" t="s">
        <v>22</v>
      </c>
      <c r="B99" s="18" t="s">
        <v>66</v>
      </c>
      <c r="C99" s="18" t="s">
        <v>34</v>
      </c>
      <c r="D99" s="18" t="s">
        <v>2236</v>
      </c>
      <c r="E99" s="18" t="s">
        <v>2185</v>
      </c>
    </row>
    <row r="100" spans="1:5">
      <c r="A100" s="18" t="s">
        <v>22</v>
      </c>
      <c r="B100" s="18" t="s">
        <v>563</v>
      </c>
      <c r="C100" s="18" t="s">
        <v>2197</v>
      </c>
      <c r="D100" s="18" t="s">
        <v>2236</v>
      </c>
      <c r="E100" s="18" t="s">
        <v>2185</v>
      </c>
    </row>
    <row r="101" spans="1:5">
      <c r="A101" s="18" t="s">
        <v>22</v>
      </c>
      <c r="B101" s="18" t="s">
        <v>1514</v>
      </c>
      <c r="C101" s="18" t="s">
        <v>2237</v>
      </c>
      <c r="D101" s="18" t="s">
        <v>2236</v>
      </c>
      <c r="E101" s="18" t="s">
        <v>2185</v>
      </c>
    </row>
    <row r="102" spans="1:5">
      <c r="A102" s="18" t="s">
        <v>22</v>
      </c>
      <c r="B102" s="18" t="s">
        <v>1515</v>
      </c>
      <c r="C102" s="18" t="s">
        <v>2238</v>
      </c>
      <c r="D102" s="18" t="s">
        <v>2236</v>
      </c>
      <c r="E102" s="18" t="s">
        <v>2185</v>
      </c>
    </row>
    <row r="103" spans="1:5">
      <c r="A103" s="18" t="s">
        <v>22</v>
      </c>
      <c r="B103" s="18" t="s">
        <v>1516</v>
      </c>
      <c r="C103" s="18" t="s">
        <v>2239</v>
      </c>
      <c r="D103" s="18" t="s">
        <v>2236</v>
      </c>
      <c r="E103" s="18" t="s">
        <v>2185</v>
      </c>
    </row>
    <row r="104" spans="1:5">
      <c r="A104" s="18" t="s">
        <v>22</v>
      </c>
      <c r="B104" s="18" t="s">
        <v>1517</v>
      </c>
      <c r="C104" s="18" t="s">
        <v>2240</v>
      </c>
      <c r="D104" s="18" t="s">
        <v>2236</v>
      </c>
      <c r="E104" s="18" t="s">
        <v>2185</v>
      </c>
    </row>
    <row r="105" spans="1:5">
      <c r="A105" s="18" t="s">
        <v>22</v>
      </c>
      <c r="B105" s="18" t="s">
        <v>58</v>
      </c>
      <c r="C105" s="18" t="s">
        <v>58</v>
      </c>
      <c r="D105" s="18" t="s">
        <v>2236</v>
      </c>
      <c r="E105" s="18" t="s">
        <v>2185</v>
      </c>
    </row>
    <row r="106" spans="1:5">
      <c r="A106" s="18" t="s">
        <v>22</v>
      </c>
      <c r="B106" s="18" t="s">
        <v>1239</v>
      </c>
      <c r="C106" s="18" t="s">
        <v>2234</v>
      </c>
      <c r="D106" s="18" t="s">
        <v>2236</v>
      </c>
      <c r="E106" s="18" t="s">
        <v>2185</v>
      </c>
    </row>
    <row r="107" spans="1:5">
      <c r="A107" s="18" t="s">
        <v>22</v>
      </c>
      <c r="B107" s="18" t="s">
        <v>568</v>
      </c>
      <c r="C107" s="18" t="s">
        <v>568</v>
      </c>
      <c r="D107" s="18" t="s">
        <v>2236</v>
      </c>
      <c r="E107" s="18" t="s">
        <v>2185</v>
      </c>
    </row>
    <row r="108" spans="1:5">
      <c r="A108" s="18" t="s">
        <v>22</v>
      </c>
      <c r="B108" s="18" t="s">
        <v>571</v>
      </c>
      <c r="C108" s="18" t="s">
        <v>571</v>
      </c>
      <c r="D108" s="18" t="s">
        <v>2236</v>
      </c>
      <c r="E108" s="18" t="s">
        <v>2185</v>
      </c>
    </row>
    <row r="109" spans="1:5">
      <c r="A109" s="18" t="s">
        <v>23</v>
      </c>
      <c r="B109" s="18" t="s">
        <v>1577</v>
      </c>
      <c r="C109" s="18" t="s">
        <v>2241</v>
      </c>
      <c r="D109" s="18" t="s">
        <v>2242</v>
      </c>
      <c r="E109" s="18" t="s">
        <v>2185</v>
      </c>
    </row>
    <row r="110" spans="1:5">
      <c r="A110" s="18" t="s">
        <v>23</v>
      </c>
      <c r="B110" s="18" t="s">
        <v>66</v>
      </c>
      <c r="C110" s="18" t="s">
        <v>34</v>
      </c>
      <c r="D110" s="18" t="s">
        <v>2242</v>
      </c>
      <c r="E110" s="18" t="s">
        <v>2185</v>
      </c>
    </row>
    <row r="111" spans="1:5">
      <c r="A111" s="18" t="s">
        <v>23</v>
      </c>
      <c r="B111" s="18" t="s">
        <v>1578</v>
      </c>
      <c r="C111" s="18" t="s">
        <v>1578</v>
      </c>
      <c r="D111" s="18" t="s">
        <v>2242</v>
      </c>
      <c r="E111" s="18" t="s">
        <v>2185</v>
      </c>
    </row>
    <row r="112" spans="1:5">
      <c r="A112" s="18" t="s">
        <v>23</v>
      </c>
      <c r="B112" s="18" t="s">
        <v>1579</v>
      </c>
      <c r="C112" s="18" t="s">
        <v>2243</v>
      </c>
      <c r="D112" s="18" t="s">
        <v>2242</v>
      </c>
      <c r="E112" s="18" t="s">
        <v>2185</v>
      </c>
    </row>
    <row r="113" spans="1:5">
      <c r="A113" s="18" t="s">
        <v>23</v>
      </c>
      <c r="B113" s="18" t="s">
        <v>1580</v>
      </c>
      <c r="C113" s="18" t="s">
        <v>2244</v>
      </c>
      <c r="D113" s="18" t="s">
        <v>2242</v>
      </c>
      <c r="E113" s="18" t="s">
        <v>2185</v>
      </c>
    </row>
    <row r="114" spans="1:5">
      <c r="A114" s="18" t="s">
        <v>23</v>
      </c>
      <c r="B114" s="18" t="s">
        <v>57</v>
      </c>
      <c r="C114" s="18" t="s">
        <v>57</v>
      </c>
      <c r="D114" s="18" t="s">
        <v>2242</v>
      </c>
      <c r="E114" s="18" t="s">
        <v>2185</v>
      </c>
    </row>
    <row r="115" spans="1:5">
      <c r="A115" s="18" t="s">
        <v>23</v>
      </c>
      <c r="B115" s="18" t="s">
        <v>944</v>
      </c>
      <c r="C115" s="18" t="s">
        <v>944</v>
      </c>
      <c r="D115" s="18" t="s">
        <v>2242</v>
      </c>
      <c r="E115" s="18" t="s">
        <v>2185</v>
      </c>
    </row>
    <row r="116" spans="1:5">
      <c r="A116" s="18" t="s">
        <v>23</v>
      </c>
      <c r="B116" s="18" t="s">
        <v>1581</v>
      </c>
      <c r="C116" s="18" t="s">
        <v>1581</v>
      </c>
      <c r="D116" s="18" t="s">
        <v>2242</v>
      </c>
      <c r="E116" s="18" t="s">
        <v>2185</v>
      </c>
    </row>
    <row r="117" spans="1:5">
      <c r="A117" s="18" t="s">
        <v>23</v>
      </c>
      <c r="B117" s="18" t="s">
        <v>1582</v>
      </c>
      <c r="C117" s="18" t="s">
        <v>2245</v>
      </c>
      <c r="D117" s="18" t="s">
        <v>2242</v>
      </c>
      <c r="E117" s="18" t="s">
        <v>2185</v>
      </c>
    </row>
    <row r="118" spans="1:5">
      <c r="A118" s="18" t="s">
        <v>23</v>
      </c>
      <c r="B118" s="18" t="s">
        <v>1583</v>
      </c>
      <c r="C118" s="18" t="s">
        <v>2246</v>
      </c>
      <c r="D118" s="18" t="s">
        <v>2242</v>
      </c>
      <c r="E118" s="18" t="s">
        <v>2185</v>
      </c>
    </row>
    <row r="119" spans="1:5">
      <c r="A119" s="18" t="s">
        <v>24</v>
      </c>
      <c r="B119" s="18" t="s">
        <v>1689</v>
      </c>
      <c r="C119" s="18" t="s">
        <v>2247</v>
      </c>
      <c r="D119" s="18" t="s">
        <v>2248</v>
      </c>
      <c r="E119" s="18" t="s">
        <v>2185</v>
      </c>
    </row>
    <row r="120" spans="1:5">
      <c r="A120" s="18" t="s">
        <v>24</v>
      </c>
      <c r="B120" s="18" t="s">
        <v>66</v>
      </c>
      <c r="C120" s="18" t="s">
        <v>34</v>
      </c>
      <c r="D120" s="18" t="s">
        <v>2248</v>
      </c>
      <c r="E120" s="18" t="s">
        <v>2185</v>
      </c>
    </row>
    <row r="121" spans="1:5">
      <c r="A121" s="18" t="s">
        <v>24</v>
      </c>
      <c r="B121" s="18" t="s">
        <v>564</v>
      </c>
      <c r="C121" s="18" t="s">
        <v>564</v>
      </c>
      <c r="D121" s="18" t="s">
        <v>2248</v>
      </c>
      <c r="E121" s="18" t="s">
        <v>2185</v>
      </c>
    </row>
    <row r="122" spans="1:5">
      <c r="A122" s="18" t="s">
        <v>24</v>
      </c>
      <c r="B122" s="18" t="s">
        <v>1690</v>
      </c>
      <c r="C122" s="18" t="s">
        <v>1690</v>
      </c>
      <c r="D122" s="18" t="s">
        <v>2248</v>
      </c>
      <c r="E122" s="18" t="s">
        <v>2185</v>
      </c>
    </row>
    <row r="123" spans="1:5">
      <c r="A123" s="18" t="s">
        <v>24</v>
      </c>
      <c r="B123" s="18" t="s">
        <v>566</v>
      </c>
      <c r="C123" s="18" t="s">
        <v>566</v>
      </c>
      <c r="D123" s="18" t="s">
        <v>2248</v>
      </c>
      <c r="E123" s="18" t="s">
        <v>2185</v>
      </c>
    </row>
    <row r="124" spans="1:5">
      <c r="A124" s="18" t="s">
        <v>24</v>
      </c>
      <c r="B124" s="18" t="s">
        <v>567</v>
      </c>
      <c r="C124" s="18" t="s">
        <v>567</v>
      </c>
      <c r="D124" s="18" t="s">
        <v>2248</v>
      </c>
      <c r="E124" s="18" t="s">
        <v>2185</v>
      </c>
    </row>
    <row r="125" spans="1:5">
      <c r="A125" s="18" t="s">
        <v>24</v>
      </c>
      <c r="B125" s="18" t="s">
        <v>43</v>
      </c>
      <c r="C125" s="18" t="s">
        <v>43</v>
      </c>
      <c r="D125" s="18" t="s">
        <v>2248</v>
      </c>
      <c r="E125" s="18" t="s">
        <v>2185</v>
      </c>
    </row>
    <row r="126" spans="1:5">
      <c r="A126" s="18" t="s">
        <v>24</v>
      </c>
      <c r="B126" s="18" t="s">
        <v>58</v>
      </c>
      <c r="C126" s="18" t="s">
        <v>58</v>
      </c>
      <c r="D126" s="18" t="s">
        <v>2248</v>
      </c>
      <c r="E126" s="18" t="s">
        <v>2185</v>
      </c>
    </row>
    <row r="127" spans="1:5">
      <c r="A127" s="18" t="s">
        <v>24</v>
      </c>
      <c r="B127" s="18" t="s">
        <v>63</v>
      </c>
      <c r="C127" s="18" t="s">
        <v>63</v>
      </c>
      <c r="D127" s="18" t="s">
        <v>2248</v>
      </c>
      <c r="E127" s="18" t="s">
        <v>2185</v>
      </c>
    </row>
    <row r="128" spans="1:5">
      <c r="A128" s="18" t="s">
        <v>24</v>
      </c>
      <c r="B128" s="18" t="s">
        <v>1691</v>
      </c>
      <c r="C128" s="18" t="s">
        <v>2249</v>
      </c>
      <c r="D128" s="18" t="s">
        <v>2248</v>
      </c>
      <c r="E128" s="18" t="s">
        <v>2185</v>
      </c>
    </row>
    <row r="129" spans="1:5">
      <c r="A129" s="18" t="s">
        <v>25</v>
      </c>
      <c r="B129" s="18" t="s">
        <v>1754</v>
      </c>
      <c r="C129" s="18" t="s">
        <v>2250</v>
      </c>
      <c r="D129" s="18" t="s">
        <v>2251</v>
      </c>
      <c r="E129" s="18" t="s">
        <v>2185</v>
      </c>
    </row>
    <row r="130" spans="1:5">
      <c r="A130" s="18" t="s">
        <v>25</v>
      </c>
      <c r="B130" s="18" t="s">
        <v>66</v>
      </c>
      <c r="C130" s="18" t="s">
        <v>34</v>
      </c>
      <c r="D130" s="18" t="s">
        <v>2251</v>
      </c>
      <c r="E130" s="18" t="s">
        <v>2185</v>
      </c>
    </row>
    <row r="131" spans="1:5">
      <c r="A131" s="18" t="s">
        <v>25</v>
      </c>
      <c r="B131" s="18" t="s">
        <v>563</v>
      </c>
      <c r="C131" s="18" t="s">
        <v>2197</v>
      </c>
      <c r="D131" s="18" t="s">
        <v>2251</v>
      </c>
      <c r="E131" s="18" t="s">
        <v>2185</v>
      </c>
    </row>
    <row r="132" spans="1:5">
      <c r="A132" s="18" t="s">
        <v>25</v>
      </c>
      <c r="B132" s="18" t="s">
        <v>1755</v>
      </c>
      <c r="C132" s="18" t="s">
        <v>2252</v>
      </c>
      <c r="D132" s="18" t="s">
        <v>2251</v>
      </c>
      <c r="E132" s="18" t="s">
        <v>2185</v>
      </c>
    </row>
    <row r="133" spans="1:5">
      <c r="A133" s="18" t="s">
        <v>25</v>
      </c>
      <c r="B133" s="18" t="s">
        <v>1756</v>
      </c>
      <c r="C133" s="18" t="s">
        <v>2253</v>
      </c>
      <c r="D133" s="18" t="s">
        <v>2251</v>
      </c>
      <c r="E133" s="18" t="s">
        <v>2185</v>
      </c>
    </row>
    <row r="134" spans="1:5">
      <c r="A134" s="18" t="s">
        <v>25</v>
      </c>
      <c r="B134" s="18" t="s">
        <v>1757</v>
      </c>
      <c r="C134" s="18" t="s">
        <v>1757</v>
      </c>
      <c r="D134" s="18" t="s">
        <v>2251</v>
      </c>
      <c r="E134" s="18" t="s">
        <v>2185</v>
      </c>
    </row>
    <row r="135" spans="1:5">
      <c r="A135" s="18" t="s">
        <v>25</v>
      </c>
      <c r="B135" s="18" t="s">
        <v>1758</v>
      </c>
      <c r="C135" s="18" t="s">
        <v>2254</v>
      </c>
      <c r="D135" s="18" t="s">
        <v>2251</v>
      </c>
      <c r="E135" s="18" t="s">
        <v>2185</v>
      </c>
    </row>
    <row r="136" spans="1:5">
      <c r="A136" s="18" t="s">
        <v>25</v>
      </c>
      <c r="B136" s="18" t="s">
        <v>58</v>
      </c>
      <c r="C136" s="18" t="s">
        <v>58</v>
      </c>
      <c r="D136" s="18" t="s">
        <v>2251</v>
      </c>
      <c r="E136" s="18" t="s">
        <v>2185</v>
      </c>
    </row>
    <row r="137" spans="1:5">
      <c r="A137" s="18" t="s">
        <v>25</v>
      </c>
      <c r="B137" s="18" t="s">
        <v>1759</v>
      </c>
      <c r="C137" s="18" t="s">
        <v>2255</v>
      </c>
      <c r="D137" s="18" t="s">
        <v>2251</v>
      </c>
      <c r="E137" s="18" t="s">
        <v>2185</v>
      </c>
    </row>
    <row r="138" spans="1:5">
      <c r="A138" s="18" t="s">
        <v>26</v>
      </c>
      <c r="B138" s="18" t="s">
        <v>1823</v>
      </c>
      <c r="C138" s="18" t="s">
        <v>2256</v>
      </c>
      <c r="D138" s="18" t="s">
        <v>2257</v>
      </c>
      <c r="E138" s="18" t="s">
        <v>2185</v>
      </c>
    </row>
    <row r="139" spans="1:5">
      <c r="A139" s="18" t="s">
        <v>26</v>
      </c>
      <c r="B139" s="18" t="s">
        <v>66</v>
      </c>
      <c r="C139" s="18" t="s">
        <v>34</v>
      </c>
      <c r="D139" s="18" t="s">
        <v>2257</v>
      </c>
      <c r="E139" s="18" t="s">
        <v>2185</v>
      </c>
    </row>
    <row r="140" spans="1:5">
      <c r="A140" s="18" t="s">
        <v>26</v>
      </c>
      <c r="B140" s="18" t="s">
        <v>571</v>
      </c>
      <c r="C140" s="18" t="s">
        <v>571</v>
      </c>
      <c r="D140" s="18" t="s">
        <v>2257</v>
      </c>
      <c r="E140" s="18" t="s">
        <v>2185</v>
      </c>
    </row>
    <row r="141" spans="1:5">
      <c r="A141" s="18" t="s">
        <v>26</v>
      </c>
      <c r="B141" s="18" t="s">
        <v>1824</v>
      </c>
      <c r="C141" s="18" t="s">
        <v>2258</v>
      </c>
      <c r="D141" s="18" t="s">
        <v>2257</v>
      </c>
      <c r="E141" s="18" t="s">
        <v>2185</v>
      </c>
    </row>
    <row r="142" spans="1:5">
      <c r="A142" s="18" t="s">
        <v>26</v>
      </c>
      <c r="B142" s="18" t="s">
        <v>1825</v>
      </c>
      <c r="C142" s="18" t="s">
        <v>2259</v>
      </c>
      <c r="D142" s="18" t="s">
        <v>2257</v>
      </c>
      <c r="E142" s="18" t="s">
        <v>2185</v>
      </c>
    </row>
    <row r="143" spans="1:5">
      <c r="A143" s="18" t="s">
        <v>26</v>
      </c>
      <c r="B143" s="18" t="s">
        <v>1826</v>
      </c>
      <c r="C143" s="18" t="s">
        <v>2260</v>
      </c>
      <c r="D143" s="18" t="s">
        <v>2257</v>
      </c>
      <c r="E143" s="18" t="s">
        <v>2185</v>
      </c>
    </row>
    <row r="144" spans="1:5">
      <c r="A144" s="18" t="s">
        <v>26</v>
      </c>
      <c r="B144" s="18" t="s">
        <v>1827</v>
      </c>
      <c r="C144" s="18" t="s">
        <v>2261</v>
      </c>
      <c r="D144" s="18" t="s">
        <v>2257</v>
      </c>
      <c r="E144" s="18" t="s">
        <v>2185</v>
      </c>
    </row>
    <row r="145" spans="1:5">
      <c r="A145" s="18" t="s">
        <v>26</v>
      </c>
      <c r="B145" s="18" t="s">
        <v>1828</v>
      </c>
      <c r="C145" s="18" t="s">
        <v>2262</v>
      </c>
      <c r="D145" s="18" t="s">
        <v>2257</v>
      </c>
      <c r="E145" s="18" t="s">
        <v>2185</v>
      </c>
    </row>
    <row r="146" spans="1:5">
      <c r="A146" s="18" t="s">
        <v>26</v>
      </c>
      <c r="B146" s="18" t="s">
        <v>1829</v>
      </c>
      <c r="C146" s="18" t="s">
        <v>2263</v>
      </c>
      <c r="D146" s="18" t="s">
        <v>2257</v>
      </c>
      <c r="E146" s="18" t="s">
        <v>2185</v>
      </c>
    </row>
    <row r="147" spans="1:5">
      <c r="A147" s="18" t="s">
        <v>26</v>
      </c>
      <c r="B147" s="18" t="s">
        <v>58</v>
      </c>
      <c r="C147" s="18" t="s">
        <v>58</v>
      </c>
      <c r="D147" s="18" t="s">
        <v>2257</v>
      </c>
      <c r="E147" s="18" t="s">
        <v>2185</v>
      </c>
    </row>
    <row r="148" spans="1:5">
      <c r="A148" s="18" t="s">
        <v>26</v>
      </c>
      <c r="B148" s="18" t="s">
        <v>1830</v>
      </c>
      <c r="C148" s="18" t="s">
        <v>2264</v>
      </c>
      <c r="D148" s="18" t="s">
        <v>2257</v>
      </c>
      <c r="E148" s="18" t="s">
        <v>2185</v>
      </c>
    </row>
    <row r="149" spans="1:5">
      <c r="A149" s="18" t="s">
        <v>26</v>
      </c>
      <c r="B149" s="18" t="s">
        <v>1831</v>
      </c>
      <c r="C149" s="18" t="s">
        <v>2265</v>
      </c>
      <c r="D149" s="18" t="s">
        <v>2257</v>
      </c>
      <c r="E149" s="18" t="s">
        <v>2185</v>
      </c>
    </row>
    <row r="150" spans="1:5">
      <c r="A150" s="18" t="s">
        <v>26</v>
      </c>
      <c r="B150" s="18" t="s">
        <v>1832</v>
      </c>
      <c r="C150" s="18" t="s">
        <v>2266</v>
      </c>
      <c r="D150" s="18" t="s">
        <v>2257</v>
      </c>
      <c r="E150" s="18" t="s">
        <v>2185</v>
      </c>
    </row>
    <row r="151" spans="1:5">
      <c r="A151" s="18" t="s">
        <v>26</v>
      </c>
      <c r="B151" s="18" t="s">
        <v>1833</v>
      </c>
      <c r="C151" s="18" t="s">
        <v>2267</v>
      </c>
      <c r="D151" s="18" t="s">
        <v>2257</v>
      </c>
      <c r="E151" s="18" t="s">
        <v>2185</v>
      </c>
    </row>
    <row r="152" spans="1:5">
      <c r="A152" s="18" t="s">
        <v>27</v>
      </c>
      <c r="B152" s="18" t="s">
        <v>1959</v>
      </c>
      <c r="C152" s="18" t="s">
        <v>2268</v>
      </c>
      <c r="D152" s="18" t="s">
        <v>2269</v>
      </c>
      <c r="E152" s="18" t="s">
        <v>2185</v>
      </c>
    </row>
    <row r="153" spans="1:5">
      <c r="A153" s="18" t="s">
        <v>27</v>
      </c>
      <c r="B153" s="18" t="s">
        <v>66</v>
      </c>
      <c r="C153" s="18" t="s">
        <v>34</v>
      </c>
      <c r="D153" s="18" t="s">
        <v>2269</v>
      </c>
      <c r="E153" s="18" t="s">
        <v>2185</v>
      </c>
    </row>
    <row r="154" spans="1:5">
      <c r="A154" s="18" t="s">
        <v>27</v>
      </c>
      <c r="B154" s="18" t="s">
        <v>563</v>
      </c>
      <c r="C154" s="18" t="s">
        <v>2197</v>
      </c>
      <c r="D154" s="18" t="s">
        <v>2269</v>
      </c>
      <c r="E154" s="18" t="s">
        <v>2185</v>
      </c>
    </row>
    <row r="155" spans="1:5">
      <c r="A155" s="18" t="s">
        <v>27</v>
      </c>
      <c r="B155" s="18" t="s">
        <v>1756</v>
      </c>
      <c r="C155" s="18" t="s">
        <v>2253</v>
      </c>
      <c r="D155" s="18" t="s">
        <v>2269</v>
      </c>
      <c r="E155" s="18" t="s">
        <v>2185</v>
      </c>
    </row>
    <row r="156" spans="1:5">
      <c r="A156" s="18" t="s">
        <v>27</v>
      </c>
      <c r="B156" s="18" t="s">
        <v>1516</v>
      </c>
      <c r="C156" s="18" t="s">
        <v>2239</v>
      </c>
      <c r="D156" s="18" t="s">
        <v>2269</v>
      </c>
      <c r="E156" s="18" t="s">
        <v>2185</v>
      </c>
    </row>
    <row r="157" spans="1:5">
      <c r="A157" s="18" t="s">
        <v>27</v>
      </c>
      <c r="B157" s="18" t="s">
        <v>1960</v>
      </c>
      <c r="C157" s="18" t="s">
        <v>1960</v>
      </c>
      <c r="D157" s="18" t="s">
        <v>2269</v>
      </c>
      <c r="E157" s="18" t="s">
        <v>2185</v>
      </c>
    </row>
    <row r="158" spans="1:5">
      <c r="A158" s="18" t="s">
        <v>27</v>
      </c>
      <c r="B158" s="18" t="s">
        <v>1961</v>
      </c>
      <c r="C158" s="18" t="s">
        <v>1961</v>
      </c>
      <c r="D158" s="18" t="s">
        <v>2269</v>
      </c>
      <c r="E158" s="18" t="s">
        <v>2185</v>
      </c>
    </row>
    <row r="159" spans="1:5">
      <c r="A159" s="18" t="s">
        <v>27</v>
      </c>
      <c r="B159" s="18" t="s">
        <v>1962</v>
      </c>
      <c r="C159" s="18" t="s">
        <v>2270</v>
      </c>
      <c r="D159" s="18" t="s">
        <v>2269</v>
      </c>
      <c r="E159" s="18" t="s">
        <v>2185</v>
      </c>
    </row>
    <row r="160" spans="1:5">
      <c r="A160" s="18" t="s">
        <v>27</v>
      </c>
      <c r="B160" s="18" t="s">
        <v>1963</v>
      </c>
      <c r="C160" s="18" t="s">
        <v>2271</v>
      </c>
      <c r="D160" s="18" t="s">
        <v>2269</v>
      </c>
      <c r="E160" s="18" t="s">
        <v>2185</v>
      </c>
    </row>
    <row r="161" spans="1:5">
      <c r="A161" s="18" t="s">
        <v>27</v>
      </c>
      <c r="B161" s="18" t="s">
        <v>1964</v>
      </c>
      <c r="C161" s="18" t="s">
        <v>2272</v>
      </c>
      <c r="D161" s="18" t="s">
        <v>2269</v>
      </c>
      <c r="E161" s="18" t="s">
        <v>2185</v>
      </c>
    </row>
    <row r="162" spans="1:5">
      <c r="A162" s="18" t="s">
        <v>27</v>
      </c>
      <c r="B162" s="18" t="s">
        <v>1965</v>
      </c>
      <c r="C162" s="18" t="s">
        <v>2273</v>
      </c>
      <c r="D162" s="18" t="s">
        <v>2269</v>
      </c>
      <c r="E162" s="18" t="s">
        <v>2185</v>
      </c>
    </row>
    <row r="163" spans="1:5">
      <c r="A163" s="18" t="s">
        <v>27</v>
      </c>
      <c r="B163" s="18" t="s">
        <v>1966</v>
      </c>
      <c r="C163" s="18" t="s">
        <v>1966</v>
      </c>
      <c r="D163" s="18" t="s">
        <v>2269</v>
      </c>
      <c r="E163" s="18" t="s">
        <v>2185</v>
      </c>
    </row>
    <row r="164" spans="1:5">
      <c r="A164" s="18" t="s">
        <v>27</v>
      </c>
      <c r="B164" s="18" t="s">
        <v>1967</v>
      </c>
      <c r="C164" s="18" t="s">
        <v>2274</v>
      </c>
      <c r="D164" s="18" t="s">
        <v>2269</v>
      </c>
      <c r="E164" s="18" t="s">
        <v>2185</v>
      </c>
    </row>
    <row r="165" spans="1:5">
      <c r="A165" s="18" t="s">
        <v>27</v>
      </c>
      <c r="B165" s="18" t="s">
        <v>1968</v>
      </c>
      <c r="C165" s="18" t="s">
        <v>1968</v>
      </c>
      <c r="D165" s="18" t="s">
        <v>2269</v>
      </c>
      <c r="E165" s="18" t="s">
        <v>2185</v>
      </c>
    </row>
    <row r="166" spans="1:5">
      <c r="A166" s="18" t="s">
        <v>28</v>
      </c>
      <c r="B166" s="18" t="s">
        <v>66</v>
      </c>
      <c r="C166" s="18" t="s">
        <v>34</v>
      </c>
      <c r="D166" s="18" t="s">
        <v>2275</v>
      </c>
      <c r="E166" s="18" t="s">
        <v>2185</v>
      </c>
    </row>
    <row r="167" spans="1:5">
      <c r="A167" s="18" t="s">
        <v>28</v>
      </c>
      <c r="B167" s="18" t="s">
        <v>2024</v>
      </c>
      <c r="C167" s="18" t="s">
        <v>2276</v>
      </c>
      <c r="D167" s="18" t="s">
        <v>2275</v>
      </c>
      <c r="E167" s="18" t="s">
        <v>2185</v>
      </c>
    </row>
    <row r="168" spans="1:5">
      <c r="A168" s="18" t="s">
        <v>28</v>
      </c>
      <c r="B168" s="18" t="s">
        <v>58</v>
      </c>
      <c r="C168" s="18" t="s">
        <v>58</v>
      </c>
      <c r="D168" s="18" t="s">
        <v>2275</v>
      </c>
      <c r="E168" s="18" t="s">
        <v>2185</v>
      </c>
    </row>
    <row r="169" spans="1:5">
      <c r="A169" s="18" t="s">
        <v>28</v>
      </c>
      <c r="B169" s="18" t="s">
        <v>1828</v>
      </c>
      <c r="C169" s="18" t="s">
        <v>2262</v>
      </c>
      <c r="D169" s="18" t="s">
        <v>2275</v>
      </c>
      <c r="E169" s="18" t="s">
        <v>2185</v>
      </c>
    </row>
    <row r="170" spans="1:5">
      <c r="A170" s="18" t="s">
        <v>28</v>
      </c>
      <c r="B170" s="18" t="s">
        <v>2025</v>
      </c>
      <c r="C170" s="18" t="s">
        <v>2277</v>
      </c>
      <c r="D170" s="18" t="s">
        <v>2275</v>
      </c>
      <c r="E170" s="18" t="s">
        <v>2185</v>
      </c>
    </row>
    <row r="171" spans="1:5">
      <c r="A171" s="18" t="s">
        <v>28</v>
      </c>
      <c r="B171" s="18" t="s">
        <v>2026</v>
      </c>
      <c r="C171" s="18" t="s">
        <v>2278</v>
      </c>
      <c r="D171" s="18" t="s">
        <v>2275</v>
      </c>
      <c r="E171" s="18" t="s">
        <v>2185</v>
      </c>
    </row>
    <row r="172" spans="1:5">
      <c r="A172" s="18" t="s">
        <v>28</v>
      </c>
      <c r="B172" s="18" t="s">
        <v>2027</v>
      </c>
      <c r="C172" s="18" t="s">
        <v>2279</v>
      </c>
      <c r="D172" s="18" t="s">
        <v>2275</v>
      </c>
      <c r="E172" s="18" t="s">
        <v>2185</v>
      </c>
    </row>
    <row r="173" spans="1:5">
      <c r="A173" s="18" t="s">
        <v>28</v>
      </c>
      <c r="B173" s="18" t="s">
        <v>2028</v>
      </c>
      <c r="C173" s="18" t="s">
        <v>2280</v>
      </c>
      <c r="D173" s="18" t="s">
        <v>2275</v>
      </c>
      <c r="E173" s="18" t="s">
        <v>2185</v>
      </c>
    </row>
    <row r="174" spans="1:5">
      <c r="A174" s="18" t="s">
        <v>28</v>
      </c>
      <c r="B174" s="18" t="s">
        <v>2029</v>
      </c>
      <c r="C174" s="18" t="s">
        <v>2281</v>
      </c>
      <c r="D174" s="18" t="s">
        <v>2275</v>
      </c>
      <c r="E174" s="18" t="s">
        <v>2185</v>
      </c>
    </row>
    <row r="175" spans="1:5">
      <c r="A175" s="18" t="s">
        <v>28</v>
      </c>
      <c r="B175" s="18" t="s">
        <v>2030</v>
      </c>
      <c r="C175" s="18" t="s">
        <v>2282</v>
      </c>
      <c r="D175" s="18" t="s">
        <v>2275</v>
      </c>
      <c r="E175" s="18" t="s">
        <v>2185</v>
      </c>
    </row>
    <row r="176" spans="1:5">
      <c r="A176" s="18" t="s">
        <v>29</v>
      </c>
      <c r="B176" s="18" t="s">
        <v>2038</v>
      </c>
      <c r="C176" s="18" t="s">
        <v>2283</v>
      </c>
      <c r="D176" s="18" t="s">
        <v>2284</v>
      </c>
      <c r="E176" s="18" t="s">
        <v>2185</v>
      </c>
    </row>
    <row r="177" spans="1:5">
      <c r="A177" s="18" t="s">
        <v>29</v>
      </c>
      <c r="B177" s="18" t="s">
        <v>66</v>
      </c>
      <c r="C177" s="18" t="s">
        <v>34</v>
      </c>
      <c r="D177" s="18" t="s">
        <v>2284</v>
      </c>
      <c r="E177" s="18" t="s">
        <v>2185</v>
      </c>
    </row>
    <row r="178" spans="1:5">
      <c r="A178" s="18" t="s">
        <v>29</v>
      </c>
      <c r="B178" s="18" t="s">
        <v>567</v>
      </c>
      <c r="C178" s="18" t="s">
        <v>567</v>
      </c>
      <c r="D178" s="18" t="s">
        <v>2284</v>
      </c>
      <c r="E178" s="18" t="s">
        <v>2185</v>
      </c>
    </row>
    <row r="179" spans="1:5">
      <c r="A179" s="18" t="s">
        <v>29</v>
      </c>
      <c r="B179" s="18" t="s">
        <v>2039</v>
      </c>
      <c r="C179" s="18" t="s">
        <v>2039</v>
      </c>
      <c r="D179" s="18" t="s">
        <v>2284</v>
      </c>
      <c r="E179" s="18" t="s">
        <v>2185</v>
      </c>
    </row>
    <row r="180" spans="1:5">
      <c r="A180" s="18" t="s">
        <v>29</v>
      </c>
      <c r="B180" s="18" t="s">
        <v>2040</v>
      </c>
      <c r="C180" s="18" t="s">
        <v>2040</v>
      </c>
      <c r="D180" s="18" t="s">
        <v>2284</v>
      </c>
      <c r="E180" s="18" t="s">
        <v>2185</v>
      </c>
    </row>
    <row r="181" spans="1:5">
      <c r="A181" s="18" t="s">
        <v>29</v>
      </c>
      <c r="B181" s="18" t="s">
        <v>58</v>
      </c>
      <c r="C181" s="18" t="s">
        <v>58</v>
      </c>
      <c r="D181" s="18" t="s">
        <v>2284</v>
      </c>
      <c r="E181" s="18" t="s">
        <v>2185</v>
      </c>
    </row>
    <row r="182" spans="1:5">
      <c r="A182" s="18" t="s">
        <v>29</v>
      </c>
      <c r="B182" s="18" t="s">
        <v>945</v>
      </c>
      <c r="C182" s="18" t="s">
        <v>2215</v>
      </c>
      <c r="D182" s="18" t="s">
        <v>2284</v>
      </c>
      <c r="E182" s="18" t="s">
        <v>2185</v>
      </c>
    </row>
    <row r="183" spans="1:5">
      <c r="A183" s="18" t="s">
        <v>29</v>
      </c>
      <c r="B183" s="18" t="s">
        <v>2041</v>
      </c>
      <c r="C183" s="18" t="s">
        <v>2041</v>
      </c>
      <c r="D183" s="18" t="s">
        <v>2284</v>
      </c>
      <c r="E183" s="18" t="s">
        <v>2185</v>
      </c>
    </row>
    <row r="184" spans="1:5">
      <c r="A184" s="18" t="s">
        <v>30</v>
      </c>
      <c r="B184" s="18" t="s">
        <v>66</v>
      </c>
      <c r="C184" s="18" t="s">
        <v>34</v>
      </c>
      <c r="D184" s="18" t="s">
        <v>2285</v>
      </c>
      <c r="E184" s="18" t="s">
        <v>2185</v>
      </c>
    </row>
    <row r="185" spans="1:5">
      <c r="A185" s="18" t="s">
        <v>30</v>
      </c>
      <c r="B185" s="18" t="s">
        <v>2146</v>
      </c>
      <c r="C185" s="18" t="s">
        <v>2286</v>
      </c>
      <c r="D185" s="18" t="s">
        <v>2285</v>
      </c>
      <c r="E185" s="18" t="s">
        <v>2185</v>
      </c>
    </row>
    <row r="186" spans="1:5">
      <c r="A186" s="18" t="s">
        <v>30</v>
      </c>
      <c r="B186" s="18" t="s">
        <v>2147</v>
      </c>
      <c r="C186" s="18" t="s">
        <v>2287</v>
      </c>
      <c r="D186" s="18" t="s">
        <v>2285</v>
      </c>
      <c r="E186" s="18" t="s">
        <v>2185</v>
      </c>
    </row>
    <row r="187" spans="1:5">
      <c r="A187" s="18" t="s">
        <v>30</v>
      </c>
      <c r="B187" s="18" t="s">
        <v>2148</v>
      </c>
      <c r="C187" s="18" t="s">
        <v>2288</v>
      </c>
      <c r="D187" s="18" t="s">
        <v>2285</v>
      </c>
      <c r="E187" s="18" t="s">
        <v>2185</v>
      </c>
    </row>
    <row r="188" spans="1:5">
      <c r="A188" s="18" t="s">
        <v>30</v>
      </c>
      <c r="B188" s="18" t="s">
        <v>2149</v>
      </c>
      <c r="C188" s="18" t="s">
        <v>2289</v>
      </c>
      <c r="D188" s="18" t="s">
        <v>2285</v>
      </c>
      <c r="E188" s="18" t="s">
        <v>2185</v>
      </c>
    </row>
    <row r="189" spans="1:5">
      <c r="A189" s="18" t="s">
        <v>30</v>
      </c>
      <c r="B189" s="18" t="s">
        <v>2150</v>
      </c>
      <c r="C189" s="18" t="s">
        <v>2290</v>
      </c>
      <c r="D189" s="18" t="s">
        <v>2285</v>
      </c>
      <c r="E189" s="18" t="s">
        <v>2185</v>
      </c>
    </row>
    <row r="190" spans="1:5">
      <c r="A190" s="18" t="s">
        <v>30</v>
      </c>
      <c r="B190" s="18" t="s">
        <v>2151</v>
      </c>
      <c r="C190" s="18" t="s">
        <v>2291</v>
      </c>
      <c r="D190" s="18" t="s">
        <v>2285</v>
      </c>
      <c r="E190" s="18" t="s">
        <v>2185</v>
      </c>
    </row>
    <row r="191" spans="1:5">
      <c r="A191" s="18" t="s">
        <v>30</v>
      </c>
      <c r="B191" s="18" t="s">
        <v>2152</v>
      </c>
      <c r="C191" s="18" t="s">
        <v>2292</v>
      </c>
      <c r="D191" s="18" t="s">
        <v>2285</v>
      </c>
      <c r="E191" s="18" t="s">
        <v>2185</v>
      </c>
    </row>
    <row r="192" spans="1:5">
      <c r="A192" s="18" t="s">
        <v>30</v>
      </c>
      <c r="B192" s="18" t="s">
        <v>2153</v>
      </c>
      <c r="C192" s="18" t="s">
        <v>2153</v>
      </c>
      <c r="D192" s="18" t="s">
        <v>2285</v>
      </c>
      <c r="E192" s="18" t="s">
        <v>2185</v>
      </c>
    </row>
    <row r="193" spans="1:5">
      <c r="A193" s="18" t="s">
        <v>30</v>
      </c>
      <c r="B193" s="18" t="s">
        <v>2154</v>
      </c>
      <c r="C193" s="18" t="s">
        <v>2293</v>
      </c>
      <c r="D193" s="18" t="s">
        <v>2285</v>
      </c>
      <c r="E193" s="18" t="s">
        <v>2185</v>
      </c>
    </row>
    <row r="194" spans="1:5">
      <c r="A194" s="18" t="s">
        <v>30</v>
      </c>
      <c r="B194" s="18" t="s">
        <v>2155</v>
      </c>
      <c r="C194" s="18" t="s">
        <v>2294</v>
      </c>
      <c r="D194" s="18" t="s">
        <v>2285</v>
      </c>
      <c r="E194" s="18" t="s">
        <v>2185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AD47"/>
  </sheetPr>
  <dimension ref="A1:C5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55" customWidth="1"/>
    <col min="3" max="3" width="80" customWidth="1"/>
  </cols>
  <sheetData>
    <row r="1" spans="1:3" ht="30" customHeight="1">
      <c r="A1" s="17" t="s">
        <v>2295</v>
      </c>
      <c r="B1" s="17" t="s">
        <v>2296</v>
      </c>
      <c r="C1" s="17" t="s">
        <v>2297</v>
      </c>
    </row>
    <row r="2" spans="1:3">
      <c r="A2" s="18" t="s">
        <v>2298</v>
      </c>
      <c r="B2" s="4" t="s">
        <v>2299</v>
      </c>
      <c r="C2" s="18" t="s">
        <v>2300</v>
      </c>
    </row>
    <row r="3" spans="1:3">
      <c r="A3" s="18" t="s">
        <v>2301</v>
      </c>
      <c r="B3" s="4" t="s">
        <v>2302</v>
      </c>
      <c r="C3" s="18" t="s">
        <v>2303</v>
      </c>
    </row>
    <row r="4" spans="1:3">
      <c r="A4" s="18" t="s">
        <v>2304</v>
      </c>
      <c r="B4" s="4" t="s">
        <v>2305</v>
      </c>
      <c r="C4" s="18" t="s">
        <v>2306</v>
      </c>
    </row>
    <row r="5" spans="1:3">
      <c r="A5" s="18" t="s">
        <v>2307</v>
      </c>
      <c r="B5" s="4" t="s">
        <v>2308</v>
      </c>
      <c r="C5" s="18" t="s">
        <v>2309</v>
      </c>
    </row>
  </sheetData>
  <hyperlinks>
    <hyperlink ref="B2" r:id="rId1" xr:uid="{00000000-0004-0000-1400-000000000000}"/>
    <hyperlink ref="B3" r:id="rId2" xr:uid="{00000000-0004-0000-1400-000001000000}"/>
    <hyperlink ref="B4" r:id="rId3" xr:uid="{00000000-0004-0000-1400-000002000000}"/>
    <hyperlink ref="B5" r:id="rId4" xr:uid="{00000000-0004-0000-1400-000003000000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Harsh Meena</cp:lastModifiedBy>
  <cp:revision/>
  <dcterms:created xsi:type="dcterms:W3CDTF">2026-09-30T09:49:08Z</dcterms:created>
  <dcterms:modified xsi:type="dcterms:W3CDTF">2026-09-30T11:18:23Z</dcterms:modified>
  <cp:category/>
  <cp:contentStatus/>
</cp:coreProperties>
</file>