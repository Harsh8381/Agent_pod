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92F09D3C-CDDA-4FD8-B42F-19DC7C861A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DM Master" sheetId="1" r:id="rId1"/>
    <sheet name="Sample IPD Encounter" sheetId="2" r:id="rId2"/>
    <sheet name="Data Source Map" sheetId="3" r:id="rId3"/>
  </sheets>
  <definedNames>
    <definedName name="_xlnm._FilterDatabase" localSheetId="1" hidden="1">'Sample IPD Encounter'!$A$7:$J$18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H18" i="2"/>
  <c r="H17" i="2"/>
  <c r="H16" i="2"/>
  <c r="H15" i="2"/>
  <c r="H14" i="2"/>
  <c r="H13" i="2"/>
  <c r="H12" i="2"/>
  <c r="H11" i="2"/>
  <c r="H10" i="2"/>
  <c r="H9" i="2"/>
  <c r="H8" i="2"/>
  <c r="H19" i="2" s="1"/>
  <c r="B23" i="2" s="1"/>
  <c r="B27" i="2" s="1"/>
  <c r="B26" i="2" l="1"/>
  <c r="B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Reference concepts: CMS hospital price transparency standard charges; NUBC/CMS institutional billing uses revenue codes to categorize hospital charges. Demo values are synthetic.</t>
        </r>
      </text>
    </comment>
  </commentList>
</comments>
</file>

<file path=xl/sharedStrings.xml><?xml version="1.0" encoding="utf-8"?>
<sst xmlns="http://schemas.openxmlformats.org/spreadsheetml/2006/main" count="323" uniqueCount="206">
  <si>
    <t>Demo Hospital Chargemaster / Charge Description Master (CDM)</t>
  </si>
  <si>
    <t>Illustrative sample only. Internal charge codes and gross prices are hospital-specific; revenue codes are standardized categories.</t>
  </si>
  <si>
    <t>Hospital ID</t>
  </si>
  <si>
    <t>Facility Location</t>
  </si>
  <si>
    <t>Department</t>
  </si>
  <si>
    <t>CDM Charge Code</t>
  </si>
  <si>
    <t>Charge Description</t>
  </si>
  <si>
    <t>Revenue Code</t>
  </si>
  <si>
    <t>CPT/HCPCS</t>
  </si>
  <si>
    <t>Modifier</t>
  </si>
  <si>
    <t>Unit Basis</t>
  </si>
  <si>
    <t>Gross Unit Charge ($)</t>
  </si>
  <si>
    <t>Effective Date</t>
  </si>
  <si>
    <t>Termination Date</t>
  </si>
  <si>
    <t>Status</t>
  </si>
  <si>
    <t>Billing Notes</t>
  </si>
  <si>
    <t>HOSP-A</t>
  </si>
  <si>
    <t>Main Campus</t>
  </si>
  <si>
    <t>Inpatient Nursing</t>
  </si>
  <si>
    <t>RM-SP-001</t>
  </si>
  <si>
    <t>Semiprivate Medical/Surgical Room</t>
  </si>
  <si>
    <t>0120</t>
  </si>
  <si>
    <t>Per day</t>
  </si>
  <si>
    <t>Active</t>
  </si>
  <si>
    <t>Room charge driven by actual billable days from ADT</t>
  </si>
  <si>
    <t>RM-PVT-001</t>
  </si>
  <si>
    <t>Private Medical/Surgical Room</t>
  </si>
  <si>
    <t>0110</t>
  </si>
  <si>
    <t>Private room category</t>
  </si>
  <si>
    <t>Intensive Care</t>
  </si>
  <si>
    <t>ICU-DAY-001</t>
  </si>
  <si>
    <t>Intensive Care Unit Room</t>
  </si>
  <si>
    <t>0200</t>
  </si>
  <si>
    <t>Actual ICU days from ADT/bed management</t>
  </si>
  <si>
    <t>Operating Room</t>
  </si>
  <si>
    <t>OR-MAJOR-01</t>
  </si>
  <si>
    <t>Major Operating Room, First Hour</t>
  </si>
  <si>
    <t>0360</t>
  </si>
  <si>
    <t>Per hour</t>
  </si>
  <si>
    <t>OR start/stop time from perioperative system</t>
  </si>
  <si>
    <t>OR-ADD-15</t>
  </si>
  <si>
    <t>Operating Room, Additional 15 Minutes</t>
  </si>
  <si>
    <t>Per 15 minutes</t>
  </si>
  <si>
    <t>Quantity equals additional 15-minute units</t>
  </si>
  <si>
    <t>Recovery Room</t>
  </si>
  <si>
    <t>RR-HR-001</t>
  </si>
  <si>
    <t>Recovery Room, First Hour</t>
  </si>
  <si>
    <t>0710</t>
  </si>
  <si>
    <t>Post-anesthesia recovery resource</t>
  </si>
  <si>
    <t>Surgical Supplies</t>
  </si>
  <si>
    <t>IMP-KNEE-01</t>
  </si>
  <si>
    <t>Cemented Knee Implant Package</t>
  </si>
  <si>
    <t>0278</t>
  </si>
  <si>
    <t>If payer requires</t>
  </si>
  <si>
    <t>Per implant</t>
  </si>
  <si>
    <t>May be packaged in DRG or subject to carve-out</t>
  </si>
  <si>
    <t>SUP-KNEE-01</t>
  </si>
  <si>
    <t>Knee Surgery Supply Pack</t>
  </si>
  <si>
    <t>0270</t>
  </si>
  <si>
    <t>Per pack</t>
  </si>
  <si>
    <t>Standard disposable surgical supplies</t>
  </si>
  <si>
    <t>Pharmacy</t>
  </si>
  <si>
    <t>PH-IV-ABX-01</t>
  </si>
  <si>
    <t>IV Antibiotic Dose</t>
  </si>
  <si>
    <t>0250</t>
  </si>
  <si>
    <t>Applicable J-code</t>
  </si>
  <si>
    <t>Per dose</t>
  </si>
  <si>
    <t>Drug units and NDC may be required by payer</t>
  </si>
  <si>
    <t>Laboratory</t>
  </si>
  <si>
    <t>LAB-CBC-001</t>
  </si>
  <si>
    <t>Complete Blood Count</t>
  </si>
  <si>
    <t>0300</t>
  </si>
  <si>
    <t>85025</t>
  </si>
  <si>
    <t>Per test</t>
  </si>
  <si>
    <t>Quantity from laboratory information system</t>
  </si>
  <si>
    <t>Radiology</t>
  </si>
  <si>
    <t>RAD-KNEE-01</t>
  </si>
  <si>
    <t>Post-operative Knee X-ray, 1-2 Views</t>
  </si>
  <si>
    <t>0320</t>
  </si>
  <si>
    <t>73560</t>
  </si>
  <si>
    <t>Per study</t>
  </si>
  <si>
    <t>Quantity from radiology system</t>
  </si>
  <si>
    <t>Physical Therapy</t>
  </si>
  <si>
    <t>PT-EVAL-01</t>
  </si>
  <si>
    <t>Physical Therapy Initial Evaluation</t>
  </si>
  <si>
    <t>0420</t>
  </si>
  <si>
    <t>97161</t>
  </si>
  <si>
    <t>Per session</t>
  </si>
  <si>
    <t>Therapy documentation supports service</t>
  </si>
  <si>
    <t>PT-EX-15</t>
  </si>
  <si>
    <t>Therapeutic Exercise</t>
  </si>
  <si>
    <t>97110</t>
  </si>
  <si>
    <t>Quantity based on documented timed units</t>
  </si>
  <si>
    <t>Outpatient Center</t>
  </si>
  <si>
    <t>Hospital Clinic</t>
  </si>
  <si>
    <t>OPD-CLINIC-01</t>
  </si>
  <si>
    <t>Hospital Outpatient Clinic Visit</t>
  </si>
  <si>
    <t>0510</t>
  </si>
  <si>
    <t>99214</t>
  </si>
  <si>
    <t>Per visit</t>
  </si>
  <si>
    <t>Facility component; physician may bill separately</t>
  </si>
  <si>
    <t>RAD-CHEST-02</t>
  </si>
  <si>
    <t>Chest X-ray, 2 Views</t>
  </si>
  <si>
    <t>71046</t>
  </si>
  <si>
    <t>Hospital outpatient facility charge</t>
  </si>
  <si>
    <t>Sample IPD Knee Replacement Charge Build</t>
  </si>
  <si>
    <t>Gross charges are calculated from CDM unit price × actual quantity. DRG allowed amount is entered separately from the payer contract.</t>
  </si>
  <si>
    <t>Encounter ID</t>
  </si>
  <si>
    <t>IP-2026-0001</t>
  </si>
  <si>
    <t>Patient Type</t>
  </si>
  <si>
    <t>Inpatient</t>
  </si>
  <si>
    <t>Expected DRG</t>
  </si>
  <si>
    <t>Joint replacement DRG</t>
  </si>
  <si>
    <t>Payer</t>
  </si>
  <si>
    <t>Demo PPO</t>
  </si>
  <si>
    <t>Coinsurance</t>
  </si>
  <si>
    <t>DRG Allowed Amount</t>
  </si>
  <si>
    <t>Specific Resource / Service</t>
  </si>
  <si>
    <t>Quantity</t>
  </si>
  <si>
    <t>Extended Gross Charge ($)</t>
  </si>
  <si>
    <t>Source System</t>
  </si>
  <si>
    <t>Notes</t>
  </si>
  <si>
    <t>ADT / Bed Management</t>
  </si>
  <si>
    <t>2 actual billable days</t>
  </si>
  <si>
    <t>OR / Perioperative</t>
  </si>
  <si>
    <t>First hour</t>
  </si>
  <si>
    <t>30 additional minutes</t>
  </si>
  <si>
    <t>Recovery System</t>
  </si>
  <si>
    <t>Post-anesthesia recovery</t>
  </si>
  <si>
    <t>If required</t>
  </si>
  <si>
    <t>Inventory / Supply Chain</t>
  </si>
  <si>
    <t>Packaged unless carve-out applies</t>
  </si>
  <si>
    <t>Disposable supplies</t>
  </si>
  <si>
    <t>Pharmacy / MAR</t>
  </si>
  <si>
    <t>4 administered doses</t>
  </si>
  <si>
    <t>LIS</t>
  </si>
  <si>
    <t>Two tests</t>
  </si>
  <si>
    <t>Post-operative Knee X-ray</t>
  </si>
  <si>
    <t>RIS / PACS</t>
  </si>
  <si>
    <t>One imaging study</t>
  </si>
  <si>
    <t>Therapy System</t>
  </si>
  <si>
    <t>One evaluation</t>
  </si>
  <si>
    <t>Three timed units</t>
  </si>
  <si>
    <t>TOTAL HOSPITAL GROSS CHARGES</t>
  </si>
  <si>
    <t>FACILITY FINANCIAL SUMMARY</t>
  </si>
  <si>
    <t>Hospital Gross Charges</t>
  </si>
  <si>
    <t>Payer Payment</t>
  </si>
  <si>
    <t>Patient Responsibility</t>
  </si>
  <si>
    <t>Contractual Adjustment</t>
  </si>
  <si>
    <t>Where the Charge Data Comes From</t>
  </si>
  <si>
    <t>Charge / Data Element</t>
  </si>
  <si>
    <t>Operational Source</t>
  </si>
  <si>
    <t>CDM Role</t>
  </si>
  <si>
    <t>Claim Output</t>
  </si>
  <si>
    <t>Pricing Source</t>
  </si>
  <si>
    <t>Key Point</t>
  </si>
  <si>
    <t>Room type and days</t>
  </si>
  <si>
    <t>ADT / bed management</t>
  </si>
  <si>
    <t>Maps room item to revenue code and gross daily rate</t>
  </si>
  <si>
    <t>837I revenue 011X/012X/020X</t>
  </si>
  <si>
    <t>DRG, per diem, or contract</t>
  </si>
  <si>
    <t>ADT supplies actual days; CDM supplies price</t>
  </si>
  <si>
    <t>OR time</t>
  </si>
  <si>
    <t>Perioperative / OR system</t>
  </si>
  <si>
    <t>Maps OR tier and timed unit charge</t>
  </si>
  <si>
    <t>837I revenue 036X</t>
  </si>
  <si>
    <t>Usually packaged in DRG</t>
  </si>
  <si>
    <t>OR system supplies actual time</t>
  </si>
  <si>
    <t>Implant</t>
  </si>
  <si>
    <t>Inventory / supply chain</t>
  </si>
  <si>
    <t>Maps implant item and gross charge</t>
  </si>
  <si>
    <t>837I revenue 0278; code if required</t>
  </si>
  <si>
    <t>DRG package or carve-out</t>
  </si>
  <si>
    <t>Invoice/device detail may support carve-out</t>
  </si>
  <si>
    <t>Drug doses</t>
  </si>
  <si>
    <t>Maps drug to revenue code, HCPCS and unit price</t>
  </si>
  <si>
    <t>837I revenue 025X + HCPCS if applicable</t>
  </si>
  <si>
    <t>Packaged or drug carve-out</t>
  </si>
  <si>
    <t>Actual administrations drive quantity</t>
  </si>
  <si>
    <t>Lab tests</t>
  </si>
  <si>
    <t>Maps test to revenue code, CPT and price</t>
  </si>
  <si>
    <t>837I revenue 030X + CPT</t>
  </si>
  <si>
    <t>Packaged or lab schedule</t>
  </si>
  <si>
    <t>Completed tests drive quantity</t>
  </si>
  <si>
    <t>Imaging</t>
  </si>
  <si>
    <t>Maps study to revenue code, CPT and price</t>
  </si>
  <si>
    <t>837I revenue 032X + CPT</t>
  </si>
  <si>
    <t>Packaged or outpatient schedule</t>
  </si>
  <si>
    <t>Performed study drives charge</t>
  </si>
  <si>
    <t>Therapy units</t>
  </si>
  <si>
    <t>Therapy documentation system</t>
  </si>
  <si>
    <t>Maps timed/untimed service and price</t>
  </si>
  <si>
    <t>837I revenue 042X + CPT</t>
  </si>
  <si>
    <t>Documentation supports units</t>
  </si>
  <si>
    <t>Surgeon professional fee</t>
  </si>
  <si>
    <t>Professional billing system</t>
  </si>
  <si>
    <t>Not hospital facility CDM</t>
  </si>
  <si>
    <t>837P + CPT/modifiers</t>
  </si>
  <si>
    <t>Professional fee schedule</t>
  </si>
  <si>
    <t>Separate from hospital DRG claim</t>
  </si>
  <si>
    <t>Patient responsibility</t>
  </si>
  <si>
    <t>Payer benefit engine</t>
  </si>
  <si>
    <t>No gross charge role</t>
  </si>
  <si>
    <t>835 ERA / EOB result</t>
  </si>
  <si>
    <t>Deductible, copay, coinsurance, OOP</t>
  </si>
  <si>
    <t>Calculated after allowed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</si>
</sst>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;\-"/>
    <numFmt numFmtId="165" formatCode="dd\-mmm\-yyyy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66758A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i/>
      <sz val="11"/>
      <color rgb="FF66758A"/>
      <name val="Calibri"/>
    </font>
    <font>
      <b/>
      <sz val="11"/>
      <color rgb="FF0000FF"/>
      <name val="Calibri"/>
    </font>
    <font>
      <b/>
      <sz val="11"/>
      <color rgb="FF66758A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213F"/>
      </patternFill>
    </fill>
    <fill>
      <patternFill patternType="solid">
        <fgColor rgb="FF00A7A5"/>
      </patternFill>
    </fill>
    <fill>
      <patternFill patternType="solid">
        <fgColor rgb="FF725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8" fillId="0" borderId="0" xfId="0" applyFont="1"/>
    <xf numFmtId="0" fontId="7" fillId="0" borderId="0" xfId="0" applyFont="1"/>
    <xf numFmtId="9" fontId="7" fillId="0" borderId="0" xfId="0" applyNumberFormat="1" applyFont="1"/>
    <xf numFmtId="164" fontId="7" fillId="0" borderId="0" xfId="0" applyNumberFormat="1" applyFont="1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164" fontId="9" fillId="0" borderId="0" xfId="0" applyNumberFormat="1" applyFont="1" applyAlignment="1">
      <alignment vertical="top" wrapText="1"/>
    </xf>
    <xf numFmtId="0" fontId="3" fillId="2" borderId="0" xfId="0" applyFont="1" applyFill="1"/>
    <xf numFmtId="164" fontId="3" fillId="2" borderId="0" xfId="0" applyNumberFormat="1" applyFont="1" applyFill="1"/>
    <xf numFmtId="0" fontId="10" fillId="0" borderId="0" xfId="0" applyFont="1"/>
    <xf numFmtId="164" fontId="11" fillId="0" borderId="0" xfId="0" applyNumberFormat="1" applyFont="1"/>
    <xf numFmtId="0" fontId="1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6" fillId="0" borderId="0" xfId="0" applyFont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DMMasterTable" displayName="CDMMasterTable" ref="A4:N19">
  <autoFilter ref="A4:N19" xr:uid="{00000000-0009-0000-0100-000001000000}"/>
  <tableColumns count="14">
    <tableColumn id="1" xr3:uid="{00000000-0010-0000-0000-000001000000}" name="Hospital ID"/>
    <tableColumn id="2" xr3:uid="{00000000-0010-0000-0000-000002000000}" name="Facility Location"/>
    <tableColumn id="3" xr3:uid="{00000000-0010-0000-0000-000003000000}" name="Department"/>
    <tableColumn id="4" xr3:uid="{00000000-0010-0000-0000-000004000000}" name="CDM Charge Code"/>
    <tableColumn id="5" xr3:uid="{00000000-0010-0000-0000-000005000000}" name="Charge Description"/>
    <tableColumn id="6" xr3:uid="{00000000-0010-0000-0000-000006000000}" name="Revenue Code"/>
    <tableColumn id="7" xr3:uid="{00000000-0010-0000-0000-000007000000}" name="CPT/HCPCS"/>
    <tableColumn id="8" xr3:uid="{00000000-0010-0000-0000-000008000000}" name="Modifier"/>
    <tableColumn id="9" xr3:uid="{00000000-0010-0000-0000-000009000000}" name="Unit Basis"/>
    <tableColumn id="10" xr3:uid="{00000000-0010-0000-0000-00000A000000}" name="Gross Unit Charge ($)"/>
    <tableColumn id="11" xr3:uid="{00000000-0010-0000-0000-00000B000000}" name="Effective Date"/>
    <tableColumn id="12" xr3:uid="{00000000-0010-0000-0000-00000C000000}" name="Termination Date"/>
    <tableColumn id="13" xr3:uid="{00000000-0010-0000-0000-00000D000000}" name="Status"/>
    <tableColumn id="14" xr3:uid="{00000000-0010-0000-0000-00000E000000}" name="Billing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ourceTable" displayName="DataSourceTable" ref="A3:F12">
  <autoFilter ref="A3:F12" xr:uid="{00000000-0009-0000-0100-000002000000}"/>
  <tableColumns count="6">
    <tableColumn id="1" xr3:uid="{00000000-0010-0000-0100-000001000000}" name="Charge / Data Element"/>
    <tableColumn id="2" xr3:uid="{00000000-0010-0000-0100-000002000000}" name="Operational Source"/>
    <tableColumn id="3" xr3:uid="{00000000-0010-0000-0100-000003000000}" name="CDM Role"/>
    <tableColumn id="4" xr3:uid="{00000000-0010-0000-0100-000004000000}" name="Claim Output"/>
    <tableColumn id="5" xr3:uid="{00000000-0010-0000-0100-000005000000}" name="Pricing Source"/>
    <tableColumn id="6" xr3:uid="{00000000-0010-0000-0100-000006000000}" name="Key Po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0" customWidth="1"/>
    <col min="4" max="4" width="18" customWidth="1"/>
    <col min="5" max="5" width="34" customWidth="1"/>
    <col min="6" max="6" width="13" customWidth="1"/>
    <col min="7" max="7" width="18" customWidth="1"/>
    <col min="8" max="8" width="12" customWidth="1"/>
    <col min="9" max="9" width="18" customWidth="1"/>
    <col min="10" max="10" width="20" customWidth="1"/>
    <col min="11" max="11" width="15" customWidth="1"/>
    <col min="12" max="12" width="16" customWidth="1"/>
    <col min="13" max="13" width="11" customWidth="1"/>
    <col min="14" max="14" width="44" customWidth="1"/>
  </cols>
  <sheetData>
    <row r="1" spans="1:14" ht="30" customHeight="1">
      <c r="A1" s="19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>
      <c r="A2" s="18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4" spans="1:14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/>
      <c r="H5" s="2"/>
      <c r="I5" s="2" t="s">
        <v>22</v>
      </c>
      <c r="J5" s="3">
        <v>3500</v>
      </c>
      <c r="K5" s="4">
        <v>46023</v>
      </c>
      <c r="L5" s="2"/>
      <c r="M5" s="2" t="s">
        <v>23</v>
      </c>
      <c r="N5" s="2" t="s">
        <v>24</v>
      </c>
    </row>
    <row r="6" spans="1:14">
      <c r="A6" s="2" t="s">
        <v>16</v>
      </c>
      <c r="B6" s="2" t="s">
        <v>17</v>
      </c>
      <c r="C6" s="2" t="s">
        <v>18</v>
      </c>
      <c r="D6" s="2" t="s">
        <v>25</v>
      </c>
      <c r="E6" s="2" t="s">
        <v>26</v>
      </c>
      <c r="F6" s="2" t="s">
        <v>27</v>
      </c>
      <c r="G6" s="2"/>
      <c r="H6" s="2"/>
      <c r="I6" s="2" t="s">
        <v>22</v>
      </c>
      <c r="J6" s="3">
        <v>5000</v>
      </c>
      <c r="K6" s="4">
        <v>46023</v>
      </c>
      <c r="L6" s="2"/>
      <c r="M6" s="2" t="s">
        <v>23</v>
      </c>
      <c r="N6" s="2" t="s">
        <v>28</v>
      </c>
    </row>
    <row r="7" spans="1:14">
      <c r="A7" s="2" t="s">
        <v>16</v>
      </c>
      <c r="B7" s="2" t="s">
        <v>17</v>
      </c>
      <c r="C7" s="2" t="s">
        <v>29</v>
      </c>
      <c r="D7" s="2" t="s">
        <v>30</v>
      </c>
      <c r="E7" s="2" t="s">
        <v>31</v>
      </c>
      <c r="F7" s="2" t="s">
        <v>32</v>
      </c>
      <c r="G7" s="2"/>
      <c r="H7" s="2"/>
      <c r="I7" s="2" t="s">
        <v>22</v>
      </c>
      <c r="J7" s="3">
        <v>8000</v>
      </c>
      <c r="K7" s="4">
        <v>46023</v>
      </c>
      <c r="L7" s="2"/>
      <c r="M7" s="2" t="s">
        <v>23</v>
      </c>
      <c r="N7" s="2" t="s">
        <v>33</v>
      </c>
    </row>
    <row r="8" spans="1:14">
      <c r="A8" s="2" t="s">
        <v>16</v>
      </c>
      <c r="B8" s="2" t="s">
        <v>17</v>
      </c>
      <c r="C8" s="2" t="s">
        <v>34</v>
      </c>
      <c r="D8" s="2" t="s">
        <v>35</v>
      </c>
      <c r="E8" s="2" t="s">
        <v>36</v>
      </c>
      <c r="F8" s="2" t="s">
        <v>37</v>
      </c>
      <c r="G8" s="2"/>
      <c r="H8" s="2"/>
      <c r="I8" s="2" t="s">
        <v>38</v>
      </c>
      <c r="J8" s="3">
        <v>10000</v>
      </c>
      <c r="K8" s="4">
        <v>46023</v>
      </c>
      <c r="L8" s="2"/>
      <c r="M8" s="2" t="s">
        <v>23</v>
      </c>
      <c r="N8" s="2" t="s">
        <v>39</v>
      </c>
    </row>
    <row r="9" spans="1:14">
      <c r="A9" s="2" t="s">
        <v>16</v>
      </c>
      <c r="B9" s="2" t="s">
        <v>17</v>
      </c>
      <c r="C9" s="2" t="s">
        <v>34</v>
      </c>
      <c r="D9" s="2" t="s">
        <v>40</v>
      </c>
      <c r="E9" s="2" t="s">
        <v>41</v>
      </c>
      <c r="F9" s="2" t="s">
        <v>37</v>
      </c>
      <c r="G9" s="2"/>
      <c r="H9" s="2"/>
      <c r="I9" s="2" t="s">
        <v>42</v>
      </c>
      <c r="J9" s="3">
        <v>1250</v>
      </c>
      <c r="K9" s="4">
        <v>46023</v>
      </c>
      <c r="L9" s="2"/>
      <c r="M9" s="2" t="s">
        <v>23</v>
      </c>
      <c r="N9" s="2" t="s">
        <v>43</v>
      </c>
    </row>
    <row r="10" spans="1:14">
      <c r="A10" s="2" t="s">
        <v>16</v>
      </c>
      <c r="B10" s="2" t="s">
        <v>17</v>
      </c>
      <c r="C10" s="2" t="s">
        <v>44</v>
      </c>
      <c r="D10" s="2" t="s">
        <v>45</v>
      </c>
      <c r="E10" s="2" t="s">
        <v>46</v>
      </c>
      <c r="F10" s="2" t="s">
        <v>47</v>
      </c>
      <c r="G10" s="2"/>
      <c r="H10" s="2"/>
      <c r="I10" s="2" t="s">
        <v>38</v>
      </c>
      <c r="J10" s="3">
        <v>2000</v>
      </c>
      <c r="K10" s="4">
        <v>46023</v>
      </c>
      <c r="L10" s="2"/>
      <c r="M10" s="2" t="s">
        <v>23</v>
      </c>
      <c r="N10" s="2" t="s">
        <v>48</v>
      </c>
    </row>
    <row r="11" spans="1:14">
      <c r="A11" s="2" t="s">
        <v>16</v>
      </c>
      <c r="B11" s="2" t="s">
        <v>17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  <c r="H11" s="2"/>
      <c r="I11" s="2" t="s">
        <v>54</v>
      </c>
      <c r="J11" s="3">
        <v>20000</v>
      </c>
      <c r="K11" s="4">
        <v>46023</v>
      </c>
      <c r="L11" s="2"/>
      <c r="M11" s="2" t="s">
        <v>23</v>
      </c>
      <c r="N11" s="2" t="s">
        <v>55</v>
      </c>
    </row>
    <row r="12" spans="1:14">
      <c r="A12" s="2" t="s">
        <v>16</v>
      </c>
      <c r="B12" s="2" t="s">
        <v>17</v>
      </c>
      <c r="C12" s="2" t="s">
        <v>49</v>
      </c>
      <c r="D12" s="2" t="s">
        <v>56</v>
      </c>
      <c r="E12" s="2" t="s">
        <v>57</v>
      </c>
      <c r="F12" s="2" t="s">
        <v>58</v>
      </c>
      <c r="G12" s="2" t="s">
        <v>53</v>
      </c>
      <c r="H12" s="2"/>
      <c r="I12" s="2" t="s">
        <v>59</v>
      </c>
      <c r="J12" s="3">
        <v>4000</v>
      </c>
      <c r="K12" s="4">
        <v>46023</v>
      </c>
      <c r="L12" s="2"/>
      <c r="M12" s="2" t="s">
        <v>23</v>
      </c>
      <c r="N12" s="2" t="s">
        <v>60</v>
      </c>
    </row>
    <row r="13" spans="1:14">
      <c r="A13" s="2" t="s">
        <v>16</v>
      </c>
      <c r="B13" s="2" t="s">
        <v>17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/>
      <c r="I13" s="2" t="s">
        <v>66</v>
      </c>
      <c r="J13" s="3">
        <v>500</v>
      </c>
      <c r="K13" s="4">
        <v>46023</v>
      </c>
      <c r="L13" s="2"/>
      <c r="M13" s="2" t="s">
        <v>23</v>
      </c>
      <c r="N13" s="2" t="s">
        <v>67</v>
      </c>
    </row>
    <row r="14" spans="1:14">
      <c r="A14" s="2" t="s">
        <v>16</v>
      </c>
      <c r="B14" s="2" t="s">
        <v>17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  <c r="H14" s="2"/>
      <c r="I14" s="2" t="s">
        <v>73</v>
      </c>
      <c r="J14" s="3">
        <v>150</v>
      </c>
      <c r="K14" s="4">
        <v>46023</v>
      </c>
      <c r="L14" s="2"/>
      <c r="M14" s="2" t="s">
        <v>23</v>
      </c>
      <c r="N14" s="2" t="s">
        <v>74</v>
      </c>
    </row>
    <row r="15" spans="1:14">
      <c r="A15" s="2" t="s">
        <v>16</v>
      </c>
      <c r="B15" s="2" t="s">
        <v>17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/>
      <c r="I15" s="2" t="s">
        <v>80</v>
      </c>
      <c r="J15" s="3">
        <v>400</v>
      </c>
      <c r="K15" s="4">
        <v>46023</v>
      </c>
      <c r="L15" s="2"/>
      <c r="M15" s="2" t="s">
        <v>23</v>
      </c>
      <c r="N15" s="2" t="s">
        <v>81</v>
      </c>
    </row>
    <row r="16" spans="1:14">
      <c r="A16" s="2" t="s">
        <v>16</v>
      </c>
      <c r="B16" s="2" t="s">
        <v>17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86</v>
      </c>
      <c r="H16" s="2"/>
      <c r="I16" s="2" t="s">
        <v>87</v>
      </c>
      <c r="J16" s="3">
        <v>700</v>
      </c>
      <c r="K16" s="4">
        <v>46023</v>
      </c>
      <c r="L16" s="2"/>
      <c r="M16" s="2" t="s">
        <v>23</v>
      </c>
      <c r="N16" s="2" t="s">
        <v>88</v>
      </c>
    </row>
    <row r="17" spans="1:14">
      <c r="A17" s="2" t="s">
        <v>16</v>
      </c>
      <c r="B17" s="2" t="s">
        <v>17</v>
      </c>
      <c r="C17" s="2" t="s">
        <v>82</v>
      </c>
      <c r="D17" s="2" t="s">
        <v>89</v>
      </c>
      <c r="E17" s="2" t="s">
        <v>90</v>
      </c>
      <c r="F17" s="2" t="s">
        <v>85</v>
      </c>
      <c r="G17" s="2" t="s">
        <v>91</v>
      </c>
      <c r="H17" s="2"/>
      <c r="I17" s="2" t="s">
        <v>42</v>
      </c>
      <c r="J17" s="3">
        <v>300</v>
      </c>
      <c r="K17" s="4">
        <v>46023</v>
      </c>
      <c r="L17" s="2"/>
      <c r="M17" s="2" t="s">
        <v>23</v>
      </c>
      <c r="N17" s="2" t="s">
        <v>92</v>
      </c>
    </row>
    <row r="18" spans="1:14">
      <c r="A18" s="2" t="s">
        <v>16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/>
      <c r="I18" s="2" t="s">
        <v>99</v>
      </c>
      <c r="J18" s="3">
        <v>400</v>
      </c>
      <c r="K18" s="4">
        <v>46023</v>
      </c>
      <c r="L18" s="2"/>
      <c r="M18" s="2" t="s">
        <v>23</v>
      </c>
      <c r="N18" s="2" t="s">
        <v>100</v>
      </c>
    </row>
    <row r="19" spans="1:14">
      <c r="A19" s="2" t="s">
        <v>16</v>
      </c>
      <c r="B19" s="2" t="s">
        <v>93</v>
      </c>
      <c r="C19" s="2" t="s">
        <v>75</v>
      </c>
      <c r="D19" s="2" t="s">
        <v>101</v>
      </c>
      <c r="E19" s="2" t="s">
        <v>102</v>
      </c>
      <c r="F19" s="2" t="s">
        <v>78</v>
      </c>
      <c r="G19" s="2" t="s">
        <v>103</v>
      </c>
      <c r="H19" s="2"/>
      <c r="I19" s="2" t="s">
        <v>80</v>
      </c>
      <c r="J19" s="3">
        <v>180</v>
      </c>
      <c r="K19" s="4">
        <v>46023</v>
      </c>
      <c r="L19" s="2"/>
      <c r="M19" s="2" t="s">
        <v>23</v>
      </c>
      <c r="N19" s="2" t="s">
        <v>104</v>
      </c>
    </row>
  </sheetData>
  <mergeCells count="2">
    <mergeCell ref="A2:N2"/>
    <mergeCell ref="A1:N1"/>
  </mergeCells>
  <printOptions horizontalCentered="1"/>
  <pageMargins left="0.75" right="0.75" top="1" bottom="1" header="0.5" footer="0.5"/>
  <pageSetup fitToHeight="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7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20" customWidth="1"/>
    <col min="2" max="2" width="34" customWidth="1"/>
    <col min="3" max="3" width="14" customWidth="1"/>
    <col min="4" max="5" width="18" customWidth="1"/>
    <col min="6" max="6" width="12" customWidth="1"/>
    <col min="7" max="7" width="22" customWidth="1"/>
    <col min="8" max="8" width="25" customWidth="1"/>
    <col min="9" max="9" width="24" customWidth="1"/>
    <col min="10" max="10" width="42" customWidth="1"/>
  </cols>
  <sheetData>
    <row r="1" spans="1:10" ht="30" customHeight="1">
      <c r="A1" s="20" t="s">
        <v>105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106</v>
      </c>
      <c r="B2" s="21"/>
      <c r="C2" s="21"/>
      <c r="D2" s="21"/>
      <c r="E2" s="21"/>
      <c r="F2" s="21"/>
      <c r="G2" s="21"/>
      <c r="H2" s="21"/>
      <c r="I2" s="21"/>
      <c r="J2" s="21"/>
    </row>
    <row r="4" spans="1:10">
      <c r="A4" s="5" t="s">
        <v>107</v>
      </c>
      <c r="B4" s="6" t="s">
        <v>108</v>
      </c>
      <c r="D4" s="5" t="s">
        <v>109</v>
      </c>
      <c r="E4" s="6" t="s">
        <v>110</v>
      </c>
      <c r="G4" s="5" t="s">
        <v>111</v>
      </c>
      <c r="H4" s="6" t="s">
        <v>112</v>
      </c>
    </row>
    <row r="5" spans="1:10">
      <c r="A5" s="5" t="s">
        <v>113</v>
      </c>
      <c r="B5" s="6" t="s">
        <v>114</v>
      </c>
      <c r="D5" s="5" t="s">
        <v>115</v>
      </c>
      <c r="E5" s="7">
        <v>0.2</v>
      </c>
      <c r="G5" s="5" t="s">
        <v>116</v>
      </c>
      <c r="H5" s="8">
        <v>30000</v>
      </c>
    </row>
    <row r="7" spans="1:10" ht="36" customHeight="1">
      <c r="A7" s="9" t="s">
        <v>5</v>
      </c>
      <c r="B7" s="9" t="s">
        <v>117</v>
      </c>
      <c r="C7" s="9" t="s">
        <v>7</v>
      </c>
      <c r="D7" s="9" t="s">
        <v>8</v>
      </c>
      <c r="E7" s="9" t="s">
        <v>10</v>
      </c>
      <c r="F7" s="9" t="s">
        <v>118</v>
      </c>
      <c r="G7" s="9" t="s">
        <v>11</v>
      </c>
      <c r="H7" s="9" t="s">
        <v>119</v>
      </c>
      <c r="I7" s="9" t="s">
        <v>120</v>
      </c>
      <c r="J7" s="9" t="s">
        <v>121</v>
      </c>
    </row>
    <row r="8" spans="1:10">
      <c r="A8" s="10" t="s">
        <v>19</v>
      </c>
      <c r="B8" s="10" t="s">
        <v>20</v>
      </c>
      <c r="C8" s="10" t="s">
        <v>21</v>
      </c>
      <c r="D8" s="10"/>
      <c r="E8" s="10" t="s">
        <v>22</v>
      </c>
      <c r="F8" s="11">
        <v>2</v>
      </c>
      <c r="G8" s="3">
        <v>3500</v>
      </c>
      <c r="H8" s="12">
        <f>F8*G8</f>
        <v>7000</v>
      </c>
      <c r="I8" s="10" t="s">
        <v>122</v>
      </c>
      <c r="J8" s="10" t="s">
        <v>123</v>
      </c>
    </row>
    <row r="9" spans="1:10">
      <c r="A9" s="10" t="s">
        <v>35</v>
      </c>
      <c r="B9" s="10" t="s">
        <v>36</v>
      </c>
      <c r="C9" s="10" t="s">
        <v>37</v>
      </c>
      <c r="D9" s="10"/>
      <c r="E9" s="10" t="s">
        <v>38</v>
      </c>
      <c r="F9" s="11">
        <v>1</v>
      </c>
      <c r="G9" s="3">
        <v>10000</v>
      </c>
      <c r="H9" s="12">
        <f>F9*G9</f>
        <v>10000</v>
      </c>
      <c r="I9" s="10" t="s">
        <v>124</v>
      </c>
      <c r="J9" s="10" t="s">
        <v>125</v>
      </c>
    </row>
    <row r="10" spans="1:10">
      <c r="A10" s="10" t="s">
        <v>40</v>
      </c>
      <c r="B10" s="10" t="s">
        <v>41</v>
      </c>
      <c r="C10" s="10" t="s">
        <v>37</v>
      </c>
      <c r="D10" s="10"/>
      <c r="E10" s="10" t="s">
        <v>42</v>
      </c>
      <c r="F10" s="11">
        <v>2</v>
      </c>
      <c r="G10" s="3">
        <v>1250</v>
      </c>
      <c r="H10" s="12">
        <f>F10*G10</f>
        <v>2500</v>
      </c>
      <c r="I10" s="10" t="s">
        <v>124</v>
      </c>
      <c r="J10" s="10" t="s">
        <v>126</v>
      </c>
    </row>
    <row r="11" spans="1:10">
      <c r="A11" s="10" t="s">
        <v>45</v>
      </c>
      <c r="B11" s="10" t="s">
        <v>46</v>
      </c>
      <c r="C11" s="10" t="s">
        <v>47</v>
      </c>
      <c r="D11" s="10"/>
      <c r="E11" s="10" t="s">
        <v>38</v>
      </c>
      <c r="F11" s="11">
        <v>1</v>
      </c>
      <c r="G11" s="3">
        <v>2000</v>
      </c>
      <c r="H11" s="12">
        <f>F11*G11</f>
        <v>2000</v>
      </c>
      <c r="I11" s="10" t="s">
        <v>127</v>
      </c>
      <c r="J11" s="10" t="s">
        <v>128</v>
      </c>
    </row>
    <row r="12" spans="1:10">
      <c r="A12" s="10" t="s">
        <v>50</v>
      </c>
      <c r="B12" s="10" t="s">
        <v>51</v>
      </c>
      <c r="C12" s="10" t="s">
        <v>52</v>
      </c>
      <c r="D12" s="10" t="s">
        <v>129</v>
      </c>
      <c r="E12" s="10" t="s">
        <v>54</v>
      </c>
      <c r="F12" s="11">
        <v>1</v>
      </c>
      <c r="G12" s="3">
        <v>20000</v>
      </c>
      <c r="H12" s="12">
        <f>F12*G12</f>
        <v>20000</v>
      </c>
      <c r="I12" s="10" t="s">
        <v>130</v>
      </c>
      <c r="J12" s="10" t="s">
        <v>131</v>
      </c>
    </row>
    <row r="13" spans="1:10">
      <c r="A13" s="10" t="s">
        <v>56</v>
      </c>
      <c r="B13" s="10" t="s">
        <v>57</v>
      </c>
      <c r="C13" s="10" t="s">
        <v>58</v>
      </c>
      <c r="D13" s="10" t="s">
        <v>129</v>
      </c>
      <c r="E13" s="10" t="s">
        <v>59</v>
      </c>
      <c r="F13" s="11">
        <v>1</v>
      </c>
      <c r="G13" s="3">
        <v>4000</v>
      </c>
      <c r="H13" s="12">
        <f>F13*G13</f>
        <v>4000</v>
      </c>
      <c r="I13" s="10" t="s">
        <v>130</v>
      </c>
      <c r="J13" s="10" t="s">
        <v>132</v>
      </c>
    </row>
    <row r="14" spans="1:10">
      <c r="A14" s="10" t="s">
        <v>62</v>
      </c>
      <c r="B14" s="10" t="s">
        <v>63</v>
      </c>
      <c r="C14" s="10" t="s">
        <v>64</v>
      </c>
      <c r="D14" s="10" t="s">
        <v>65</v>
      </c>
      <c r="E14" s="10" t="s">
        <v>66</v>
      </c>
      <c r="F14" s="11">
        <v>4</v>
      </c>
      <c r="G14" s="3">
        <v>500</v>
      </c>
      <c r="H14" s="12">
        <f>F14*G14</f>
        <v>2000</v>
      </c>
      <c r="I14" s="10" t="s">
        <v>133</v>
      </c>
      <c r="J14" s="10" t="s">
        <v>134</v>
      </c>
    </row>
    <row r="15" spans="1:10">
      <c r="A15" s="10" t="s">
        <v>69</v>
      </c>
      <c r="B15" s="10" t="s">
        <v>70</v>
      </c>
      <c r="C15" s="10" t="s">
        <v>71</v>
      </c>
      <c r="D15" s="10" t="s">
        <v>72</v>
      </c>
      <c r="E15" s="10" t="s">
        <v>73</v>
      </c>
      <c r="F15" s="11">
        <v>2</v>
      </c>
      <c r="G15" s="3">
        <v>150</v>
      </c>
      <c r="H15" s="12">
        <f>F15*G15</f>
        <v>300</v>
      </c>
      <c r="I15" s="10" t="s">
        <v>135</v>
      </c>
      <c r="J15" s="10" t="s">
        <v>136</v>
      </c>
    </row>
    <row r="16" spans="1:10">
      <c r="A16" s="10" t="s">
        <v>76</v>
      </c>
      <c r="B16" s="10" t="s">
        <v>137</v>
      </c>
      <c r="C16" s="10" t="s">
        <v>78</v>
      </c>
      <c r="D16" s="10" t="s">
        <v>79</v>
      </c>
      <c r="E16" s="10" t="s">
        <v>80</v>
      </c>
      <c r="F16" s="11">
        <v>1</v>
      </c>
      <c r="G16" s="3">
        <v>400</v>
      </c>
      <c r="H16" s="12">
        <f>F16*G16</f>
        <v>400</v>
      </c>
      <c r="I16" s="10" t="s">
        <v>138</v>
      </c>
      <c r="J16" s="10" t="s">
        <v>139</v>
      </c>
    </row>
    <row r="17" spans="1:10">
      <c r="A17" s="10" t="s">
        <v>83</v>
      </c>
      <c r="B17" s="10" t="s">
        <v>84</v>
      </c>
      <c r="C17" s="10" t="s">
        <v>85</v>
      </c>
      <c r="D17" s="10" t="s">
        <v>86</v>
      </c>
      <c r="E17" s="10" t="s">
        <v>87</v>
      </c>
      <c r="F17" s="11">
        <v>1</v>
      </c>
      <c r="G17" s="3">
        <v>700</v>
      </c>
      <c r="H17" s="12">
        <f>F17*G17</f>
        <v>700</v>
      </c>
      <c r="I17" s="10" t="s">
        <v>140</v>
      </c>
      <c r="J17" s="10" t="s">
        <v>141</v>
      </c>
    </row>
    <row r="18" spans="1:10">
      <c r="A18" s="10" t="s">
        <v>89</v>
      </c>
      <c r="B18" s="10" t="s">
        <v>90</v>
      </c>
      <c r="C18" s="10" t="s">
        <v>85</v>
      </c>
      <c r="D18" s="10" t="s">
        <v>91</v>
      </c>
      <c r="E18" s="10" t="s">
        <v>42</v>
      </c>
      <c r="F18" s="11">
        <v>3</v>
      </c>
      <c r="G18" s="3">
        <v>300</v>
      </c>
      <c r="H18" s="12">
        <f>F18*G18</f>
        <v>900</v>
      </c>
      <c r="I18" s="10" t="s">
        <v>140</v>
      </c>
      <c r="J18" s="10" t="s">
        <v>142</v>
      </c>
    </row>
    <row r="19" spans="1:10">
      <c r="A19" s="23" t="s">
        <v>143</v>
      </c>
      <c r="B19" s="23"/>
      <c r="C19" s="23"/>
      <c r="D19" s="23"/>
      <c r="E19" s="23"/>
      <c r="F19" s="23"/>
      <c r="G19" s="23"/>
      <c r="H19" s="14">
        <f>SUM(H8:H18)</f>
        <v>49800</v>
      </c>
      <c r="I19" s="13"/>
      <c r="J19" s="13"/>
    </row>
    <row r="22" spans="1:10">
      <c r="A22" s="24" t="s">
        <v>144</v>
      </c>
      <c r="B22" s="21"/>
      <c r="C22" s="21"/>
      <c r="D22" s="21"/>
      <c r="E22" s="21"/>
    </row>
    <row r="23" spans="1:10">
      <c r="A23" s="15" t="s">
        <v>145</v>
      </c>
      <c r="B23" s="16">
        <f>H19</f>
        <v>49800</v>
      </c>
    </row>
    <row r="24" spans="1:10">
      <c r="A24" s="15" t="s">
        <v>116</v>
      </c>
      <c r="B24" s="16">
        <f>H5</f>
        <v>30000</v>
      </c>
    </row>
    <row r="25" spans="1:10">
      <c r="A25" s="17" t="s">
        <v>146</v>
      </c>
      <c r="B25" s="16">
        <f>B24*(1-$E$5)</f>
        <v>24000</v>
      </c>
    </row>
    <row r="26" spans="1:10">
      <c r="A26" s="17" t="s">
        <v>147</v>
      </c>
      <c r="B26" s="16">
        <f>B24*$E$5</f>
        <v>6000</v>
      </c>
    </row>
    <row r="27" spans="1:10">
      <c r="A27" s="17" t="s">
        <v>148</v>
      </c>
      <c r="B27" s="16">
        <f>B23-B24</f>
        <v>19800</v>
      </c>
    </row>
  </sheetData>
  <autoFilter ref="A7:J18" xr:uid="{00000000-0009-0000-0000-000001000000}"/>
  <mergeCells count="4">
    <mergeCell ref="A1:J1"/>
    <mergeCell ref="A19:G19"/>
    <mergeCell ref="A22:E22"/>
    <mergeCell ref="A2:J2"/>
  </mergeCells>
  <printOptions horizontalCentered="1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27" customWidth="1"/>
    <col min="3" max="3" width="34" customWidth="1"/>
    <col min="4" max="5" width="29" customWidth="1"/>
    <col min="6" max="6" width="42" customWidth="1"/>
  </cols>
  <sheetData>
    <row r="1" spans="1:6" ht="30" customHeight="1">
      <c r="A1" s="25" t="s">
        <v>149</v>
      </c>
      <c r="B1" s="21"/>
      <c r="C1" s="21"/>
      <c r="D1" s="21"/>
      <c r="E1" s="21"/>
      <c r="F1" s="21"/>
    </row>
    <row r="3" spans="1:6">
      <c r="A3" s="9" t="s">
        <v>150</v>
      </c>
      <c r="B3" s="9" t="s">
        <v>151</v>
      </c>
      <c r="C3" s="9" t="s">
        <v>152</v>
      </c>
      <c r="D3" s="9" t="s">
        <v>153</v>
      </c>
      <c r="E3" s="9" t="s">
        <v>154</v>
      </c>
      <c r="F3" s="9" t="s">
        <v>155</v>
      </c>
    </row>
    <row r="4" spans="1:6">
      <c r="A4" s="10" t="s">
        <v>156</v>
      </c>
      <c r="B4" s="10" t="s">
        <v>157</v>
      </c>
      <c r="C4" s="10" t="s">
        <v>158</v>
      </c>
      <c r="D4" s="10" t="s">
        <v>159</v>
      </c>
      <c r="E4" s="10" t="s">
        <v>160</v>
      </c>
      <c r="F4" s="10" t="s">
        <v>161</v>
      </c>
    </row>
    <row r="5" spans="1:6">
      <c r="A5" s="10" t="s">
        <v>162</v>
      </c>
      <c r="B5" s="10" t="s">
        <v>163</v>
      </c>
      <c r="C5" s="10" t="s">
        <v>164</v>
      </c>
      <c r="D5" s="10" t="s">
        <v>165</v>
      </c>
      <c r="E5" s="10" t="s">
        <v>166</v>
      </c>
      <c r="F5" s="10" t="s">
        <v>167</v>
      </c>
    </row>
    <row r="6" spans="1:6">
      <c r="A6" s="10" t="s">
        <v>168</v>
      </c>
      <c r="B6" s="10" t="s">
        <v>169</v>
      </c>
      <c r="C6" s="10" t="s">
        <v>170</v>
      </c>
      <c r="D6" s="10" t="s">
        <v>171</v>
      </c>
      <c r="E6" s="10" t="s">
        <v>172</v>
      </c>
      <c r="F6" s="10" t="s">
        <v>173</v>
      </c>
    </row>
    <row r="7" spans="1:6">
      <c r="A7" s="10" t="s">
        <v>174</v>
      </c>
      <c r="B7" s="10" t="s">
        <v>133</v>
      </c>
      <c r="C7" s="10" t="s">
        <v>175</v>
      </c>
      <c r="D7" s="10" t="s">
        <v>176</v>
      </c>
      <c r="E7" s="10" t="s">
        <v>177</v>
      </c>
      <c r="F7" s="10" t="s">
        <v>178</v>
      </c>
    </row>
    <row r="8" spans="1:6">
      <c r="A8" s="10" t="s">
        <v>179</v>
      </c>
      <c r="B8" s="10" t="s">
        <v>135</v>
      </c>
      <c r="C8" s="10" t="s">
        <v>180</v>
      </c>
      <c r="D8" s="10" t="s">
        <v>181</v>
      </c>
      <c r="E8" s="10" t="s">
        <v>182</v>
      </c>
      <c r="F8" s="10" t="s">
        <v>183</v>
      </c>
    </row>
    <row r="9" spans="1:6">
      <c r="A9" s="10" t="s">
        <v>184</v>
      </c>
      <c r="B9" s="10" t="s">
        <v>138</v>
      </c>
      <c r="C9" s="10" t="s">
        <v>185</v>
      </c>
      <c r="D9" s="10" t="s">
        <v>186</v>
      </c>
      <c r="E9" s="10" t="s">
        <v>187</v>
      </c>
      <c r="F9" s="10" t="s">
        <v>188</v>
      </c>
    </row>
    <row r="10" spans="1:6">
      <c r="A10" s="10" t="s">
        <v>189</v>
      </c>
      <c r="B10" s="10" t="s">
        <v>190</v>
      </c>
      <c r="C10" s="10" t="s">
        <v>191</v>
      </c>
      <c r="D10" s="10" t="s">
        <v>192</v>
      </c>
      <c r="E10" s="10" t="s">
        <v>187</v>
      </c>
      <c r="F10" s="10" t="s">
        <v>193</v>
      </c>
    </row>
    <row r="11" spans="1:6">
      <c r="A11" s="10" t="s">
        <v>194</v>
      </c>
      <c r="B11" s="10" t="s">
        <v>195</v>
      </c>
      <c r="C11" s="10" t="s">
        <v>196</v>
      </c>
      <c r="D11" s="10" t="s">
        <v>197</v>
      </c>
      <c r="E11" s="10" t="s">
        <v>198</v>
      </c>
      <c r="F11" s="10" t="s">
        <v>199</v>
      </c>
    </row>
    <row r="12" spans="1:6">
      <c r="A12" s="10" t="s">
        <v>200</v>
      </c>
      <c r="B12" s="10" t="s">
        <v>201</v>
      </c>
      <c r="C12" s="10" t="s">
        <v>202</v>
      </c>
      <c r="D12" s="10" t="s">
        <v>203</v>
      </c>
      <c r="E12" s="10" t="s">
        <v>204</v>
      </c>
      <c r="F12" s="10" t="s">
        <v>205</v>
      </c>
    </row>
  </sheetData>
  <mergeCells count="1">
    <mergeCell ref="A1:F1"/>
  </mergeCells>
  <printOptions horizontalCentered="1"/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Pandey-GN</dc:creator>
  <cp:keywords/>
  <dc:description/>
  <cp:lastModifiedBy/>
  <cp:revision/>
  <dcterms:created xsi:type="dcterms:W3CDTF">2026-09-24T18:08:57Z</dcterms:created>
  <dcterms:modified xsi:type="dcterms:W3CDTF">2026-09-25T09:24:22Z</dcterms:modified>
  <cp:category/>
  <cp:contentStatus/>
</cp:coreProperties>
</file>