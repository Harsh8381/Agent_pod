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rge Summary" sheetId="2" state="visible" r:id="rId2"/>
    <sheet xmlns:r="http://schemas.openxmlformats.org/officeDocument/2006/relationships" name="Payer Pricing Comparison" sheetId="3" state="visible" r:id="rId3"/>
    <sheet xmlns:r="http://schemas.openxmlformats.org/officeDocument/2006/relationships" name="IPD Charges" sheetId="4" state="visible" r:id="rId4"/>
    <sheet xmlns:r="http://schemas.openxmlformats.org/officeDocument/2006/relationships" name="OPD Charge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CDM Master" sheetId="7" state="visible" r:id="rId7"/>
    <sheet xmlns:r="http://schemas.openxmlformats.org/officeDocument/2006/relationships" name="IPD Encounter" sheetId="8" state="visible" r:id="rId8"/>
    <sheet xmlns:r="http://schemas.openxmlformats.org/officeDocument/2006/relationships" name="Charge Router Rules" sheetId="9" state="visible" r:id="rId9"/>
    <sheet xmlns:r="http://schemas.openxmlformats.org/officeDocument/2006/relationships" name="Claim Edits" sheetId="10" state="visible" r:id="rId10"/>
    <sheet xmlns:r="http://schemas.openxmlformats.org/officeDocument/2006/relationships" name="Payer Contracts" sheetId="11" state="visible" r:id="rId11"/>
    <sheet xmlns:r="http://schemas.openxmlformats.org/officeDocument/2006/relationships" name="Price Transparency" sheetId="12" state="visible" r:id="rId12"/>
    <sheet xmlns:r="http://schemas.openxmlformats.org/officeDocument/2006/relationships" name="Governance" sheetId="13" state="visible" r:id="rId13"/>
    <sheet xmlns:r="http://schemas.openxmlformats.org/officeDocument/2006/relationships" name="Audit Trail" sheetId="14" state="visible" r:id="rId14"/>
    <sheet xmlns:r="http://schemas.openxmlformats.org/officeDocument/2006/relationships" name="Data Source Map" sheetId="15" state="visible" r:id="rId15"/>
    <sheet xmlns:r="http://schemas.openxmlformats.org/officeDocument/2006/relationships" name="Data Dictionary" sheetId="16" state="visible" r:id="rId16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mmm\ d\,\ yyyy"/>
    <numFmt numFmtId="167" formatCode="\$#,##0.00;[Red]\(\$#,##0.00\);\-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F6475"/>
      <sz val="10"/>
    </font>
    <font>
      <name val="Calibri"/>
      <b val="1"/>
      <color rgb="FF17365D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17365D"/>
      <sz val="22"/>
    </font>
    <font>
      <name val="Calibri"/>
      <i val="1"/>
      <color rgb="FF4F6475"/>
      <sz val="11"/>
    </font>
    <font>
      <name val="Calibri"/>
      <i val="1"/>
      <color rgb="FF666666"/>
      <sz val="11"/>
    </font>
  </fonts>
  <fills count="9">
    <fill>
      <patternFill/>
    </fill>
    <fill>
      <patternFill patternType="gray125"/>
    </fill>
    <fill>
      <patternFill patternType="solid">
        <fgColor rgb="FF00A6A6"/>
      </patternFill>
    </fill>
    <fill>
      <patternFill patternType="solid">
        <fgColor rgb="FFEAF3F8"/>
      </patternFill>
    </fill>
    <fill>
      <patternFill patternType="solid">
        <fgColor rgb="FF008C95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6" fontId="5" fillId="0" borderId="0" applyAlignment="1" pivotButton="0" quotePrefix="0" xfId="0">
      <alignment vertical="top" wrapText="1"/>
    </xf>
    <xf numFmtId="166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0" fillId="0" borderId="0" pivotButton="0" quotePrefix="0" xfId="0"/>
    <xf numFmtId="167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7" fillId="3" borderId="0" pivotButton="0" quotePrefix="0" xfId="0"/>
    <xf numFmtId="167" fontId="7" fillId="3" borderId="0" pivotButton="0" quotePrefix="0" xfId="0"/>
    <xf numFmtId="0" fontId="4" fillId="4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top" wrapText="1"/>
    </xf>
    <xf numFmtId="164" fontId="7" fillId="3" borderId="0" applyAlignment="1" pivotButton="0" quotePrefix="0" xfId="0">
      <alignment vertical="top" wrapText="1"/>
    </xf>
    <xf numFmtId="0" fontId="0" fillId="7" borderId="0" pivotButton="0" quotePrefix="0" xfId="0"/>
    <xf numFmtId="0" fontId="4" fillId="6" borderId="0" applyAlignment="1" pivotButton="0" quotePrefix="0" xfId="0">
      <alignment horizontal="center"/>
    </xf>
    <xf numFmtId="0" fontId="7" fillId="8" borderId="0" pivotButton="0" quotePrefix="0" xfId="0"/>
    <xf numFmtId="0" fontId="9" fillId="3" borderId="0" applyAlignment="1" pivotButton="0" quotePrefix="0" xfId="0">
      <alignment wrapText="1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1" fillId="5" borderId="0" applyAlignment="1" pivotButton="0" quotePrefix="0" xfId="0">
      <alignment horizontal="left"/>
    </xf>
    <xf numFmtId="0" fontId="8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8" fillId="3" borderId="0" applyAlignment="1" pivotButton="0" quotePrefix="0" xfId="0">
      <alignment vertical="top" wrapText="1"/>
    </xf>
    <xf numFmtId="0" fontId="0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Gross vs Expected Allowed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'Charge Summary'!C4</f>
              <strCache>
                <ptCount val="1"/>
                <pt idx="0">
                  <v>Gross Charges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'Charge Summary'!$A$5:$A$6</f>
              <strCache>
                <ptCount val="2"/>
                <pt idx="0">
                  <v>IPD</v>
                </pt>
                <pt idx="1">
                  <v>OPD</v>
                </pt>
              </strCache>
            </strRef>
          </cat>
          <val>
            <numRef>
              <f>'Charge Summary'!$C$5:$C$6</f>
              <numCache>
                <formatCode>\$#,##0.00;[Red]\(\$#,##0.00\);\-</formatCode>
                <ptCount val="2"/>
                <pt idx="0">
                  <v>2005680</v>
                </pt>
                <pt idx="1">
                  <v>501560</v>
                </pt>
              </numCache>
            </numRef>
          </val>
        </ser>
        <ser>
          <idx val="1"/>
          <order val="1"/>
          <tx>
            <strRef>
              <f>'Charge Summary'!D4</f>
              <strCache>
                <ptCount val="1"/>
                <pt idx="0">
                  <v>Expected Allowed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'Charge Summary'!$A$5:$A$6</f>
              <strCache>
                <ptCount val="2"/>
                <pt idx="0">
                  <v>IPD</v>
                </pt>
                <pt idx="1">
                  <v>OPD</v>
                </pt>
              </strCache>
            </strRef>
          </cat>
          <val>
            <numRef>
              <f>'Charge Summary'!$D$5:$D$6</f>
              <numCache>
                <formatCode>\$#,##0.00;[Red]\(\$#,##0.00\);\-</formatCode>
                <ptCount val="2"/>
                <pt idx="0">
                  <v>1055813.08</v>
                </pt>
                <pt idx="1">
                  <v>266351.5600000001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Amount ($)</a:t>
                </a:r>
              </a:p>
            </rich>
          </tx>
          <overlay val="1"/>
        </title>
        <numFmt formatCode="\$#,##0.00;[Red]\(\$#,##0.0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Gross Charge Value by Department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Dashboard!B13</f>
              <strCache>
                <ptCount val="1"/>
                <pt idx="0">
                  <v>Gross Price 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Dashboard!$A$14:$A$19</f>
              <strCache>
                <ptCount val="6"/>
                <pt idx="0">
                  <v>Operating Room</v>
                </pt>
                <pt idx="1">
                  <v>Pharmacy</v>
                </pt>
                <pt idx="2">
                  <v>Radiology</v>
                </pt>
                <pt idx="3">
                  <v>Laboratory</v>
                </pt>
                <pt idx="4">
                  <v>Physical Therapy</v>
                </pt>
                <pt idx="5">
                  <v>Surgical Supplies</v>
                </pt>
              </strCache>
            </strRef>
          </cat>
          <val>
            <numRef>
              <f>Dashboard!$B$14:$B$19</f>
              <numCache>
                <formatCode>\$#,##0</formatCode>
                <ptCount val="6"/>
                <pt idx="0">
                  <v>11250</v>
                </pt>
                <pt idx="1">
                  <v>500</v>
                </pt>
                <pt idx="2">
                  <v>580</v>
                </pt>
                <pt idx="3">
                  <v>150</v>
                </pt>
                <pt idx="4">
                  <v>1000</v>
                </pt>
                <pt idx="5">
                  <v>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Gross Charge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Department</a:t>
                </a:r>
              </a:p>
            </rich>
          </tx>
          <overlay val="1"/>
        </title>
        <numFmt formatCode="\$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PDChargesTable" displayName="IPDChargesTable" ref="A4:AH224" headerRowCount="1">
  <autoFilter ref="A4:AH224"/>
  <tableColumns count="34">
    <tableColumn id="1" name="Charge Line ID"/>
    <tableColumn id="2" name="Patient Account"/>
    <tableColumn id="3" name="Encounter ID"/>
    <tableColumn id="4" name="Patient Class"/>
    <tableColumn id="5" name="Facility"/>
    <tableColumn id="6" name="Department"/>
    <tableColumn id="7" name="Service Date"/>
    <tableColumn id="8" name="Charge Code"/>
    <tableColumn id="9" name="Charge Description"/>
    <tableColumn id="10" name="Revenue Code"/>
    <tableColumn id="11" name="CPT/HCPCS"/>
    <tableColumn id="12" name="Modifier"/>
    <tableColumn id="13" name="Quantity"/>
    <tableColumn id="14" name="Unit Charge ($)"/>
    <tableColumn id="15" name="Extended Gross ($)"/>
    <tableColumn id="16" name="Expected Allowed ($)"/>
    <tableColumn id="17" name="Patient Responsibility ($)"/>
    <tableColumn id="18" name="Contractual Adjustment ($)"/>
    <tableColumn id="19" name="Payer"/>
    <tableColumn id="20" name="Plan"/>
    <tableColumn id="21" name="Authorization ID"/>
    <tableColumn id="22" name="Ordering Provider"/>
    <tableColumn id="23" name="Performing Provider"/>
    <tableColumn id="24" name="Source System"/>
    <tableColumn id="25" name="Charge Trigger"/>
    <tableColumn id="26" name="Charge Status"/>
    <tableColumn id="27" name="Reconciliation Status"/>
    <tableColumn id="28" name="Claim Edit Status"/>
    <tableColumn id="29" name="Workqueue"/>
    <tableColumn id="30" name="Medical Necessity"/>
    <tableColumn id="31" name="Diagnosis Link"/>
    <tableColumn id="32" name="Place of Service"/>
    <tableColumn id="33" name="Posting Date/Time"/>
    <tableColumn id="3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DChargesTable" displayName="OPDChargesTable" ref="A4:AH205" headerRowCount="1">
  <autoFilter ref="A4:AH205"/>
  <tableColumns count="34">
    <tableColumn id="1" name="Charge Line ID"/>
    <tableColumn id="2" name="Patient Account"/>
    <tableColumn id="3" name="Encounter ID"/>
    <tableColumn id="4" name="Patient Class"/>
    <tableColumn id="5" name="Facility"/>
    <tableColumn id="6" name="Department"/>
    <tableColumn id="7" name="Service Date"/>
    <tableColumn id="8" name="Charge Code"/>
    <tableColumn id="9" name="Charge Description"/>
    <tableColumn id="10" name="Revenue Code"/>
    <tableColumn id="11" name="CPT/HCPCS"/>
    <tableColumn id="12" name="Modifier"/>
    <tableColumn id="13" name="Quantity"/>
    <tableColumn id="14" name="Unit Charge ($)"/>
    <tableColumn id="15" name="Extended Gross ($)"/>
    <tableColumn id="16" name="Expected Allowed ($)"/>
    <tableColumn id="17" name="Patient Responsibility ($)"/>
    <tableColumn id="18" name="Contractual Adjustment ($)"/>
    <tableColumn id="19" name="Payer"/>
    <tableColumn id="20" name="Plan"/>
    <tableColumn id="21" name="Authorization ID"/>
    <tableColumn id="22" name="Ordering Provider"/>
    <tableColumn id="23" name="Performing Provider"/>
    <tableColumn id="24" name="Source System"/>
    <tableColumn id="25" name="Charge Trigger"/>
    <tableColumn id="26" name="Charge Status"/>
    <tableColumn id="27" name="Reconciliation Status"/>
    <tableColumn id="28" name="Claim Edit Status"/>
    <tableColumn id="29" name="Workqueue"/>
    <tableColumn id="30" name="Medical Necessity"/>
    <tableColumn id="31" name="Diagnosis Link"/>
    <tableColumn id="32" name="Place of Service"/>
    <tableColumn id="33" name="Posting Date/Time"/>
    <tableColumn id="3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DMMasterTable" displayName="CDMMasterTable" ref="A4:AI19" headerRowCount="1">
  <autoFilter ref="A4:AI19"/>
  <tableColumns count="35">
    <tableColumn id="1" name="Facility ID"/>
    <tableColumn id="2" name="Location"/>
    <tableColumn id="3" name="Service Area"/>
    <tableColumn id="4" name="Department ID"/>
    <tableColumn id="5" name="Department"/>
    <tableColumn id="6" name="EAP/CDM Charge Code"/>
    <tableColumn id="7" name="Charge Description"/>
    <tableColumn id="8" name="Patient-Friendly Description"/>
    <tableColumn id="9" name="Charge Type"/>
    <tableColumn id="10" name="Revenue Code"/>
    <tableColumn id="11" name="CPT/HCPCS"/>
    <tableColumn id="12" name="Modifier"/>
    <tableColumn id="13" name="NDC / Device ID"/>
    <tableColumn id="14" name="Unit Basis"/>
    <tableColumn id="15" name="Gross Unit Charge ($)"/>
    <tableColumn id="16" name="Cost ($)"/>
    <tableColumn id="17" name="Markup %"/>
    <tableColumn id="18" name="HCPCS Units"/>
    <tableColumn id="19" name="Bill Area"/>
    <tableColumn id="20" name="HB/PB"/>
    <tableColumn id="21" name="Charge Trigger"/>
    <tableColumn id="22" name="Source System"/>
    <tableColumn id="23" name="Orderable/Procedure ID"/>
    <tableColumn id="24" name="Price Tier"/>
    <tableColumn id="25" name="Taxable"/>
    <tableColumn id="26" name="Prior Auth Flag"/>
    <tableColumn id="27" name="Medical Necessity Rule"/>
    <tableColumn id="28" name="Effective Date"/>
    <tableColumn id="29" name="Termination Date"/>
    <tableColumn id="30" name="Status"/>
    <tableColumn id="31" name="Owner"/>
    <tableColumn id="32" name="Last Review Date"/>
    <tableColumn id="33" name="Next Review Date"/>
    <tableColumn id="34" name="Review Flag"/>
    <tableColumn id="35" name="Compliance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counterCharges" displayName="EncounterCharges" ref="A4:Z15" headerRowCount="1">
  <autoFilter ref="A4:Z15"/>
  <tableColumns count="26">
    <tableColumn id="1" name="Hospital Account (HAR)"/>
    <tableColumn id="2" name="Patient MRN"/>
    <tableColumn id="3" name="Encounter CSN"/>
    <tableColumn id="4" name="Patient Class"/>
    <tableColumn id="5" name="Admit Date/Time"/>
    <tableColumn id="6" name="Discharge Date/Time"/>
    <tableColumn id="7" name="Payer"/>
    <tableColumn id="8" name="Plan"/>
    <tableColumn id="9" name="DRG"/>
    <tableColumn id="10" name="Charge Code"/>
    <tableColumn id="11" name="Service Date"/>
    <tableColumn id="12" name="Department"/>
    <tableColumn id="13" name="Revenue Code"/>
    <tableColumn id="14" name="CPT/HCPCS"/>
    <tableColumn id="15" name="Modifier"/>
    <tableColumn id="16" name="Quantity"/>
    <tableColumn id="17" name="Unit Charge ($)"/>
    <tableColumn id="18" name="Extended Gross ($)"/>
    <tableColumn id="19" name="Allowed ($)"/>
    <tableColumn id="20" name="Patient Responsibility ($)"/>
    <tableColumn id="21" name="Contractual Adjustment ($)"/>
    <tableColumn id="22" name="Charge Status"/>
    <tableColumn id="23" name="Source"/>
    <tableColumn id="24" name="Reconciliation Status"/>
    <tableColumn id="25" name="Edit Status"/>
    <tableColumn id="2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uterRules" displayName="RouterRules" ref="A4:R10" headerRowCount="1">
  <autoFilter ref="A4:R10"/>
  <tableColumns count="18">
    <tableColumn id="1" name="Rule ID"/>
    <tableColumn id="2" name="Priority"/>
    <tableColumn id="3" name="Rule Name"/>
    <tableColumn id="4" name="Source Application"/>
    <tableColumn id="5" name="Trigger"/>
    <tableColumn id="6" name="Patient Class"/>
    <tableColumn id="7" name="Service Area"/>
    <tableColumn id="8" name="Condition"/>
    <tableColumn id="9" name="Action"/>
    <tableColumn id="10" name="Destination Bill Area"/>
    <tableColumn id="11" name="Hold/Release"/>
    <tableColumn id="12" name="Workqueue"/>
    <tableColumn id="13" name="Severity"/>
    <tableColumn id="14" name="Owner"/>
    <tableColumn id="15" name="Effective Date"/>
    <tableColumn id="16" name="Status"/>
    <tableColumn id="17" name="Test Scenario"/>
    <tableColumn id="18" name="Expected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laimEdits" displayName="ClaimEdits" ref="A4:N10" headerRowCount="1">
  <autoFilter ref="A4:N10"/>
  <tableColumns count="14">
    <tableColumn id="1" name="Edit ID"/>
    <tableColumn id="2" name="Claim Type"/>
    <tableColumn id="3" name="Stage"/>
    <tableColumn id="4" name="Edit Description"/>
    <tableColumn id="5" name="Logic / Validation"/>
    <tableColumn id="6" name="Disposition"/>
    <tableColumn id="7" name="Severity"/>
    <tableColumn id="8" name="Related Field"/>
    <tableColumn id="9" name="Workqueue"/>
    <tableColumn id="10" name="Owner"/>
    <tableColumn id="11" name="Regulatory/Contract Basis"/>
    <tableColumn id="12" name="Status"/>
    <tableColumn id="13" name="Last Tested"/>
    <tableColumn id="14" name="Test 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ayerContracts" displayName="PayerContracts" ref="A4:R8" headerRowCount="1">
  <autoFilter ref="A4:R8"/>
  <tableColumns count="18">
    <tableColumn id="1" name="Contract ID"/>
    <tableColumn id="2" name="Payer"/>
    <tableColumn id="3" name="Plan"/>
    <tableColumn id="4" name="Facility"/>
    <tableColumn id="5" name="Patient Class"/>
    <tableColumn id="6" name="Methodology"/>
    <tableColumn id="7" name="DRG/APC/Fee Schedule"/>
    <tableColumn id="8" name="Base Rate ($)"/>
    <tableColumn id="9" name="Per Diem ($)"/>
    <tableColumn id="10" name="Carve-Out Type"/>
    <tableColumn id="11" name="Carve-Out Rule"/>
    <tableColumn id="12" name="Coinsurance %"/>
    <tableColumn id="13" name="Deductible Applies"/>
    <tableColumn id="14" name="Effective Date"/>
    <tableColumn id="15" name="Termination Date"/>
    <tableColumn id="16" name="Status"/>
    <tableColumn id="17" name="Owner"/>
    <tableColumn id="1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iceTransparency" displayName="PriceTransparency" ref="A4:U9" headerRowCount="1">
  <autoFilter ref="A4:U9"/>
  <tableColumns count="21">
    <tableColumn id="1" name="Facility Name"/>
    <tableColumn id="2" name="Facility Address"/>
    <tableColumn id="3" name="License Number"/>
    <tableColumn id="4" name="Item/Service Code"/>
    <tableColumn id="5" name="Description"/>
    <tableColumn id="6" name="Setting"/>
    <tableColumn id="7" name="Code Type"/>
    <tableColumn id="8" name="Code"/>
    <tableColumn id="9" name="Gross Charge ($)"/>
    <tableColumn id="10" name="Discounted Cash ($)"/>
    <tableColumn id="11" name="Payer"/>
    <tableColumn id="12" name="Plan"/>
    <tableColumn id="13" name="Negotiated Charge ($)"/>
    <tableColumn id="14" name="De-identified Min ($)"/>
    <tableColumn id="15" name="De-identified Max ($)"/>
    <tableColumn id="16" name="Methodology"/>
    <tableColumn id="17" name="Last Updated"/>
    <tableColumn id="18" name="MRF Inclusion"/>
    <tableColumn id="19" name="Consumer Shoppable"/>
    <tableColumn id="20" name="Source CDM Code"/>
    <tableColumn id="21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GovernanceTable" displayName="GovernanceTable" ref="A4:R7" headerRowCount="1">
  <autoFilter ref="A4:R7"/>
  <tableColumns count="18">
    <tableColumn id="1" name="Request ID"/>
    <tableColumn id="2" name="Request Type"/>
    <tableColumn id="3" name="Requested Change"/>
    <tableColumn id="4" name="Affected Charge Code"/>
    <tableColumn id="5" name="Business Justification"/>
    <tableColumn id="6" name="Requester"/>
    <tableColumn id="7" name="Department Approval"/>
    <tableColumn id="8" name="Coding Review"/>
    <tableColumn id="9" name="Compliance Review"/>
    <tableColumn id="10" name="Finance Approval"/>
    <tableColumn id="11" name="IT Build"/>
    <tableColumn id="12" name="Test Evidence"/>
    <tableColumn id="13" name="Effective Date"/>
    <tableColumn id="14" name="Risk Level"/>
    <tableColumn id="15" name="Status"/>
    <tableColumn id="16" name="SLA Due Date"/>
    <tableColumn id="17" name="Days Open"/>
    <tableColumn id="18" name="SLA 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ditTrail" displayName="AuditTrail" ref="A4:M8" headerRowCount="1">
  <autoFilter ref="A4:M8"/>
  <tableColumns count="13">
    <tableColumn id="1" name="Audit ID"/>
    <tableColumn id="2" name="Timestamp"/>
    <tableColumn id="3" name="User/Role"/>
    <tableColumn id="4" name="Action"/>
    <tableColumn id="5" name="Object Type"/>
    <tableColumn id="6" name="Object ID"/>
    <tableColumn id="7" name="Field Changed"/>
    <tableColumn id="8" name="Old Value"/>
    <tableColumn id="9" name="New Value"/>
    <tableColumn id="10" name="Reason"/>
    <tableColumn id="11" name="Approval/Ticket"/>
    <tableColumn id="12" name="Environment"/>
    <tableColumn id="13" name="Resul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ourceMap" displayName="SourceMap" ref="A4:J12" headerRowCount="1">
  <autoFilter ref="A4:J12"/>
  <tableColumns count="10">
    <tableColumn id="1" name="Data Element"/>
    <tableColumn id="2" name="Operational Source"/>
    <tableColumn id="3" name="Epic-Aligned Workflow Area"/>
    <tableColumn id="4" name="CDM Role"/>
    <tableColumn id="5" name="Claim Output"/>
    <tableColumn id="6" name="Pricing Source"/>
    <tableColumn id="7" name="Reconciliation Control"/>
    <tableColumn id="8" name="Owner"/>
    <tableColumn id="9" name="Refresh Frequency"/>
    <tableColumn id="10" name="Key Ri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taDictionary" displayName="DataDictionary" ref="A4:J12" headerRowCount="1">
  <autoFilter ref="A4:J12"/>
  <tableColumns count="10">
    <tableColumn id="1" name="Sheet"/>
    <tableColumn id="2" name="Field"/>
    <tableColumn id="3" name="Definition"/>
    <tableColumn id="4" name="Data Type"/>
    <tableColumn id="5" name="Required"/>
    <tableColumn id="6" name="Allowed Values / Format"/>
    <tableColumn id="7" name="Validation Rule"/>
    <tableColumn id="8" name="Source of Truth"/>
    <tableColumn id="9" name="Owner"/>
    <tableColumn id="10" name="Sensitiv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32" min="1" max="1"/>
    <col width="18" customWidth="1" style="32" min="2" max="8"/>
  </cols>
  <sheetData>
    <row r="1" ht="27.95" customHeight="1" s="32">
      <c r="A1" s="25" t="inlineStr">
        <is>
          <t>Original Hospital Revenue Cycle Charge Demo</t>
        </is>
      </c>
    </row>
    <row r="2" ht="30" customHeight="1" s="32">
      <c r="A2" s="27" t="inlineStr">
        <is>
          <t>Independent synthetic demonstration workbook. It is not an Epic product, replica, extract, or proprietary build.</t>
        </is>
      </c>
    </row>
    <row r="3">
      <c r="A3" t="inlineStr">
        <is>
          <t>Purpose</t>
        </is>
      </c>
    </row>
    <row r="4" ht="38.1" customHeight="1" s="32">
      <c r="A4" s="14" t="inlineStr">
        <is>
          <t>Provides an original hospital revenue-cycle dataset with payer-specific pricing for Athena Health Insurance and Care Gap Health.</t>
        </is>
      </c>
      <c r="B4" s="26" t="inlineStr">
        <is>
          <t>Provides an original hospital revenue-cycle dataset with separate inpatient and outpatient charge-detail views, CDM controls, routing, billing edits, contracts, governance, and auditability.</t>
        </is>
      </c>
    </row>
    <row r="5" ht="38.1" customHeight="1" s="32">
      <c r="A5" s="14" t="inlineStr">
        <is>
          <t>Epic alignment</t>
        </is>
      </c>
      <c r="B5" s="26" t="inlineStr">
        <is>
          <t>Uses common US hospital billing concepts such as hospital accounts, charge routing, workqueues, facility/professional split, institutional claims, and reimbursement. No proprietary EHR design is reproduced.</t>
        </is>
      </c>
    </row>
    <row r="6" ht="38.1" customHeight="1" s="32">
      <c r="A6" s="14" t="inlineStr">
        <is>
          <t>Primary sheets</t>
        </is>
      </c>
      <c r="B6" s="26" t="inlineStr">
        <is>
          <t>CDM Master; IPD Encounter; Charge Router Rules; Claim Edits; Payer Contracts; Price Transparency; Governance; Audit Trail; Data Source Map; Data Dictionary; Dashboard.</t>
        </is>
      </c>
    </row>
    <row r="7" ht="38.1" customHeight="1" s="32">
      <c r="A7" s="14" t="inlineStr">
        <is>
          <t>Color convention</t>
        </is>
      </c>
      <c r="B7" s="26" t="inlineStr">
        <is>
          <t>Blue = editable input; black = formula/derived; green = linked/imported; gray = static reference; orange = review; red = error/hold; purple = control logic; teal = KPI/visualization.</t>
        </is>
      </c>
    </row>
    <row r="8" ht="48" customHeight="1" s="32">
      <c r="A8" s="14" t="inlineStr">
        <is>
          <t>Data disclaimer</t>
        </is>
      </c>
      <c r="B8" s="26" t="inlineStr">
        <is>
          <t>All patients, payers, prices, contracts, identifiers, effective dates, and operational scenarios are synthetic. No PHI is included.</t>
        </is>
      </c>
    </row>
    <row r="9" ht="48" customHeight="1" s="32">
      <c r="A9" s="14" t="inlineStr">
        <is>
          <t>Sources</t>
        </is>
      </c>
      <c r="B9" s="26" t="inlineStr">
        <is>
          <t>Epic public financial interface documentation: https://open.epic.com/Financial/Billing
CMS Hospital Price Transparency: https://www.cms.gov/priorities/key-initiatives/hospital-price-transparency
CMS technical implementation guide: https://github.com/CMSgov/hospital-price-transparency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32" min="1" max="1"/>
    <col width="14" customWidth="1" style="32" min="2" max="2"/>
    <col width="20" customWidth="1" style="32" min="3" max="3"/>
    <col width="22" customWidth="1" style="32" min="4" max="4"/>
    <col width="24" customWidth="1" style="32" min="5" max="5"/>
    <col width="18" customWidth="1" style="32" min="6" max="6"/>
    <col width="14" customWidth="1" style="32" min="7" max="8"/>
  </cols>
  <sheetData>
    <row r="1" ht="27.95" customHeight="1" s="32">
      <c r="A1" s="25" t="inlineStr">
        <is>
          <t>IPD and OPD Charge Summary</t>
        </is>
      </c>
    </row>
    <row r="2" ht="30" customHeight="1" s="32">
      <c r="A2" s="24" t="inlineStr">
        <is>
          <t>Executive comparison of 420 payer-priced charge rows: 220 IPD and 200 OPD.</t>
        </is>
      </c>
    </row>
    <row r="4">
      <c r="A4" s="15" t="inlineStr">
        <is>
          <t>Setting</t>
        </is>
      </c>
      <c r="B4" s="15" t="inlineStr">
        <is>
          <t>Charge Lines</t>
        </is>
      </c>
      <c r="C4" s="15" t="inlineStr">
        <is>
          <t>Gross Charges ($)</t>
        </is>
      </c>
      <c r="D4" s="15" t="inlineStr">
        <is>
          <t>Expected Allowed ($)</t>
        </is>
      </c>
      <c r="E4" s="15" t="inlineStr">
        <is>
          <t>Patient Responsibility ($)</t>
        </is>
      </c>
      <c r="F4" s="15" t="inlineStr">
        <is>
          <t>Adjustments ($)</t>
        </is>
      </c>
      <c r="G4" s="15" t="inlineStr">
        <is>
          <t>Held Charges</t>
        </is>
      </c>
      <c r="H4" s="15" t="inlineStr">
        <is>
          <t>Review Edits</t>
        </is>
      </c>
    </row>
    <row r="5">
      <c r="A5" t="inlineStr">
        <is>
          <t>IPD</t>
        </is>
      </c>
      <c r="B5">
        <f>COUNTA('IPD Charges'!A5:A500)</f>
        <v/>
      </c>
      <c r="C5" s="12">
        <f>SUM('IPD Charges'!O:O)</f>
        <v/>
      </c>
      <c r="D5" s="12">
        <f>SUM('IPD Charges'!P:P)</f>
        <v/>
      </c>
      <c r="E5" s="12">
        <f>SUM('IPD Charges'!Q:Q)</f>
        <v/>
      </c>
      <c r="F5" s="12">
        <f>SUM('IPD Charges'!R:R)</f>
        <v/>
      </c>
      <c r="G5">
        <f>COUNTIF('IPD Charges'!Z:Z,"Hold")</f>
        <v/>
      </c>
      <c r="H5">
        <f>COUNTIF('IPD Charges'!AB:AB,"Review")</f>
        <v/>
      </c>
    </row>
    <row r="6">
      <c r="A6" t="inlineStr">
        <is>
          <t>OPD</t>
        </is>
      </c>
      <c r="B6">
        <f>COUNTA('OPD Charges'!A5:A500)</f>
        <v/>
      </c>
      <c r="C6" s="12">
        <f>SUM('OPD Charges'!O:O)</f>
        <v/>
      </c>
      <c r="D6" s="12">
        <f>SUM('OPD Charges'!P:P)</f>
        <v/>
      </c>
      <c r="E6" s="12">
        <f>SUM('OPD Charges'!Q:Q)</f>
        <v/>
      </c>
      <c r="F6" s="12">
        <f>SUM('OPD Charges'!R:R)</f>
        <v/>
      </c>
      <c r="G6">
        <f>COUNTIF('OPD Charges'!Z:Z,"Hold")</f>
        <v/>
      </c>
      <c r="H6">
        <f>COUNTIF('OPD Charges'!AB:AB,"Review")</f>
        <v/>
      </c>
    </row>
    <row r="7">
      <c r="A7" s="16" t="inlineStr">
        <is>
          <t>TOTAL</t>
        </is>
      </c>
      <c r="B7" s="16">
        <f>SUM(B5:B6)</f>
        <v/>
      </c>
      <c r="C7" s="17">
        <f>SUM(C5:C6)</f>
        <v/>
      </c>
      <c r="D7" s="17">
        <f>SUM(D5:D6)</f>
        <v/>
      </c>
      <c r="E7" s="17">
        <f>SUM(E5:E6)</f>
        <v/>
      </c>
      <c r="F7" s="17">
        <f>SUM(F5:F6)</f>
        <v/>
      </c>
      <c r="G7" s="16">
        <f>SUM(G5:G6)</f>
        <v/>
      </c>
      <c r="H7" s="16">
        <f>SUM(H5:H6)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32" min="1" max="1"/>
    <col width="18" customWidth="1" style="32" min="2" max="2"/>
    <col width="15" customWidth="1" style="32" min="3" max="3"/>
    <col width="16" customWidth="1" style="32" min="4" max="4"/>
    <col width="13" customWidth="1" style="32" min="5" max="5"/>
    <col width="24" customWidth="1" style="32" min="6" max="6"/>
    <col width="22" customWidth="1" style="32" min="7" max="7"/>
    <col width="30" customWidth="1" style="32" min="8" max="8"/>
  </cols>
  <sheetData>
    <row r="1">
      <c r="A1" s="28" t="inlineStr">
        <is>
          <t>Payer Pricing Comparison</t>
        </is>
      </c>
    </row>
    <row r="2">
      <c r="A2" s="33" t="inlineStr">
        <is>
          <t>Care Gap Health negotiated allowed amounts are 10% lower than Athena for every IPD and OPD charge line.</t>
        </is>
      </c>
    </row>
    <row r="4">
      <c r="A4" s="22" t="inlineStr">
        <is>
          <t>Setting</t>
        </is>
      </c>
      <c r="B4" s="22" t="inlineStr">
        <is>
          <t>Original Services</t>
        </is>
      </c>
      <c r="C4" s="22" t="inlineStr">
        <is>
          <t>Athena Rows</t>
        </is>
      </c>
      <c r="D4" s="22" t="inlineStr">
        <is>
          <t>Care Gap Rows</t>
        </is>
      </c>
      <c r="E4" s="22" t="inlineStr">
        <is>
          <t>Total Rows</t>
        </is>
      </c>
      <c r="F4" s="22" t="inlineStr">
        <is>
          <t>Athena Pricing</t>
        </is>
      </c>
      <c r="G4" s="22" t="inlineStr">
        <is>
          <t>Care Gap Pricing</t>
        </is>
      </c>
      <c r="H4" s="22" t="inlineStr">
        <is>
          <t>Patient Coinsurance</t>
        </is>
      </c>
    </row>
    <row r="5">
      <c r="A5" s="21" t="inlineStr">
        <is>
          <t>IPD</t>
        </is>
      </c>
      <c r="B5" s="21" t="n">
        <v>110</v>
      </c>
      <c r="C5" s="21" t="n">
        <v>110</v>
      </c>
      <c r="D5" s="21" t="n">
        <v>110</v>
      </c>
      <c r="E5" s="21" t="n">
        <v>220</v>
      </c>
      <c r="F5" s="21" t="inlineStr">
        <is>
          <t>Original allowed amount</t>
        </is>
      </c>
      <c r="G5" s="21" t="inlineStr">
        <is>
          <t>10% below Athena</t>
        </is>
      </c>
      <c r="H5" s="21" t="inlineStr">
        <is>
          <t>Athena 20% / Care Gap 15%</t>
        </is>
      </c>
    </row>
    <row r="6">
      <c r="A6" s="21" t="inlineStr">
        <is>
          <t>OPD</t>
        </is>
      </c>
      <c r="B6" s="21" t="n">
        <v>100</v>
      </c>
      <c r="C6" s="21" t="n">
        <v>100</v>
      </c>
      <c r="D6" s="21" t="n">
        <v>100</v>
      </c>
      <c r="E6" s="21" t="n">
        <v>200</v>
      </c>
      <c r="F6" s="21" t="inlineStr">
        <is>
          <t>Original allowed amount</t>
        </is>
      </c>
      <c r="G6" s="21" t="inlineStr">
        <is>
          <t>10% below Athena</t>
        </is>
      </c>
      <c r="H6" s="21" t="inlineStr">
        <is>
          <t>Athena 20% / Care Gap 15%</t>
        </is>
      </c>
    </row>
    <row r="7">
      <c r="A7" s="23" t="inlineStr">
        <is>
          <t>TOTAL</t>
        </is>
      </c>
      <c r="B7" s="23">
        <f>SUM(B5:B6)</f>
        <v/>
      </c>
      <c r="C7" s="23">
        <f>SUM(C5:C6)</f>
        <v/>
      </c>
      <c r="D7" s="23">
        <f>SUM(D5:D6)</f>
        <v/>
      </c>
      <c r="E7" s="23">
        <f>SUM(E5:E6)</f>
        <v/>
      </c>
      <c r="F7" s="23" t="n"/>
      <c r="G7" s="23" t="n"/>
      <c r="H7" s="23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32" min="1" max="1"/>
    <col width="18" customWidth="1" style="32" min="2" max="3"/>
    <col width="14" customWidth="1" style="32" min="4" max="4"/>
    <col width="22" customWidth="1" style="32" min="5" max="5"/>
    <col width="24" customWidth="1" style="32" min="6" max="6"/>
    <col width="14" customWidth="1" style="32" min="7" max="7"/>
    <col width="17" customWidth="1" style="32" min="8" max="8"/>
    <col width="38" customWidth="1" style="32" min="9" max="9"/>
    <col width="12" customWidth="1" style="32" min="10" max="10"/>
    <col width="14" customWidth="1" style="32" min="11" max="11"/>
    <col width="10" customWidth="1" style="32" min="12" max="13"/>
    <col width="16" customWidth="1" style="32" min="14" max="14"/>
    <col width="18" customWidth="1" style="32" min="15" max="15"/>
    <col width="20" customWidth="1" style="32" min="16" max="16"/>
    <col width="22" customWidth="1" style="32" min="17" max="17"/>
    <col width="23" customWidth="1" style="32" min="18" max="18"/>
    <col width="16" customWidth="1" style="32" min="19" max="20"/>
    <col width="18" customWidth="1" style="32" min="21" max="21"/>
    <col width="24" customWidth="1" style="32" min="22" max="23"/>
    <col width="18" customWidth="1" style="32" min="24" max="24"/>
    <col width="25" customWidth="1" style="32" min="25" max="25"/>
    <col width="15" customWidth="1" style="32" min="26" max="26"/>
    <col width="20" customWidth="1" style="32" min="27" max="27"/>
    <col width="17" customWidth="1" style="32" min="28" max="28"/>
    <col width="18" customWidth="1" style="32" min="29" max="29"/>
    <col width="28" customWidth="1" style="32" min="30" max="30"/>
    <col width="18" customWidth="1" style="32" min="31" max="31"/>
    <col width="14" customWidth="1" style="32" min="32" max="32"/>
    <col width="21" customWidth="1" style="32" min="33" max="33"/>
    <col width="28" customWidth="1" style="32" min="34" max="34"/>
  </cols>
  <sheetData>
    <row r="1" ht="27.95" customHeight="1" s="32">
      <c r="A1" s="25" t="inlineStr">
        <is>
          <t>Inpatient Charge Detail</t>
        </is>
      </c>
    </row>
    <row r="2" ht="30" customHeight="1" s="32">
      <c r="A2" s="24" t="inlineStr">
        <is>
          <t>110 original synthetic inpatient charge lines, each represented for Athena Health Insurance and Care Gap Health (220 payer-priced rows).</t>
        </is>
      </c>
    </row>
    <row r="4" ht="42" customHeight="1" s="32">
      <c r="A4" s="18" t="inlineStr">
        <is>
          <t>Charge Line ID</t>
        </is>
      </c>
      <c r="B4" s="18" t="inlineStr">
        <is>
          <t>Patient Account</t>
        </is>
      </c>
      <c r="C4" s="18" t="inlineStr">
        <is>
          <t>Encounter ID</t>
        </is>
      </c>
      <c r="D4" s="18" t="inlineStr">
        <is>
          <t>Patient Class</t>
        </is>
      </c>
      <c r="E4" s="18" t="inlineStr">
        <is>
          <t>Facility</t>
        </is>
      </c>
      <c r="F4" s="18" t="inlineStr">
        <is>
          <t>Department</t>
        </is>
      </c>
      <c r="G4" s="18" t="inlineStr">
        <is>
          <t>Service Date</t>
        </is>
      </c>
      <c r="H4" s="18" t="inlineStr">
        <is>
          <t>Charge Code</t>
        </is>
      </c>
      <c r="I4" s="18" t="inlineStr">
        <is>
          <t>Charge Description</t>
        </is>
      </c>
      <c r="J4" s="18" t="inlineStr">
        <is>
          <t>Revenue Code</t>
        </is>
      </c>
      <c r="K4" s="18" t="inlineStr">
        <is>
          <t>CPT/HCPCS</t>
        </is>
      </c>
      <c r="L4" s="18" t="inlineStr">
        <is>
          <t>Modifier</t>
        </is>
      </c>
      <c r="M4" s="18" t="inlineStr">
        <is>
          <t>Quantity</t>
        </is>
      </c>
      <c r="N4" s="18" t="inlineStr">
        <is>
          <t>Unit Charge ($)</t>
        </is>
      </c>
      <c r="O4" s="18" t="inlineStr">
        <is>
          <t>Extended Gross ($)</t>
        </is>
      </c>
      <c r="P4" s="18" t="inlineStr">
        <is>
          <t>Expected Allowed ($)</t>
        </is>
      </c>
      <c r="Q4" s="18" t="inlineStr">
        <is>
          <t>Patient Responsibility ($)</t>
        </is>
      </c>
      <c r="R4" s="18" t="inlineStr">
        <is>
          <t>Contractual Adjustment ($)</t>
        </is>
      </c>
      <c r="S4" s="18" t="inlineStr">
        <is>
          <t>Payer</t>
        </is>
      </c>
      <c r="T4" s="18" t="inlineStr">
        <is>
          <t>Plan</t>
        </is>
      </c>
      <c r="U4" s="18" t="inlineStr">
        <is>
          <t>Authorization ID</t>
        </is>
      </c>
      <c r="V4" s="18" t="inlineStr">
        <is>
          <t>Ordering Provider</t>
        </is>
      </c>
      <c r="W4" s="18" t="inlineStr">
        <is>
          <t>Performing Provider</t>
        </is>
      </c>
      <c r="X4" s="18" t="inlineStr">
        <is>
          <t>Source System</t>
        </is>
      </c>
      <c r="Y4" s="18" t="inlineStr">
        <is>
          <t>Charge Trigger</t>
        </is>
      </c>
      <c r="Z4" s="18" t="inlineStr">
        <is>
          <t>Charge Status</t>
        </is>
      </c>
      <c r="AA4" s="18" t="inlineStr">
        <is>
          <t>Reconciliation Status</t>
        </is>
      </c>
      <c r="AB4" s="18" t="inlineStr">
        <is>
          <t>Claim Edit Status</t>
        </is>
      </c>
      <c r="AC4" s="18" t="inlineStr">
        <is>
          <t>Workqueue</t>
        </is>
      </c>
      <c r="AD4" s="18" t="inlineStr">
        <is>
          <t>Medical Necessity</t>
        </is>
      </c>
      <c r="AE4" s="18" t="inlineStr">
        <is>
          <t>Diagnosis Link</t>
        </is>
      </c>
      <c r="AF4" s="18" t="inlineStr">
        <is>
          <t>Place of Service</t>
        </is>
      </c>
      <c r="AG4" s="18" t="inlineStr">
        <is>
          <t>Posting Date/Time</t>
        </is>
      </c>
      <c r="AH4" s="18" t="inlineStr">
        <is>
          <t>Notes</t>
        </is>
      </c>
    </row>
    <row r="5">
      <c r="A5" s="26" t="inlineStr">
        <is>
          <t>IPD-CHG-0001-ATH</t>
        </is>
      </c>
      <c r="B5" s="26" t="inlineStr">
        <is>
          <t>HAR-202600001-ATH</t>
        </is>
      </c>
      <c r="C5" s="26" t="inlineStr">
        <is>
          <t>CSN-IPD-780001-ATH</t>
        </is>
      </c>
      <c r="D5" s="26" t="inlineStr">
        <is>
          <t>Inpatient</t>
        </is>
      </c>
      <c r="E5" s="26" t="inlineStr">
        <is>
          <t>Demo Regional Medical Center</t>
        </is>
      </c>
      <c r="F5" s="26" t="inlineStr">
        <is>
          <t>Accommodation</t>
        </is>
      </c>
      <c r="G5" s="26" t="inlineStr">
        <is>
          <t>2026-09-02</t>
        </is>
      </c>
      <c r="H5" s="26" t="inlineStr">
        <is>
          <t>RM-SEMI-DAY</t>
        </is>
      </c>
      <c r="I5" s="26" t="inlineStr">
        <is>
          <t>Semiprivate Medical/Surgical Room</t>
        </is>
      </c>
      <c r="J5" s="26" t="inlineStr">
        <is>
          <t>0120</t>
        </is>
      </c>
      <c r="K5" s="26" t="n"/>
      <c r="L5" s="26" t="n"/>
      <c r="M5" s="26" t="n">
        <v>1</v>
      </c>
      <c r="N5" s="13" t="n">
        <v>3500</v>
      </c>
      <c r="O5" s="13">
        <f>M5*N5</f>
        <v/>
      </c>
      <c r="P5" s="13" t="n">
        <v>1496.26</v>
      </c>
      <c r="Q5" s="13">
        <f>P5*20%</f>
        <v/>
      </c>
      <c r="R5" s="13">
        <f>O5-P5</f>
        <v/>
      </c>
      <c r="S5" s="26" t="inlineStr">
        <is>
          <t>Athena Health Insurance</t>
        </is>
      </c>
      <c r="T5" s="26" t="inlineStr">
        <is>
          <t>Athena PPO</t>
        </is>
      </c>
      <c r="U5" s="26" t="n"/>
      <c r="V5" s="26" t="inlineStr">
        <is>
          <t>Eleanor Brooks, MD</t>
        </is>
      </c>
      <c r="W5" s="26" t="inlineStr">
        <is>
          <t>Assigned Department Provider</t>
        </is>
      </c>
      <c r="X5" s="26" t="inlineStr">
        <is>
          <t>ADT</t>
        </is>
      </c>
      <c r="Y5" s="26" t="inlineStr">
        <is>
          <t>Midnight census</t>
        </is>
      </c>
      <c r="Z5" s="26" t="inlineStr">
        <is>
          <t>Posted</t>
        </is>
      </c>
      <c r="AA5" s="26" t="inlineStr">
        <is>
          <t>Matched</t>
        </is>
      </c>
      <c r="AB5" s="26" t="inlineStr">
        <is>
          <t>Passed</t>
        </is>
      </c>
      <c r="AC5" s="26" t="n"/>
      <c r="AD5" s="26" t="inlineStr">
        <is>
          <t>N/A</t>
        </is>
      </c>
      <c r="AE5" s="26" t="inlineStr">
        <is>
          <t>M17.11</t>
        </is>
      </c>
      <c r="AF5" s="26" t="inlineStr">
        <is>
          <t>21</t>
        </is>
      </c>
      <c r="AG5" s="26" t="inlineStr">
        <is>
          <t>2026-09-02 16:30</t>
        </is>
      </c>
      <c r="AH5" s="26" t="inlineStr">
        <is>
          <t>Synthetic Athena negotiated charge</t>
        </is>
      </c>
    </row>
    <row r="6">
      <c r="A6" s="26" t="inlineStr">
        <is>
          <t>IPD-CHG-0001-CGH</t>
        </is>
      </c>
      <c r="B6" s="26" t="inlineStr">
        <is>
          <t>HAR-202600001-CGH</t>
        </is>
      </c>
      <c r="C6" s="26" t="inlineStr">
        <is>
          <t>CSN-IPD-780001-CGH</t>
        </is>
      </c>
      <c r="D6" s="26" t="inlineStr">
        <is>
          <t>Inpatient</t>
        </is>
      </c>
      <c r="E6" s="26" t="inlineStr">
        <is>
          <t>Demo Regional Medical Center</t>
        </is>
      </c>
      <c r="F6" s="26" t="inlineStr">
        <is>
          <t>Accommodation</t>
        </is>
      </c>
      <c r="G6" s="26" t="inlineStr">
        <is>
          <t>2026-09-02</t>
        </is>
      </c>
      <c r="H6" s="26" t="inlineStr">
        <is>
          <t>RM-SEMI-DAY</t>
        </is>
      </c>
      <c r="I6" s="26" t="inlineStr">
        <is>
          <t>Semiprivate Medical/Surgical Room</t>
        </is>
      </c>
      <c r="J6" s="26" t="inlineStr">
        <is>
          <t>0120</t>
        </is>
      </c>
      <c r="K6" s="26" t="n"/>
      <c r="L6" s="26" t="n"/>
      <c r="M6" s="26" t="n">
        <v>1</v>
      </c>
      <c r="N6" s="13" t="n">
        <v>3500</v>
      </c>
      <c r="O6" s="13">
        <f>M6*N6</f>
        <v/>
      </c>
      <c r="P6" s="13" t="n">
        <v>1346.63</v>
      </c>
      <c r="Q6" s="13">
        <f>P6*15%</f>
        <v/>
      </c>
      <c r="R6" s="13">
        <f>O6-P6</f>
        <v/>
      </c>
      <c r="S6" s="26" t="inlineStr">
        <is>
          <t>Care Gap Health</t>
        </is>
      </c>
      <c r="T6" s="26" t="inlineStr">
        <is>
          <t>Care Gap Value PPO</t>
        </is>
      </c>
      <c r="U6" s="26" t="n"/>
      <c r="V6" s="26" t="inlineStr">
        <is>
          <t>Eleanor Brooks, MD</t>
        </is>
      </c>
      <c r="W6" s="26" t="inlineStr">
        <is>
          <t>Assigned Department Provider</t>
        </is>
      </c>
      <c r="X6" s="26" t="inlineStr">
        <is>
          <t>ADT</t>
        </is>
      </c>
      <c r="Y6" s="26" t="inlineStr">
        <is>
          <t>Midnight census</t>
        </is>
      </c>
      <c r="Z6" s="26" t="inlineStr">
        <is>
          <t>Posted</t>
        </is>
      </c>
      <c r="AA6" s="26" t="inlineStr">
        <is>
          <t>Matched</t>
        </is>
      </c>
      <c r="AB6" s="26" t="inlineStr">
        <is>
          <t>Passed</t>
        </is>
      </c>
      <c r="AC6" s="26" t="n"/>
      <c r="AD6" s="26" t="inlineStr">
        <is>
          <t>N/A</t>
        </is>
      </c>
      <c r="AE6" s="26" t="inlineStr">
        <is>
          <t>M17.11</t>
        </is>
      </c>
      <c r="AF6" s="26" t="inlineStr">
        <is>
          <t>21</t>
        </is>
      </c>
      <c r="AG6" s="26" t="inlineStr">
        <is>
          <t>2026-09-02 16:30</t>
        </is>
      </c>
      <c r="AH6" s="26" t="inlineStr">
        <is>
          <t>Synthetic Care Gap charge; 10% below Athena allowed amount</t>
        </is>
      </c>
    </row>
    <row r="7">
      <c r="A7" s="26" t="inlineStr">
        <is>
          <t>IPD-CHG-0002-ATH</t>
        </is>
      </c>
      <c r="B7" s="26" t="inlineStr">
        <is>
          <t>HAR-202600002-ATH</t>
        </is>
      </c>
      <c r="C7" s="26" t="inlineStr">
        <is>
          <t>CSN-IPD-780002-ATH</t>
        </is>
      </c>
      <c r="D7" s="26" t="inlineStr">
        <is>
          <t>Inpatient</t>
        </is>
      </c>
      <c r="E7" s="26" t="inlineStr">
        <is>
          <t>Demo Regional Medical Center</t>
        </is>
      </c>
      <c r="F7" s="26" t="inlineStr">
        <is>
          <t>Accommodation</t>
        </is>
      </c>
      <c r="G7" s="26" t="inlineStr">
        <is>
          <t>2026-09-03</t>
        </is>
      </c>
      <c r="H7" s="26" t="inlineStr">
        <is>
          <t>RM-PRIV-DAY</t>
        </is>
      </c>
      <c r="I7" s="26" t="inlineStr">
        <is>
          <t>Private Medical/Surgical Room</t>
        </is>
      </c>
      <c r="J7" s="26" t="inlineStr">
        <is>
          <t>0110</t>
        </is>
      </c>
      <c r="K7" s="26" t="n"/>
      <c r="L7" s="26" t="n"/>
      <c r="M7" s="26" t="n">
        <v>3</v>
      </c>
      <c r="N7" s="13" t="n">
        <v>4600</v>
      </c>
      <c r="O7" s="13">
        <f>M7*N7</f>
        <v/>
      </c>
      <c r="P7" s="13" t="n">
        <v>6809.85</v>
      </c>
      <c r="Q7" s="13">
        <f>P7*20%</f>
        <v/>
      </c>
      <c r="R7" s="13">
        <f>O7-P7</f>
        <v/>
      </c>
      <c r="S7" s="26" t="inlineStr">
        <is>
          <t>Athena Health Insurance</t>
        </is>
      </c>
      <c r="T7" s="26" t="inlineStr">
        <is>
          <t>Athena PPO</t>
        </is>
      </c>
      <c r="U7" s="26" t="n"/>
      <c r="V7" s="26" t="inlineStr">
        <is>
          <t>Eleanor Brooks, MD</t>
        </is>
      </c>
      <c r="W7" s="26" t="inlineStr">
        <is>
          <t>Assigned Department Provider</t>
        </is>
      </c>
      <c r="X7" s="26" t="inlineStr">
        <is>
          <t>ADT</t>
        </is>
      </c>
      <c r="Y7" s="26" t="inlineStr">
        <is>
          <t>Midnight census</t>
        </is>
      </c>
      <c r="Z7" s="26" t="inlineStr">
        <is>
          <t>Posted</t>
        </is>
      </c>
      <c r="AA7" s="26" t="inlineStr">
        <is>
          <t>Matched</t>
        </is>
      </c>
      <c r="AB7" s="26" t="inlineStr">
        <is>
          <t>Passed</t>
        </is>
      </c>
      <c r="AC7" s="26" t="n"/>
      <c r="AD7" s="26" t="inlineStr">
        <is>
          <t>N/A</t>
        </is>
      </c>
      <c r="AE7" s="26" t="inlineStr">
        <is>
          <t>M17.11</t>
        </is>
      </c>
      <c r="AF7" s="26" t="inlineStr">
        <is>
          <t>21</t>
        </is>
      </c>
      <c r="AG7" s="26" t="inlineStr">
        <is>
          <t>2026-09-03 16:30</t>
        </is>
      </c>
      <c r="AH7" s="26" t="inlineStr">
        <is>
          <t>Synthetic Athena negotiated charge</t>
        </is>
      </c>
    </row>
    <row r="8">
      <c r="A8" s="26" t="inlineStr">
        <is>
          <t>IPD-CHG-0002-CGH</t>
        </is>
      </c>
      <c r="B8" s="26" t="inlineStr">
        <is>
          <t>HAR-202600002-CGH</t>
        </is>
      </c>
      <c r="C8" s="26" t="inlineStr">
        <is>
          <t>CSN-IPD-780002-CGH</t>
        </is>
      </c>
      <c r="D8" s="26" t="inlineStr">
        <is>
          <t>Inpatient</t>
        </is>
      </c>
      <c r="E8" s="26" t="inlineStr">
        <is>
          <t>Demo Regional Medical Center</t>
        </is>
      </c>
      <c r="F8" s="26" t="inlineStr">
        <is>
          <t>Accommodation</t>
        </is>
      </c>
      <c r="G8" s="26" t="inlineStr">
        <is>
          <t>2026-09-03</t>
        </is>
      </c>
      <c r="H8" s="26" t="inlineStr">
        <is>
          <t>RM-PRIV-DAY</t>
        </is>
      </c>
      <c r="I8" s="26" t="inlineStr">
        <is>
          <t>Private Medical/Surgical Room</t>
        </is>
      </c>
      <c r="J8" s="26" t="inlineStr">
        <is>
          <t>0110</t>
        </is>
      </c>
      <c r="K8" s="26" t="n"/>
      <c r="L8" s="26" t="n"/>
      <c r="M8" s="26" t="n">
        <v>3</v>
      </c>
      <c r="N8" s="13" t="n">
        <v>4600</v>
      </c>
      <c r="O8" s="13">
        <f>M8*N8</f>
        <v/>
      </c>
      <c r="P8" s="13" t="n">
        <v>6128.87</v>
      </c>
      <c r="Q8" s="13">
        <f>P8*15%</f>
        <v/>
      </c>
      <c r="R8" s="13">
        <f>O8-P8</f>
        <v/>
      </c>
      <c r="S8" s="26" t="inlineStr">
        <is>
          <t>Care Gap Health</t>
        </is>
      </c>
      <c r="T8" s="26" t="inlineStr">
        <is>
          <t>Care Gap Value PPO</t>
        </is>
      </c>
      <c r="U8" s="26" t="n"/>
      <c r="V8" s="26" t="inlineStr">
        <is>
          <t>Eleanor Brooks, MD</t>
        </is>
      </c>
      <c r="W8" s="26" t="inlineStr">
        <is>
          <t>Assigned Department Provider</t>
        </is>
      </c>
      <c r="X8" s="26" t="inlineStr">
        <is>
          <t>ADT</t>
        </is>
      </c>
      <c r="Y8" s="26" t="inlineStr">
        <is>
          <t>Midnight census</t>
        </is>
      </c>
      <c r="Z8" s="26" t="inlineStr">
        <is>
          <t>Posted</t>
        </is>
      </c>
      <c r="AA8" s="26" t="inlineStr">
        <is>
          <t>Matched</t>
        </is>
      </c>
      <c r="AB8" s="26" t="inlineStr">
        <is>
          <t>Passed</t>
        </is>
      </c>
      <c r="AC8" s="26" t="n"/>
      <c r="AD8" s="26" t="inlineStr">
        <is>
          <t>N/A</t>
        </is>
      </c>
      <c r="AE8" s="26" t="inlineStr">
        <is>
          <t>M17.11</t>
        </is>
      </c>
      <c r="AF8" s="26" t="inlineStr">
        <is>
          <t>21</t>
        </is>
      </c>
      <c r="AG8" s="26" t="inlineStr">
        <is>
          <t>2026-09-03 16:30</t>
        </is>
      </c>
      <c r="AH8" s="26" t="inlineStr">
        <is>
          <t>Synthetic Care Gap charge; 10% below Athena allowed amount</t>
        </is>
      </c>
    </row>
    <row r="9">
      <c r="A9" s="26" t="inlineStr">
        <is>
          <t>IPD-CHG-0003-ATH</t>
        </is>
      </c>
      <c r="B9" s="26" t="inlineStr">
        <is>
          <t>HAR-202600003-ATH</t>
        </is>
      </c>
      <c r="C9" s="26" t="inlineStr">
        <is>
          <t>CSN-IPD-780003-ATH</t>
        </is>
      </c>
      <c r="D9" s="26" t="inlineStr">
        <is>
          <t>Inpatient</t>
        </is>
      </c>
      <c r="E9" s="26" t="inlineStr">
        <is>
          <t>Demo Regional Medical Center</t>
        </is>
      </c>
      <c r="F9" s="26" t="inlineStr">
        <is>
          <t>Intensive Care</t>
        </is>
      </c>
      <c r="G9" s="26" t="inlineStr">
        <is>
          <t>2026-09-04</t>
        </is>
      </c>
      <c r="H9" s="26" t="inlineStr">
        <is>
          <t>ICU-DAY</t>
        </is>
      </c>
      <c r="I9" s="26" t="inlineStr">
        <is>
          <t>Intensive Care Unit Room</t>
        </is>
      </c>
      <c r="J9" s="26" t="inlineStr">
        <is>
          <t>0200</t>
        </is>
      </c>
      <c r="K9" s="26" t="n"/>
      <c r="L9" s="26" t="n"/>
      <c r="M9" s="26" t="n">
        <v>2</v>
      </c>
      <c r="N9" s="13" t="n">
        <v>8200</v>
      </c>
      <c r="O9" s="13">
        <f>M9*N9</f>
        <v/>
      </c>
      <c r="P9" s="13" t="n">
        <v>10511.44</v>
      </c>
      <c r="Q9" s="13">
        <f>P9*20%</f>
        <v/>
      </c>
      <c r="R9" s="13">
        <f>O9-P9</f>
        <v/>
      </c>
      <c r="S9" s="26" t="inlineStr">
        <is>
          <t>Athena Health Insurance</t>
        </is>
      </c>
      <c r="T9" s="26" t="inlineStr">
        <is>
          <t>Athena PPO</t>
        </is>
      </c>
      <c r="U9" s="26" t="n"/>
      <c r="V9" s="26" t="inlineStr">
        <is>
          <t>Eleanor Brooks, MD</t>
        </is>
      </c>
      <c r="W9" s="26" t="inlineStr">
        <is>
          <t>Assigned Department Provider</t>
        </is>
      </c>
      <c r="X9" s="26" t="inlineStr">
        <is>
          <t>ADT</t>
        </is>
      </c>
      <c r="Y9" s="26" t="inlineStr">
        <is>
          <t>Midnight census</t>
        </is>
      </c>
      <c r="Z9" s="26" t="inlineStr">
        <is>
          <t>Posted</t>
        </is>
      </c>
      <c r="AA9" s="26" t="inlineStr">
        <is>
          <t>Matched</t>
        </is>
      </c>
      <c r="AB9" s="26" t="inlineStr">
        <is>
          <t>Passed</t>
        </is>
      </c>
      <c r="AC9" s="26" t="n"/>
      <c r="AD9" s="26" t="inlineStr">
        <is>
          <t>N/A</t>
        </is>
      </c>
      <c r="AE9" s="26" t="inlineStr">
        <is>
          <t>J96.01</t>
        </is>
      </c>
      <c r="AF9" s="26" t="inlineStr">
        <is>
          <t>21</t>
        </is>
      </c>
      <c r="AG9" s="26" t="inlineStr">
        <is>
          <t>2026-09-04 16:30</t>
        </is>
      </c>
      <c r="AH9" s="26" t="inlineStr">
        <is>
          <t>Synthetic Athena negotiated charge</t>
        </is>
      </c>
    </row>
    <row r="10">
      <c r="A10" s="26" t="inlineStr">
        <is>
          <t>IPD-CHG-0003-CGH</t>
        </is>
      </c>
      <c r="B10" s="26" t="inlineStr">
        <is>
          <t>HAR-202600003-CGH</t>
        </is>
      </c>
      <c r="C10" s="26" t="inlineStr">
        <is>
          <t>CSN-IPD-780003-CGH</t>
        </is>
      </c>
      <c r="D10" s="26" t="inlineStr">
        <is>
          <t>Inpatient</t>
        </is>
      </c>
      <c r="E10" s="26" t="inlineStr">
        <is>
          <t>Demo Regional Medical Center</t>
        </is>
      </c>
      <c r="F10" s="26" t="inlineStr">
        <is>
          <t>Intensive Care</t>
        </is>
      </c>
      <c r="G10" s="26" t="inlineStr">
        <is>
          <t>2026-09-04</t>
        </is>
      </c>
      <c r="H10" s="26" t="inlineStr">
        <is>
          <t>ICU-DAY</t>
        </is>
      </c>
      <c r="I10" s="26" t="inlineStr">
        <is>
          <t>Intensive Care Unit Room</t>
        </is>
      </c>
      <c r="J10" s="26" t="inlineStr">
        <is>
          <t>0200</t>
        </is>
      </c>
      <c r="K10" s="26" t="n"/>
      <c r="L10" s="26" t="n"/>
      <c r="M10" s="26" t="n">
        <v>2</v>
      </c>
      <c r="N10" s="13" t="n">
        <v>8200</v>
      </c>
      <c r="O10" s="13">
        <f>M10*N10</f>
        <v/>
      </c>
      <c r="P10" s="13" t="n">
        <v>9460.299999999999</v>
      </c>
      <c r="Q10" s="13">
        <f>P10*15%</f>
        <v/>
      </c>
      <c r="R10" s="13">
        <f>O10-P10</f>
        <v/>
      </c>
      <c r="S10" s="26" t="inlineStr">
        <is>
          <t>Care Gap Health</t>
        </is>
      </c>
      <c r="T10" s="26" t="inlineStr">
        <is>
          <t>Care Gap Value PPO</t>
        </is>
      </c>
      <c r="U10" s="26" t="n"/>
      <c r="V10" s="26" t="inlineStr">
        <is>
          <t>Eleanor Brooks, MD</t>
        </is>
      </c>
      <c r="W10" s="26" t="inlineStr">
        <is>
          <t>Assigned Department Provider</t>
        </is>
      </c>
      <c r="X10" s="26" t="inlineStr">
        <is>
          <t>ADT</t>
        </is>
      </c>
      <c r="Y10" s="26" t="inlineStr">
        <is>
          <t>Midnight census</t>
        </is>
      </c>
      <c r="Z10" s="26" t="inlineStr">
        <is>
          <t>Posted</t>
        </is>
      </c>
      <c r="AA10" s="26" t="inlineStr">
        <is>
          <t>Matched</t>
        </is>
      </c>
      <c r="AB10" s="26" t="inlineStr">
        <is>
          <t>Passed</t>
        </is>
      </c>
      <c r="AC10" s="26" t="n"/>
      <c r="AD10" s="26" t="inlineStr">
        <is>
          <t>N/A</t>
        </is>
      </c>
      <c r="AE10" s="26" t="inlineStr">
        <is>
          <t>J96.01</t>
        </is>
      </c>
      <c r="AF10" s="26" t="inlineStr">
        <is>
          <t>21</t>
        </is>
      </c>
      <c r="AG10" s="26" t="inlineStr">
        <is>
          <t>2026-09-04 16:30</t>
        </is>
      </c>
      <c r="AH10" s="26" t="inlineStr">
        <is>
          <t>Synthetic Care Gap charge; 10% below Athena allowed amount</t>
        </is>
      </c>
    </row>
    <row r="11">
      <c r="A11" s="26" t="inlineStr">
        <is>
          <t>IPD-CHG-0004-ATH</t>
        </is>
      </c>
      <c r="B11" s="26" t="inlineStr">
        <is>
          <t>HAR-202600004-ATH</t>
        </is>
      </c>
      <c r="C11" s="26" t="inlineStr">
        <is>
          <t>CSN-IPD-780004-ATH</t>
        </is>
      </c>
      <c r="D11" s="26" t="inlineStr">
        <is>
          <t>Inpatient</t>
        </is>
      </c>
      <c r="E11" s="26" t="inlineStr">
        <is>
          <t>Demo Regional Medical Center</t>
        </is>
      </c>
      <c r="F11" s="26" t="inlineStr">
        <is>
          <t>Operating Room</t>
        </is>
      </c>
      <c r="G11" s="26" t="inlineStr">
        <is>
          <t>2026-09-05</t>
        </is>
      </c>
      <c r="H11" s="26" t="inlineStr">
        <is>
          <t>OR-MAJOR-1H</t>
        </is>
      </c>
      <c r="I11" s="26" t="inlineStr">
        <is>
          <t>Major Operating Room, First Hour</t>
        </is>
      </c>
      <c r="J11" s="26" t="inlineStr">
        <is>
          <t>0360</t>
        </is>
      </c>
      <c r="K11" s="26" t="n"/>
      <c r="L11" s="26" t="n"/>
      <c r="M11" s="26" t="n">
        <v>1</v>
      </c>
      <c r="N11" s="13" t="n">
        <v>10250</v>
      </c>
      <c r="O11" s="13">
        <f>M11*N11</f>
        <v/>
      </c>
      <c r="P11" s="13" t="n">
        <v>6120.76</v>
      </c>
      <c r="Q11" s="13">
        <f>P11*20%</f>
        <v/>
      </c>
      <c r="R11" s="13">
        <f>O11-P11</f>
        <v/>
      </c>
      <c r="S11" s="26" t="inlineStr">
        <is>
          <t>Athena Health Insurance</t>
        </is>
      </c>
      <c r="T11" s="26" t="inlineStr">
        <is>
          <t>Athena PPO</t>
        </is>
      </c>
      <c r="U11" s="26" t="n"/>
      <c r="V11" s="26" t="inlineStr">
        <is>
          <t>Eleanor Brooks, MD</t>
        </is>
      </c>
      <c r="W11" s="26" t="inlineStr">
        <is>
          <t>Assigned Department Provider</t>
        </is>
      </c>
      <c r="X11" s="26" t="inlineStr">
        <is>
          <t>Perioperative</t>
        </is>
      </c>
      <c r="Y11" s="26" t="inlineStr">
        <is>
          <t>Procedure end</t>
        </is>
      </c>
      <c r="Z11" s="26" t="inlineStr">
        <is>
          <t>Posted</t>
        </is>
      </c>
      <c r="AA11" s="26" t="inlineStr">
        <is>
          <t>Matched</t>
        </is>
      </c>
      <c r="AB11" s="26" t="inlineStr">
        <is>
          <t>Passed</t>
        </is>
      </c>
      <c r="AC11" s="26" t="n"/>
      <c r="AD11" s="26" t="inlineStr">
        <is>
          <t>Procedure-specific</t>
        </is>
      </c>
      <c r="AE11" s="26" t="inlineStr">
        <is>
          <t>M17.11</t>
        </is>
      </c>
      <c r="AF11" s="26" t="inlineStr">
        <is>
          <t>21</t>
        </is>
      </c>
      <c r="AG11" s="26" t="inlineStr">
        <is>
          <t>2026-09-05 16:30</t>
        </is>
      </c>
      <c r="AH11" s="26" t="inlineStr">
        <is>
          <t>Synthetic Athena negotiated charge</t>
        </is>
      </c>
    </row>
    <row r="12">
      <c r="A12" s="26" t="inlineStr">
        <is>
          <t>IPD-CHG-0004-CGH</t>
        </is>
      </c>
      <c r="B12" s="26" t="inlineStr">
        <is>
          <t>HAR-202600004-CGH</t>
        </is>
      </c>
      <c r="C12" s="26" t="inlineStr">
        <is>
          <t>CSN-IPD-780004-CGH</t>
        </is>
      </c>
      <c r="D12" s="26" t="inlineStr">
        <is>
          <t>Inpatient</t>
        </is>
      </c>
      <c r="E12" s="26" t="inlineStr">
        <is>
          <t>Demo Regional Medical Center</t>
        </is>
      </c>
      <c r="F12" s="26" t="inlineStr">
        <is>
          <t>Operating Room</t>
        </is>
      </c>
      <c r="G12" s="26" t="inlineStr">
        <is>
          <t>2026-09-05</t>
        </is>
      </c>
      <c r="H12" s="26" t="inlineStr">
        <is>
          <t>OR-MAJOR-1H</t>
        </is>
      </c>
      <c r="I12" s="26" t="inlineStr">
        <is>
          <t>Major Operating Room, First Hour</t>
        </is>
      </c>
      <c r="J12" s="26" t="inlineStr">
        <is>
          <t>0360</t>
        </is>
      </c>
      <c r="K12" s="26" t="n"/>
      <c r="L12" s="26" t="n"/>
      <c r="M12" s="26" t="n">
        <v>1</v>
      </c>
      <c r="N12" s="13" t="n">
        <v>10250</v>
      </c>
      <c r="O12" s="13">
        <f>M12*N12</f>
        <v/>
      </c>
      <c r="P12" s="13" t="n">
        <v>5508.68</v>
      </c>
      <c r="Q12" s="13">
        <f>P12*15%</f>
        <v/>
      </c>
      <c r="R12" s="13">
        <f>O12-P12</f>
        <v/>
      </c>
      <c r="S12" s="26" t="inlineStr">
        <is>
          <t>Care Gap Health</t>
        </is>
      </c>
      <c r="T12" s="26" t="inlineStr">
        <is>
          <t>Care Gap Value PPO</t>
        </is>
      </c>
      <c r="U12" s="26" t="n"/>
      <c r="V12" s="26" t="inlineStr">
        <is>
          <t>Eleanor Brooks, MD</t>
        </is>
      </c>
      <c r="W12" s="26" t="inlineStr">
        <is>
          <t>Assigned Department Provider</t>
        </is>
      </c>
      <c r="X12" s="26" t="inlineStr">
        <is>
          <t>Perioperative</t>
        </is>
      </c>
      <c r="Y12" s="26" t="inlineStr">
        <is>
          <t>Procedure end</t>
        </is>
      </c>
      <c r="Z12" s="26" t="inlineStr">
        <is>
          <t>Posted</t>
        </is>
      </c>
      <c r="AA12" s="26" t="inlineStr">
        <is>
          <t>Matched</t>
        </is>
      </c>
      <c r="AB12" s="26" t="inlineStr">
        <is>
          <t>Passed</t>
        </is>
      </c>
      <c r="AC12" s="26" t="n"/>
      <c r="AD12" s="26" t="inlineStr">
        <is>
          <t>Procedure-specific</t>
        </is>
      </c>
      <c r="AE12" s="26" t="inlineStr">
        <is>
          <t>M17.11</t>
        </is>
      </c>
      <c r="AF12" s="26" t="inlineStr">
        <is>
          <t>21</t>
        </is>
      </c>
      <c r="AG12" s="26" t="inlineStr">
        <is>
          <t>2026-09-05 16:30</t>
        </is>
      </c>
      <c r="AH12" s="26" t="inlineStr">
        <is>
          <t>Synthetic Care Gap charge; 10% below Athena allowed amount</t>
        </is>
      </c>
    </row>
    <row r="13">
      <c r="A13" s="26" t="inlineStr">
        <is>
          <t>IPD-CHG-0005-ATH</t>
        </is>
      </c>
      <c r="B13" s="26" t="inlineStr">
        <is>
          <t>HAR-202600005-ATH</t>
        </is>
      </c>
      <c r="C13" s="26" t="inlineStr">
        <is>
          <t>CSN-IPD-780005-ATH</t>
        </is>
      </c>
      <c r="D13" s="26" t="inlineStr">
        <is>
          <t>Inpatient</t>
        </is>
      </c>
      <c r="E13" s="26" t="inlineStr">
        <is>
          <t>Demo Regional Medical Center</t>
        </is>
      </c>
      <c r="F13" s="26" t="inlineStr">
        <is>
          <t>Operating Room</t>
        </is>
      </c>
      <c r="G13" s="26" t="inlineStr">
        <is>
          <t>2026-09-06</t>
        </is>
      </c>
      <c r="H13" s="26" t="inlineStr">
        <is>
          <t>OR-ADD-15</t>
        </is>
      </c>
      <c r="I13" s="26" t="inlineStr">
        <is>
          <t>Operating Room, Additional 15 Minutes</t>
        </is>
      </c>
      <c r="J13" s="26" t="inlineStr">
        <is>
          <t>0360</t>
        </is>
      </c>
      <c r="K13" s="26" t="n"/>
      <c r="L13" s="26" t="n"/>
      <c r="M13" s="26" t="n">
        <v>2</v>
      </c>
      <c r="N13" s="13" t="n">
        <v>1280</v>
      </c>
      <c r="O13" s="13">
        <f>M13*N13</f>
        <v/>
      </c>
      <c r="P13" s="13" t="n">
        <v>1098.08</v>
      </c>
      <c r="Q13" s="13">
        <f>P13*20%</f>
        <v/>
      </c>
      <c r="R13" s="13">
        <f>O13-P13</f>
        <v/>
      </c>
      <c r="S13" s="26" t="inlineStr">
        <is>
          <t>Athena Health Insurance</t>
        </is>
      </c>
      <c r="T13" s="26" t="inlineStr">
        <is>
          <t>Athena PPO</t>
        </is>
      </c>
      <c r="U13" s="26" t="n"/>
      <c r="V13" s="26" t="inlineStr">
        <is>
          <t>Eleanor Brooks, MD</t>
        </is>
      </c>
      <c r="W13" s="26" t="inlineStr">
        <is>
          <t>Assigned Department Provider</t>
        </is>
      </c>
      <c r="X13" s="26" t="inlineStr">
        <is>
          <t>Perioperative</t>
        </is>
      </c>
      <c r="Y13" s="26" t="inlineStr">
        <is>
          <t>Procedure end</t>
        </is>
      </c>
      <c r="Z13" s="26" t="inlineStr">
        <is>
          <t>Posted</t>
        </is>
      </c>
      <c r="AA13" s="26" t="inlineStr">
        <is>
          <t>Matched</t>
        </is>
      </c>
      <c r="AB13" s="26" t="inlineStr">
        <is>
          <t>Passed</t>
        </is>
      </c>
      <c r="AC13" s="26" t="n"/>
      <c r="AD13" s="26" t="inlineStr">
        <is>
          <t>Procedure-specific</t>
        </is>
      </c>
      <c r="AE13" s="26" t="inlineStr">
        <is>
          <t>M17.11</t>
        </is>
      </c>
      <c r="AF13" s="26" t="inlineStr">
        <is>
          <t>21</t>
        </is>
      </c>
      <c r="AG13" s="26" t="inlineStr">
        <is>
          <t>2026-09-06 16:30</t>
        </is>
      </c>
      <c r="AH13" s="26" t="inlineStr">
        <is>
          <t>Synthetic Athena negotiated charge</t>
        </is>
      </c>
    </row>
    <row r="14">
      <c r="A14" s="26" t="inlineStr">
        <is>
          <t>IPD-CHG-0005-CGH</t>
        </is>
      </c>
      <c r="B14" s="26" t="inlineStr">
        <is>
          <t>HAR-202600005-CGH</t>
        </is>
      </c>
      <c r="C14" s="26" t="inlineStr">
        <is>
          <t>CSN-IPD-780005-CGH</t>
        </is>
      </c>
      <c r="D14" s="26" t="inlineStr">
        <is>
          <t>Inpatient</t>
        </is>
      </c>
      <c r="E14" s="26" t="inlineStr">
        <is>
          <t>Demo Regional Medical Center</t>
        </is>
      </c>
      <c r="F14" s="26" t="inlineStr">
        <is>
          <t>Operating Room</t>
        </is>
      </c>
      <c r="G14" s="26" t="inlineStr">
        <is>
          <t>2026-09-06</t>
        </is>
      </c>
      <c r="H14" s="26" t="inlineStr">
        <is>
          <t>OR-ADD-15</t>
        </is>
      </c>
      <c r="I14" s="26" t="inlineStr">
        <is>
          <t>Operating Room, Additional 15 Minutes</t>
        </is>
      </c>
      <c r="J14" s="26" t="inlineStr">
        <is>
          <t>0360</t>
        </is>
      </c>
      <c r="K14" s="26" t="n"/>
      <c r="L14" s="26" t="n"/>
      <c r="M14" s="26" t="n">
        <v>2</v>
      </c>
      <c r="N14" s="13" t="n">
        <v>1280</v>
      </c>
      <c r="O14" s="13">
        <f>M14*N14</f>
        <v/>
      </c>
      <c r="P14" s="13" t="n">
        <v>988.27</v>
      </c>
      <c r="Q14" s="13">
        <f>P14*15%</f>
        <v/>
      </c>
      <c r="R14" s="13">
        <f>O14-P14</f>
        <v/>
      </c>
      <c r="S14" s="26" t="inlineStr">
        <is>
          <t>Care Gap Health</t>
        </is>
      </c>
      <c r="T14" s="26" t="inlineStr">
        <is>
          <t>Care Gap Value PPO</t>
        </is>
      </c>
      <c r="U14" s="26" t="n"/>
      <c r="V14" s="26" t="inlineStr">
        <is>
          <t>Eleanor Brooks, MD</t>
        </is>
      </c>
      <c r="W14" s="26" t="inlineStr">
        <is>
          <t>Assigned Department Provider</t>
        </is>
      </c>
      <c r="X14" s="26" t="inlineStr">
        <is>
          <t>Perioperative</t>
        </is>
      </c>
      <c r="Y14" s="26" t="inlineStr">
        <is>
          <t>Procedure end</t>
        </is>
      </c>
      <c r="Z14" s="26" t="inlineStr">
        <is>
          <t>Posted</t>
        </is>
      </c>
      <c r="AA14" s="26" t="inlineStr">
        <is>
          <t>Matched</t>
        </is>
      </c>
      <c r="AB14" s="26" t="inlineStr">
        <is>
          <t>Passed</t>
        </is>
      </c>
      <c r="AC14" s="26" t="n"/>
      <c r="AD14" s="26" t="inlineStr">
        <is>
          <t>Procedure-specific</t>
        </is>
      </c>
      <c r="AE14" s="26" t="inlineStr">
        <is>
          <t>M17.11</t>
        </is>
      </c>
      <c r="AF14" s="26" t="inlineStr">
        <is>
          <t>21</t>
        </is>
      </c>
      <c r="AG14" s="26" t="inlineStr">
        <is>
          <t>2026-09-06 16:30</t>
        </is>
      </c>
      <c r="AH14" s="26" t="inlineStr">
        <is>
          <t>Synthetic Care Gap charge; 10% below Athena allowed amount</t>
        </is>
      </c>
    </row>
    <row r="15">
      <c r="A15" s="26" t="inlineStr">
        <is>
          <t>IPD-CHG-0006-ATH</t>
        </is>
      </c>
      <c r="B15" s="26" t="inlineStr">
        <is>
          <t>HAR-202600006-ATH</t>
        </is>
      </c>
      <c r="C15" s="26" t="inlineStr">
        <is>
          <t>CSN-IPD-780006-ATH</t>
        </is>
      </c>
      <c r="D15" s="26" t="inlineStr">
        <is>
          <t>Inpatient</t>
        </is>
      </c>
      <c r="E15" s="26" t="inlineStr">
        <is>
          <t>Demo Regional Medical Center</t>
        </is>
      </c>
      <c r="F15" s="26" t="inlineStr">
        <is>
          <t>Recovery Room</t>
        </is>
      </c>
      <c r="G15" s="26" t="inlineStr">
        <is>
          <t>2026-09-07</t>
        </is>
      </c>
      <c r="H15" s="26" t="inlineStr">
        <is>
          <t>PACU-1H</t>
        </is>
      </c>
      <c r="I15" s="26" t="inlineStr">
        <is>
          <t>Post-Anesthesia Care, First Hour</t>
        </is>
      </c>
      <c r="J15" s="26" t="inlineStr">
        <is>
          <t>0710</t>
        </is>
      </c>
      <c r="K15" s="26" t="n"/>
      <c r="L15" s="26" t="n"/>
      <c r="M15" s="26" t="n">
        <v>1</v>
      </c>
      <c r="N15" s="13" t="n">
        <v>2100</v>
      </c>
      <c r="O15" s="13">
        <f>M15*N15</f>
        <v/>
      </c>
      <c r="P15" s="13" t="n">
        <v>1019.74</v>
      </c>
      <c r="Q15" s="13">
        <f>P15*20%</f>
        <v/>
      </c>
      <c r="R15" s="13">
        <f>O15-P15</f>
        <v/>
      </c>
      <c r="S15" s="26" t="inlineStr">
        <is>
          <t>Athena Health Insurance</t>
        </is>
      </c>
      <c r="T15" s="26" t="inlineStr">
        <is>
          <t>Athena PPO</t>
        </is>
      </c>
      <c r="U15" s="26" t="n"/>
      <c r="V15" s="26" t="inlineStr">
        <is>
          <t>Eleanor Brooks, MD</t>
        </is>
      </c>
      <c r="W15" s="26" t="inlineStr">
        <is>
          <t>Assigned Department Provider</t>
        </is>
      </c>
      <c r="X15" s="26" t="inlineStr">
        <is>
          <t>Perioperative</t>
        </is>
      </c>
      <c r="Y15" s="26" t="inlineStr">
        <is>
          <t>PACU discharge</t>
        </is>
      </c>
      <c r="Z15" s="26" t="inlineStr">
        <is>
          <t>Posted</t>
        </is>
      </c>
      <c r="AA15" s="26" t="inlineStr">
        <is>
          <t>Matched</t>
        </is>
      </c>
      <c r="AB15" s="26" t="inlineStr">
        <is>
          <t>Passed</t>
        </is>
      </c>
      <c r="AC15" s="26" t="n"/>
      <c r="AD15" s="26" t="inlineStr">
        <is>
          <t>N/A</t>
        </is>
      </c>
      <c r="AE15" s="26" t="inlineStr">
        <is>
          <t>Z47.1</t>
        </is>
      </c>
      <c r="AF15" s="26" t="inlineStr">
        <is>
          <t>21</t>
        </is>
      </c>
      <c r="AG15" s="26" t="inlineStr">
        <is>
          <t>2026-09-07 16:30</t>
        </is>
      </c>
      <c r="AH15" s="26" t="inlineStr">
        <is>
          <t>Synthetic Athena negotiated charge</t>
        </is>
      </c>
    </row>
    <row r="16">
      <c r="A16" s="26" t="inlineStr">
        <is>
          <t>IPD-CHG-0006-CGH</t>
        </is>
      </c>
      <c r="B16" s="26" t="inlineStr">
        <is>
          <t>HAR-202600006-CGH</t>
        </is>
      </c>
      <c r="C16" s="26" t="inlineStr">
        <is>
          <t>CSN-IPD-780006-CGH</t>
        </is>
      </c>
      <c r="D16" s="26" t="inlineStr">
        <is>
          <t>Inpatient</t>
        </is>
      </c>
      <c r="E16" s="26" t="inlineStr">
        <is>
          <t>Demo Regional Medical Center</t>
        </is>
      </c>
      <c r="F16" s="26" t="inlineStr">
        <is>
          <t>Recovery Room</t>
        </is>
      </c>
      <c r="G16" s="26" t="inlineStr">
        <is>
          <t>2026-09-07</t>
        </is>
      </c>
      <c r="H16" s="26" t="inlineStr">
        <is>
          <t>PACU-1H</t>
        </is>
      </c>
      <c r="I16" s="26" t="inlineStr">
        <is>
          <t>Post-Anesthesia Care, First Hour</t>
        </is>
      </c>
      <c r="J16" s="26" t="inlineStr">
        <is>
          <t>0710</t>
        </is>
      </c>
      <c r="K16" s="26" t="n"/>
      <c r="L16" s="26" t="n"/>
      <c r="M16" s="26" t="n">
        <v>1</v>
      </c>
      <c r="N16" s="13" t="n">
        <v>2100</v>
      </c>
      <c r="O16" s="13">
        <f>M16*N16</f>
        <v/>
      </c>
      <c r="P16" s="13" t="n">
        <v>917.77</v>
      </c>
      <c r="Q16" s="13">
        <f>P16*15%</f>
        <v/>
      </c>
      <c r="R16" s="13">
        <f>O16-P16</f>
        <v/>
      </c>
      <c r="S16" s="26" t="inlineStr">
        <is>
          <t>Care Gap Health</t>
        </is>
      </c>
      <c r="T16" s="26" t="inlineStr">
        <is>
          <t>Care Gap Value PPO</t>
        </is>
      </c>
      <c r="U16" s="26" t="n"/>
      <c r="V16" s="26" t="inlineStr">
        <is>
          <t>Eleanor Brooks, MD</t>
        </is>
      </c>
      <c r="W16" s="26" t="inlineStr">
        <is>
          <t>Assigned Department Provider</t>
        </is>
      </c>
      <c r="X16" s="26" t="inlineStr">
        <is>
          <t>Perioperative</t>
        </is>
      </c>
      <c r="Y16" s="26" t="inlineStr">
        <is>
          <t>PACU discharge</t>
        </is>
      </c>
      <c r="Z16" s="26" t="inlineStr">
        <is>
          <t>Posted</t>
        </is>
      </c>
      <c r="AA16" s="26" t="inlineStr">
        <is>
          <t>Matched</t>
        </is>
      </c>
      <c r="AB16" s="26" t="inlineStr">
        <is>
          <t>Passed</t>
        </is>
      </c>
      <c r="AC16" s="26" t="n"/>
      <c r="AD16" s="26" t="inlineStr">
        <is>
          <t>N/A</t>
        </is>
      </c>
      <c r="AE16" s="26" t="inlineStr">
        <is>
          <t>Z47.1</t>
        </is>
      </c>
      <c r="AF16" s="26" t="inlineStr">
        <is>
          <t>21</t>
        </is>
      </c>
      <c r="AG16" s="26" t="inlineStr">
        <is>
          <t>2026-09-07 16:30</t>
        </is>
      </c>
      <c r="AH16" s="26" t="inlineStr">
        <is>
          <t>Synthetic Care Gap charge; 10% below Athena allowed amount</t>
        </is>
      </c>
    </row>
    <row r="17">
      <c r="A17" s="26" t="inlineStr">
        <is>
          <t>IPD-CHG-0007-ATH</t>
        </is>
      </c>
      <c r="B17" s="26" t="inlineStr">
        <is>
          <t>HAR-202600007-ATH</t>
        </is>
      </c>
      <c r="C17" s="26" t="inlineStr">
        <is>
          <t>CSN-IPD-780007-ATH</t>
        </is>
      </c>
      <c r="D17" s="26" t="inlineStr">
        <is>
          <t>Inpatient</t>
        </is>
      </c>
      <c r="E17" s="26" t="inlineStr">
        <is>
          <t>Demo Regional Medical Center</t>
        </is>
      </c>
      <c r="F17" s="26" t="inlineStr">
        <is>
          <t>Surgical Supplies</t>
        </is>
      </c>
      <c r="G17" s="26" t="inlineStr">
        <is>
          <t>2026-09-08</t>
        </is>
      </c>
      <c r="H17" s="26" t="inlineStr">
        <is>
          <t>SUP-MAJOR-PACK</t>
        </is>
      </c>
      <c r="I17" s="26" t="inlineStr">
        <is>
          <t>Major Surgery Disposable Supply Pack</t>
        </is>
      </c>
      <c r="J17" s="26" t="inlineStr">
        <is>
          <t>0270</t>
        </is>
      </c>
      <c r="K17" s="26" t="n"/>
      <c r="L17" s="26" t="n"/>
      <c r="M17" s="26" t="n">
        <v>1</v>
      </c>
      <c r="N17" s="13" t="n">
        <v>4200</v>
      </c>
      <c r="O17" s="13">
        <f>M17*N17</f>
        <v/>
      </c>
      <c r="P17" s="13" t="n">
        <v>2400.75</v>
      </c>
      <c r="Q17" s="13">
        <f>P17*20%</f>
        <v/>
      </c>
      <c r="R17" s="13">
        <f>O17-P17</f>
        <v/>
      </c>
      <c r="S17" s="26" t="inlineStr">
        <is>
          <t>Athena Health Insurance</t>
        </is>
      </c>
      <c r="T17" s="26" t="inlineStr">
        <is>
          <t>Athena PPO</t>
        </is>
      </c>
      <c r="U17" s="26" t="n"/>
      <c r="V17" s="26" t="inlineStr">
        <is>
          <t>Eleanor Brooks, MD</t>
        </is>
      </c>
      <c r="W17" s="26" t="inlineStr">
        <is>
          <t>Assigned Department Provider</t>
        </is>
      </c>
      <c r="X17" s="26" t="inlineStr">
        <is>
          <t>Inventory</t>
        </is>
      </c>
      <c r="Y17" s="26" t="inlineStr">
        <is>
          <t>Supply issue</t>
        </is>
      </c>
      <c r="Z17" s="26" t="inlineStr">
        <is>
          <t>Posted</t>
        </is>
      </c>
      <c r="AA17" s="26" t="inlineStr">
        <is>
          <t>Matched</t>
        </is>
      </c>
      <c r="AB17" s="26" t="inlineStr">
        <is>
          <t>Passed</t>
        </is>
      </c>
      <c r="AC17" s="26" t="n"/>
      <c r="AD17" s="26" t="inlineStr">
        <is>
          <t>Contract rule</t>
        </is>
      </c>
      <c r="AE17" s="26" t="inlineStr">
        <is>
          <t>Z47.1</t>
        </is>
      </c>
      <c r="AF17" s="26" t="inlineStr">
        <is>
          <t>21</t>
        </is>
      </c>
      <c r="AG17" s="26" t="inlineStr">
        <is>
          <t>2026-09-08 16:30</t>
        </is>
      </c>
      <c r="AH17" s="26" t="inlineStr">
        <is>
          <t>Synthetic Athena negotiated charge</t>
        </is>
      </c>
    </row>
    <row r="18">
      <c r="A18" s="26" t="inlineStr">
        <is>
          <t>IPD-CHG-0007-CGH</t>
        </is>
      </c>
      <c r="B18" s="26" t="inlineStr">
        <is>
          <t>HAR-202600007-CGH</t>
        </is>
      </c>
      <c r="C18" s="26" t="inlineStr">
        <is>
          <t>CSN-IPD-780007-CGH</t>
        </is>
      </c>
      <c r="D18" s="26" t="inlineStr">
        <is>
          <t>Inpatient</t>
        </is>
      </c>
      <c r="E18" s="26" t="inlineStr">
        <is>
          <t>Demo Regional Medical Center</t>
        </is>
      </c>
      <c r="F18" s="26" t="inlineStr">
        <is>
          <t>Surgical Supplies</t>
        </is>
      </c>
      <c r="G18" s="26" t="inlineStr">
        <is>
          <t>2026-09-08</t>
        </is>
      </c>
      <c r="H18" s="26" t="inlineStr">
        <is>
          <t>SUP-MAJOR-PACK</t>
        </is>
      </c>
      <c r="I18" s="26" t="inlineStr">
        <is>
          <t>Major Surgery Disposable Supply Pack</t>
        </is>
      </c>
      <c r="J18" s="26" t="inlineStr">
        <is>
          <t>0270</t>
        </is>
      </c>
      <c r="K18" s="26" t="n"/>
      <c r="L18" s="26" t="n"/>
      <c r="M18" s="26" t="n">
        <v>1</v>
      </c>
      <c r="N18" s="13" t="n">
        <v>4200</v>
      </c>
      <c r="O18" s="13">
        <f>M18*N18</f>
        <v/>
      </c>
      <c r="P18" s="13" t="n">
        <v>2160.68</v>
      </c>
      <c r="Q18" s="13">
        <f>P18*15%</f>
        <v/>
      </c>
      <c r="R18" s="13">
        <f>O18-P18</f>
        <v/>
      </c>
      <c r="S18" s="26" t="inlineStr">
        <is>
          <t>Care Gap Health</t>
        </is>
      </c>
      <c r="T18" s="26" t="inlineStr">
        <is>
          <t>Care Gap Value PPO</t>
        </is>
      </c>
      <c r="U18" s="26" t="n"/>
      <c r="V18" s="26" t="inlineStr">
        <is>
          <t>Eleanor Brooks, MD</t>
        </is>
      </c>
      <c r="W18" s="26" t="inlineStr">
        <is>
          <t>Assigned Department Provider</t>
        </is>
      </c>
      <c r="X18" s="26" t="inlineStr">
        <is>
          <t>Inventory</t>
        </is>
      </c>
      <c r="Y18" s="26" t="inlineStr">
        <is>
          <t>Supply issue</t>
        </is>
      </c>
      <c r="Z18" s="26" t="inlineStr">
        <is>
          <t>Posted</t>
        </is>
      </c>
      <c r="AA18" s="26" t="inlineStr">
        <is>
          <t>Matched</t>
        </is>
      </c>
      <c r="AB18" s="26" t="inlineStr">
        <is>
          <t>Passed</t>
        </is>
      </c>
      <c r="AC18" s="26" t="n"/>
      <c r="AD18" s="26" t="inlineStr">
        <is>
          <t>Contract rule</t>
        </is>
      </c>
      <c r="AE18" s="26" t="inlineStr">
        <is>
          <t>Z47.1</t>
        </is>
      </c>
      <c r="AF18" s="26" t="inlineStr">
        <is>
          <t>21</t>
        </is>
      </c>
      <c r="AG18" s="26" t="inlineStr">
        <is>
          <t>2026-09-08 16:30</t>
        </is>
      </c>
      <c r="AH18" s="26" t="inlineStr">
        <is>
          <t>Synthetic Care Gap charge; 10% below Athena allowed amount</t>
        </is>
      </c>
    </row>
    <row r="19">
      <c r="A19" s="26" t="inlineStr">
        <is>
          <t>IPD-CHG-0008-ATH</t>
        </is>
      </c>
      <c r="B19" s="26" t="inlineStr">
        <is>
          <t>HAR-202600008-ATH</t>
        </is>
      </c>
      <c r="C19" s="26" t="inlineStr">
        <is>
          <t>CSN-IPD-780008-ATH</t>
        </is>
      </c>
      <c r="D19" s="26" t="inlineStr">
        <is>
          <t>Inpatient</t>
        </is>
      </c>
      <c r="E19" s="26" t="inlineStr">
        <is>
          <t>Demo Regional Medical Center</t>
        </is>
      </c>
      <c r="F19" s="26" t="inlineStr">
        <is>
          <t>Implants</t>
        </is>
      </c>
      <c r="G19" s="26" t="inlineStr">
        <is>
          <t>2026-09-09</t>
        </is>
      </c>
      <c r="H19" s="26" t="inlineStr">
        <is>
          <t>IMP-KNEE-CEM</t>
        </is>
      </c>
      <c r="I19" s="26" t="inlineStr">
        <is>
          <t>Cemented Knee Implant System</t>
        </is>
      </c>
      <c r="J19" s="26" t="inlineStr">
        <is>
          <t>0278</t>
        </is>
      </c>
      <c r="K19" s="26" t="n"/>
      <c r="L19" s="26" t="n"/>
      <c r="M19" s="26" t="n">
        <v>1</v>
      </c>
      <c r="N19" s="13" t="n">
        <v>20500</v>
      </c>
      <c r="O19" s="13">
        <f>M19*N19</f>
        <v/>
      </c>
      <c r="P19" s="13" t="n">
        <v>8773.200000000001</v>
      </c>
      <c r="Q19" s="13">
        <f>P19*20%</f>
        <v/>
      </c>
      <c r="R19" s="13">
        <f>O19-P19</f>
        <v/>
      </c>
      <c r="S19" s="26" t="inlineStr">
        <is>
          <t>Athena Health Insurance</t>
        </is>
      </c>
      <c r="T19" s="26" t="inlineStr">
        <is>
          <t>Athena PPO</t>
        </is>
      </c>
      <c r="U19" s="26" t="n"/>
      <c r="V19" s="26" t="inlineStr">
        <is>
          <t>Eleanor Brooks, MD</t>
        </is>
      </c>
      <c r="W19" s="26" t="inlineStr">
        <is>
          <t>Assigned Department Provider</t>
        </is>
      </c>
      <c r="X19" s="26" t="inlineStr">
        <is>
          <t>Inventory</t>
        </is>
      </c>
      <c r="Y19" s="26" t="inlineStr">
        <is>
          <t>Implant scan</t>
        </is>
      </c>
      <c r="Z19" s="26" t="inlineStr">
        <is>
          <t>Posted</t>
        </is>
      </c>
      <c r="AA19" s="26" t="inlineStr">
        <is>
          <t>Matched</t>
        </is>
      </c>
      <c r="AB19" s="26" t="inlineStr">
        <is>
          <t>Passed</t>
        </is>
      </c>
      <c r="AC19" s="26" t="n"/>
      <c r="AD19" s="26" t="inlineStr">
        <is>
          <t>Contract rule</t>
        </is>
      </c>
      <c r="AE19" s="26" t="inlineStr">
        <is>
          <t>M17.11</t>
        </is>
      </c>
      <c r="AF19" s="26" t="inlineStr">
        <is>
          <t>21</t>
        </is>
      </c>
      <c r="AG19" s="26" t="inlineStr">
        <is>
          <t>2026-09-09 16:30</t>
        </is>
      </c>
      <c r="AH19" s="26" t="inlineStr">
        <is>
          <t>Synthetic Athena negotiated charge</t>
        </is>
      </c>
    </row>
    <row r="20">
      <c r="A20" s="26" t="inlineStr">
        <is>
          <t>IPD-CHG-0008-CGH</t>
        </is>
      </c>
      <c r="B20" s="26" t="inlineStr">
        <is>
          <t>HAR-202600008-CGH</t>
        </is>
      </c>
      <c r="C20" s="26" t="inlineStr">
        <is>
          <t>CSN-IPD-780008-CGH</t>
        </is>
      </c>
      <c r="D20" s="26" t="inlineStr">
        <is>
          <t>Inpatient</t>
        </is>
      </c>
      <c r="E20" s="26" t="inlineStr">
        <is>
          <t>Demo Regional Medical Center</t>
        </is>
      </c>
      <c r="F20" s="26" t="inlineStr">
        <is>
          <t>Implants</t>
        </is>
      </c>
      <c r="G20" s="26" t="inlineStr">
        <is>
          <t>2026-09-09</t>
        </is>
      </c>
      <c r="H20" s="26" t="inlineStr">
        <is>
          <t>IMP-KNEE-CEM</t>
        </is>
      </c>
      <c r="I20" s="26" t="inlineStr">
        <is>
          <t>Cemented Knee Implant System</t>
        </is>
      </c>
      <c r="J20" s="26" t="inlineStr">
        <is>
          <t>0278</t>
        </is>
      </c>
      <c r="K20" s="26" t="n"/>
      <c r="L20" s="26" t="n"/>
      <c r="M20" s="26" t="n">
        <v>1</v>
      </c>
      <c r="N20" s="13" t="n">
        <v>20500</v>
      </c>
      <c r="O20" s="13">
        <f>M20*N20</f>
        <v/>
      </c>
      <c r="P20" s="13" t="n">
        <v>7895.88</v>
      </c>
      <c r="Q20" s="13">
        <f>P20*15%</f>
        <v/>
      </c>
      <c r="R20" s="13">
        <f>O20-P20</f>
        <v/>
      </c>
      <c r="S20" s="26" t="inlineStr">
        <is>
          <t>Care Gap Health</t>
        </is>
      </c>
      <c r="T20" s="26" t="inlineStr">
        <is>
          <t>Care Gap Value PPO</t>
        </is>
      </c>
      <c r="U20" s="26" t="n"/>
      <c r="V20" s="26" t="inlineStr">
        <is>
          <t>Eleanor Brooks, MD</t>
        </is>
      </c>
      <c r="W20" s="26" t="inlineStr">
        <is>
          <t>Assigned Department Provider</t>
        </is>
      </c>
      <c r="X20" s="26" t="inlineStr">
        <is>
          <t>Inventory</t>
        </is>
      </c>
      <c r="Y20" s="26" t="inlineStr">
        <is>
          <t>Implant scan</t>
        </is>
      </c>
      <c r="Z20" s="26" t="inlineStr">
        <is>
          <t>Posted</t>
        </is>
      </c>
      <c r="AA20" s="26" t="inlineStr">
        <is>
          <t>Matched</t>
        </is>
      </c>
      <c r="AB20" s="26" t="inlineStr">
        <is>
          <t>Passed</t>
        </is>
      </c>
      <c r="AC20" s="26" t="n"/>
      <c r="AD20" s="26" t="inlineStr">
        <is>
          <t>Contract rule</t>
        </is>
      </c>
      <c r="AE20" s="26" t="inlineStr">
        <is>
          <t>M17.11</t>
        </is>
      </c>
      <c r="AF20" s="26" t="inlineStr">
        <is>
          <t>21</t>
        </is>
      </c>
      <c r="AG20" s="26" t="inlineStr">
        <is>
          <t>2026-09-09 16:30</t>
        </is>
      </c>
      <c r="AH20" s="26" t="inlineStr">
        <is>
          <t>Synthetic Care Gap charge; 10% below Athena allowed amount</t>
        </is>
      </c>
    </row>
    <row r="21">
      <c r="A21" s="26" t="inlineStr">
        <is>
          <t>IPD-CHG-0009-ATH</t>
        </is>
      </c>
      <c r="B21" s="26" t="inlineStr">
        <is>
          <t>HAR-202600009-ATH</t>
        </is>
      </c>
      <c r="C21" s="26" t="inlineStr">
        <is>
          <t>CSN-IPD-780009-ATH</t>
        </is>
      </c>
      <c r="D21" s="26" t="inlineStr">
        <is>
          <t>Inpatient</t>
        </is>
      </c>
      <c r="E21" s="26" t="inlineStr">
        <is>
          <t>Demo Regional Medical Center</t>
        </is>
      </c>
      <c r="F21" s="26" t="inlineStr">
        <is>
          <t>Implants</t>
        </is>
      </c>
      <c r="G21" s="26" t="inlineStr">
        <is>
          <t>2026-09-10</t>
        </is>
      </c>
      <c r="H21" s="26" t="inlineStr">
        <is>
          <t>IMP-SCREW</t>
        </is>
      </c>
      <c r="I21" s="26" t="inlineStr">
        <is>
          <t>Orthopedic Fixation Screw</t>
        </is>
      </c>
      <c r="J21" s="26" t="inlineStr">
        <is>
          <t>0278</t>
        </is>
      </c>
      <c r="K21" s="26" t="inlineStr">
        <is>
          <t>C1713</t>
        </is>
      </c>
      <c r="L21" s="26" t="n"/>
      <c r="M21" s="26" t="n">
        <v>1</v>
      </c>
      <c r="N21" s="13" t="n">
        <v>950</v>
      </c>
      <c r="O21" s="13">
        <f>M21*N21</f>
        <v/>
      </c>
      <c r="P21" s="13" t="n">
        <v>455.67</v>
      </c>
      <c r="Q21" s="13">
        <f>P21*20%</f>
        <v/>
      </c>
      <c r="R21" s="13">
        <f>O21-P21</f>
        <v/>
      </c>
      <c r="S21" s="26" t="inlineStr">
        <is>
          <t>Athena Health Insurance</t>
        </is>
      </c>
      <c r="T21" s="26" t="inlineStr">
        <is>
          <t>Athena PPO</t>
        </is>
      </c>
      <c r="U21" s="26" t="n"/>
      <c r="V21" s="26" t="inlineStr">
        <is>
          <t>Eleanor Brooks, MD</t>
        </is>
      </c>
      <c r="W21" s="26" t="inlineStr">
        <is>
          <t>Assigned Department Provider</t>
        </is>
      </c>
      <c r="X21" s="26" t="inlineStr">
        <is>
          <t>Inventory</t>
        </is>
      </c>
      <c r="Y21" s="26" t="inlineStr">
        <is>
          <t>Implant scan</t>
        </is>
      </c>
      <c r="Z21" s="26" t="inlineStr">
        <is>
          <t>Posted</t>
        </is>
      </c>
      <c r="AA21" s="26" t="inlineStr">
        <is>
          <t>Matched</t>
        </is>
      </c>
      <c r="AB21" s="26" t="inlineStr">
        <is>
          <t>Passed</t>
        </is>
      </c>
      <c r="AC21" s="26" t="n"/>
      <c r="AD21" s="26" t="inlineStr">
        <is>
          <t>Contract rule</t>
        </is>
      </c>
      <c r="AE21" s="26" t="inlineStr">
        <is>
          <t>M17.11</t>
        </is>
      </c>
      <c r="AF21" s="26" t="inlineStr">
        <is>
          <t>21</t>
        </is>
      </c>
      <c r="AG21" s="26" t="inlineStr">
        <is>
          <t>2026-09-10 16:30</t>
        </is>
      </c>
      <c r="AH21" s="26" t="inlineStr">
        <is>
          <t>Synthetic Athena negotiated charge</t>
        </is>
      </c>
    </row>
    <row r="22">
      <c r="A22" s="26" t="inlineStr">
        <is>
          <t>IPD-CHG-0009-CGH</t>
        </is>
      </c>
      <c r="B22" s="26" t="inlineStr">
        <is>
          <t>HAR-202600009-CGH</t>
        </is>
      </c>
      <c r="C22" s="26" t="inlineStr">
        <is>
          <t>CSN-IPD-780009-CGH</t>
        </is>
      </c>
      <c r="D22" s="26" t="inlineStr">
        <is>
          <t>Inpatient</t>
        </is>
      </c>
      <c r="E22" s="26" t="inlineStr">
        <is>
          <t>Demo Regional Medical Center</t>
        </is>
      </c>
      <c r="F22" s="26" t="inlineStr">
        <is>
          <t>Implants</t>
        </is>
      </c>
      <c r="G22" s="26" t="inlineStr">
        <is>
          <t>2026-09-10</t>
        </is>
      </c>
      <c r="H22" s="26" t="inlineStr">
        <is>
          <t>IMP-SCREW</t>
        </is>
      </c>
      <c r="I22" s="26" t="inlineStr">
        <is>
          <t>Orthopedic Fixation Screw</t>
        </is>
      </c>
      <c r="J22" s="26" t="inlineStr">
        <is>
          <t>0278</t>
        </is>
      </c>
      <c r="K22" s="26" t="inlineStr">
        <is>
          <t>C1713</t>
        </is>
      </c>
      <c r="L22" s="26" t="n"/>
      <c r="M22" s="26" t="n">
        <v>1</v>
      </c>
      <c r="N22" s="13" t="n">
        <v>950</v>
      </c>
      <c r="O22" s="13">
        <f>M22*N22</f>
        <v/>
      </c>
      <c r="P22" s="13" t="n">
        <v>410.1</v>
      </c>
      <c r="Q22" s="13">
        <f>P22*15%</f>
        <v/>
      </c>
      <c r="R22" s="13">
        <f>O22-P22</f>
        <v/>
      </c>
      <c r="S22" s="26" t="inlineStr">
        <is>
          <t>Care Gap Health</t>
        </is>
      </c>
      <c r="T22" s="26" t="inlineStr">
        <is>
          <t>Care Gap Value PPO</t>
        </is>
      </c>
      <c r="U22" s="26" t="n"/>
      <c r="V22" s="26" t="inlineStr">
        <is>
          <t>Eleanor Brooks, MD</t>
        </is>
      </c>
      <c r="W22" s="26" t="inlineStr">
        <is>
          <t>Assigned Department Provider</t>
        </is>
      </c>
      <c r="X22" s="26" t="inlineStr">
        <is>
          <t>Inventory</t>
        </is>
      </c>
      <c r="Y22" s="26" t="inlineStr">
        <is>
          <t>Implant scan</t>
        </is>
      </c>
      <c r="Z22" s="26" t="inlineStr">
        <is>
          <t>Posted</t>
        </is>
      </c>
      <c r="AA22" s="26" t="inlineStr">
        <is>
          <t>Matched</t>
        </is>
      </c>
      <c r="AB22" s="26" t="inlineStr">
        <is>
          <t>Passed</t>
        </is>
      </c>
      <c r="AC22" s="26" t="n"/>
      <c r="AD22" s="26" t="inlineStr">
        <is>
          <t>Contract rule</t>
        </is>
      </c>
      <c r="AE22" s="26" t="inlineStr">
        <is>
          <t>M17.11</t>
        </is>
      </c>
      <c r="AF22" s="26" t="inlineStr">
        <is>
          <t>21</t>
        </is>
      </c>
      <c r="AG22" s="26" t="inlineStr">
        <is>
          <t>2026-09-10 16:30</t>
        </is>
      </c>
      <c r="AH22" s="26" t="inlineStr">
        <is>
          <t>Synthetic Care Gap charge; 10% below Athena allowed amount</t>
        </is>
      </c>
    </row>
    <row r="23">
      <c r="A23" s="26" t="inlineStr">
        <is>
          <t>IPD-CHG-0010-ATH</t>
        </is>
      </c>
      <c r="B23" s="26" t="inlineStr">
        <is>
          <t>HAR-202600010-ATH</t>
        </is>
      </c>
      <c r="C23" s="26" t="inlineStr">
        <is>
          <t>CSN-IPD-780010-ATH</t>
        </is>
      </c>
      <c r="D23" s="26" t="inlineStr">
        <is>
          <t>Inpatient</t>
        </is>
      </c>
      <c r="E23" s="26" t="inlineStr">
        <is>
          <t>Demo Regional Medical Center</t>
        </is>
      </c>
      <c r="F23" s="26" t="inlineStr">
        <is>
          <t>Pharmacy</t>
        </is>
      </c>
      <c r="G23" s="26" t="inlineStr">
        <is>
          <t>2026-09-11</t>
        </is>
      </c>
      <c r="H23" s="26" t="inlineStr">
        <is>
          <t>DRUG-CEFA-1G</t>
        </is>
      </c>
      <c r="I23" s="26" t="inlineStr">
        <is>
          <t>Cefazolin 1 g Injection</t>
        </is>
      </c>
      <c r="J23" s="26" t="inlineStr">
        <is>
          <t>0250</t>
        </is>
      </c>
      <c r="K23" s="26" t="inlineStr">
        <is>
          <t>J0690</t>
        </is>
      </c>
      <c r="L23" s="26" t="n"/>
      <c r="M23" s="26" t="n">
        <v>3</v>
      </c>
      <c r="N23" s="13" t="n">
        <v>500</v>
      </c>
      <c r="O23" s="13">
        <f>M23*N23</f>
        <v/>
      </c>
      <c r="P23" s="13" t="n">
        <v>945.6</v>
      </c>
      <c r="Q23" s="13">
        <f>P23*20%</f>
        <v/>
      </c>
      <c r="R23" s="13">
        <f>O23-P23</f>
        <v/>
      </c>
      <c r="S23" s="26" t="inlineStr">
        <is>
          <t>Athena Health Insurance</t>
        </is>
      </c>
      <c r="T23" s="26" t="inlineStr">
        <is>
          <t>Athena PPO</t>
        </is>
      </c>
      <c r="U23" s="26" t="n"/>
      <c r="V23" s="26" t="inlineStr">
        <is>
          <t>Eleanor Brooks, MD</t>
        </is>
      </c>
      <c r="W23" s="26" t="inlineStr">
        <is>
          <t>Assigned Department Provider</t>
        </is>
      </c>
      <c r="X23" s="26" t="inlineStr">
        <is>
          <t>Pharmacy MAR</t>
        </is>
      </c>
      <c r="Y23" s="26" t="inlineStr">
        <is>
          <t>Medication administration</t>
        </is>
      </c>
      <c r="Z23" s="26" t="inlineStr">
        <is>
          <t>Posted</t>
        </is>
      </c>
      <c r="AA23" s="26" t="inlineStr">
        <is>
          <t>Matched</t>
        </is>
      </c>
      <c r="AB23" s="26" t="inlineStr">
        <is>
          <t>Passed</t>
        </is>
      </c>
      <c r="AC23" s="26" t="n"/>
      <c r="AD23" s="26" t="inlineStr">
        <is>
          <t>Dose/frequency</t>
        </is>
      </c>
      <c r="AE23" s="26" t="inlineStr">
        <is>
          <t>Z79.2</t>
        </is>
      </c>
      <c r="AF23" s="26" t="inlineStr">
        <is>
          <t>21</t>
        </is>
      </c>
      <c r="AG23" s="26" t="inlineStr">
        <is>
          <t>2026-09-11 16:30</t>
        </is>
      </c>
      <c r="AH23" s="26" t="inlineStr">
        <is>
          <t>Synthetic Athena negotiated charge</t>
        </is>
      </c>
    </row>
    <row r="24">
      <c r="A24" s="26" t="inlineStr">
        <is>
          <t>IPD-CHG-0010-CGH</t>
        </is>
      </c>
      <c r="B24" s="26" t="inlineStr">
        <is>
          <t>HAR-202600010-CGH</t>
        </is>
      </c>
      <c r="C24" s="26" t="inlineStr">
        <is>
          <t>CSN-IPD-780010-CGH</t>
        </is>
      </c>
      <c r="D24" s="26" t="inlineStr">
        <is>
          <t>Inpatient</t>
        </is>
      </c>
      <c r="E24" s="26" t="inlineStr">
        <is>
          <t>Demo Regional Medical Center</t>
        </is>
      </c>
      <c r="F24" s="26" t="inlineStr">
        <is>
          <t>Pharmacy</t>
        </is>
      </c>
      <c r="G24" s="26" t="inlineStr">
        <is>
          <t>2026-09-11</t>
        </is>
      </c>
      <c r="H24" s="26" t="inlineStr">
        <is>
          <t>DRUG-CEFA-1G</t>
        </is>
      </c>
      <c r="I24" s="26" t="inlineStr">
        <is>
          <t>Cefazolin 1 g Injection</t>
        </is>
      </c>
      <c r="J24" s="26" t="inlineStr">
        <is>
          <t>0250</t>
        </is>
      </c>
      <c r="K24" s="26" t="inlineStr">
        <is>
          <t>J0690</t>
        </is>
      </c>
      <c r="L24" s="26" t="n"/>
      <c r="M24" s="26" t="n">
        <v>3</v>
      </c>
      <c r="N24" s="13" t="n">
        <v>500</v>
      </c>
      <c r="O24" s="13">
        <f>M24*N24</f>
        <v/>
      </c>
      <c r="P24" s="13" t="n">
        <v>851.04</v>
      </c>
      <c r="Q24" s="13">
        <f>P24*15%</f>
        <v/>
      </c>
      <c r="R24" s="13">
        <f>O24-P24</f>
        <v/>
      </c>
      <c r="S24" s="26" t="inlineStr">
        <is>
          <t>Care Gap Health</t>
        </is>
      </c>
      <c r="T24" s="26" t="inlineStr">
        <is>
          <t>Care Gap Value PPO</t>
        </is>
      </c>
      <c r="U24" s="26" t="n"/>
      <c r="V24" s="26" t="inlineStr">
        <is>
          <t>Eleanor Brooks, MD</t>
        </is>
      </c>
      <c r="W24" s="26" t="inlineStr">
        <is>
          <t>Assigned Department Provider</t>
        </is>
      </c>
      <c r="X24" s="26" t="inlineStr">
        <is>
          <t>Pharmacy MAR</t>
        </is>
      </c>
      <c r="Y24" s="26" t="inlineStr">
        <is>
          <t>Medication administration</t>
        </is>
      </c>
      <c r="Z24" s="26" t="inlineStr">
        <is>
          <t>Posted</t>
        </is>
      </c>
      <c r="AA24" s="26" t="inlineStr">
        <is>
          <t>Matched</t>
        </is>
      </c>
      <c r="AB24" s="26" t="inlineStr">
        <is>
          <t>Passed</t>
        </is>
      </c>
      <c r="AC24" s="26" t="n"/>
      <c r="AD24" s="26" t="inlineStr">
        <is>
          <t>Dose/frequency</t>
        </is>
      </c>
      <c r="AE24" s="26" t="inlineStr">
        <is>
          <t>Z79.2</t>
        </is>
      </c>
      <c r="AF24" s="26" t="inlineStr">
        <is>
          <t>21</t>
        </is>
      </c>
      <c r="AG24" s="26" t="inlineStr">
        <is>
          <t>2026-09-11 16:30</t>
        </is>
      </c>
      <c r="AH24" s="26" t="inlineStr">
        <is>
          <t>Synthetic Care Gap charge; 10% below Athena allowed amount</t>
        </is>
      </c>
    </row>
    <row r="25">
      <c r="A25" s="26" t="inlineStr">
        <is>
          <t>IPD-CHG-0011-ATH</t>
        </is>
      </c>
      <c r="B25" s="26" t="inlineStr">
        <is>
          <t>HAR-202600011-ATH</t>
        </is>
      </c>
      <c r="C25" s="26" t="inlineStr">
        <is>
          <t>CSN-IPD-780011-ATH</t>
        </is>
      </c>
      <c r="D25" s="26" t="inlineStr">
        <is>
          <t>Inpatient</t>
        </is>
      </c>
      <c r="E25" s="26" t="inlineStr">
        <is>
          <t>Demo Regional Medical Center</t>
        </is>
      </c>
      <c r="F25" s="26" t="inlineStr">
        <is>
          <t>Pharmacy</t>
        </is>
      </c>
      <c r="G25" s="26" t="inlineStr">
        <is>
          <t>2026-09-12</t>
        </is>
      </c>
      <c r="H25" s="26" t="inlineStr">
        <is>
          <t>DRUG-VANC-500</t>
        </is>
      </c>
      <c r="I25" s="26" t="inlineStr">
        <is>
          <t>Vancomycin 500 mg Injection</t>
        </is>
      </c>
      <c r="J25" s="26" t="inlineStr">
        <is>
          <t>0250</t>
        </is>
      </c>
      <c r="K25" s="26" t="inlineStr">
        <is>
          <t>J3370</t>
        </is>
      </c>
      <c r="L25" s="26" t="n"/>
      <c r="M25" s="26" t="n">
        <v>2</v>
      </c>
      <c r="N25" s="13" t="n">
        <v>680</v>
      </c>
      <c r="O25" s="13">
        <f>M25*N25</f>
        <v/>
      </c>
      <c r="P25" s="13" t="n">
        <v>661.14</v>
      </c>
      <c r="Q25" s="13">
        <f>P25*20%</f>
        <v/>
      </c>
      <c r="R25" s="13">
        <f>O25-P25</f>
        <v/>
      </c>
      <c r="S25" s="26" t="inlineStr">
        <is>
          <t>Athena Health Insurance</t>
        </is>
      </c>
      <c r="T25" s="26" t="inlineStr">
        <is>
          <t>Athena PPO</t>
        </is>
      </c>
      <c r="U25" s="26" t="n"/>
      <c r="V25" s="26" t="inlineStr">
        <is>
          <t>Eleanor Brooks, MD</t>
        </is>
      </c>
      <c r="W25" s="26" t="inlineStr">
        <is>
          <t>Assigned Department Provider</t>
        </is>
      </c>
      <c r="X25" s="26" t="inlineStr">
        <is>
          <t>Pharmacy MAR</t>
        </is>
      </c>
      <c r="Y25" s="26" t="inlineStr">
        <is>
          <t>Medication administration</t>
        </is>
      </c>
      <c r="Z25" s="26" t="inlineStr">
        <is>
          <t>Posted</t>
        </is>
      </c>
      <c r="AA25" s="26" t="inlineStr">
        <is>
          <t>Matched</t>
        </is>
      </c>
      <c r="AB25" s="26" t="inlineStr">
        <is>
          <t>Passed</t>
        </is>
      </c>
      <c r="AC25" s="26" t="n"/>
      <c r="AD25" s="26" t="inlineStr">
        <is>
          <t>Dose/frequency</t>
        </is>
      </c>
      <c r="AE25" s="26" t="inlineStr">
        <is>
          <t>Z79.2</t>
        </is>
      </c>
      <c r="AF25" s="26" t="inlineStr">
        <is>
          <t>21</t>
        </is>
      </c>
      <c r="AG25" s="26" t="inlineStr">
        <is>
          <t>2026-09-12 16:30</t>
        </is>
      </c>
      <c r="AH25" s="26" t="inlineStr">
        <is>
          <t>Synthetic Athena negotiated charge</t>
        </is>
      </c>
    </row>
    <row r="26">
      <c r="A26" s="26" t="inlineStr">
        <is>
          <t>IPD-CHG-0011-CGH</t>
        </is>
      </c>
      <c r="B26" s="26" t="inlineStr">
        <is>
          <t>HAR-202600011-CGH</t>
        </is>
      </c>
      <c r="C26" s="26" t="inlineStr">
        <is>
          <t>CSN-IPD-780011-CGH</t>
        </is>
      </c>
      <c r="D26" s="26" t="inlineStr">
        <is>
          <t>Inpatient</t>
        </is>
      </c>
      <c r="E26" s="26" t="inlineStr">
        <is>
          <t>Demo Regional Medical Center</t>
        </is>
      </c>
      <c r="F26" s="26" t="inlineStr">
        <is>
          <t>Pharmacy</t>
        </is>
      </c>
      <c r="G26" s="26" t="inlineStr">
        <is>
          <t>2026-09-12</t>
        </is>
      </c>
      <c r="H26" s="26" t="inlineStr">
        <is>
          <t>DRUG-VANC-500</t>
        </is>
      </c>
      <c r="I26" s="26" t="inlineStr">
        <is>
          <t>Vancomycin 500 mg Injection</t>
        </is>
      </c>
      <c r="J26" s="26" t="inlineStr">
        <is>
          <t>0250</t>
        </is>
      </c>
      <c r="K26" s="26" t="inlineStr">
        <is>
          <t>J3370</t>
        </is>
      </c>
      <c r="L26" s="26" t="n"/>
      <c r="M26" s="26" t="n">
        <v>2</v>
      </c>
      <c r="N26" s="13" t="n">
        <v>680</v>
      </c>
      <c r="O26" s="13">
        <f>M26*N26</f>
        <v/>
      </c>
      <c r="P26" s="13" t="n">
        <v>595.03</v>
      </c>
      <c r="Q26" s="13">
        <f>P26*15%</f>
        <v/>
      </c>
      <c r="R26" s="13">
        <f>O26-P26</f>
        <v/>
      </c>
      <c r="S26" s="26" t="inlineStr">
        <is>
          <t>Care Gap Health</t>
        </is>
      </c>
      <c r="T26" s="26" t="inlineStr">
        <is>
          <t>Care Gap Value PPO</t>
        </is>
      </c>
      <c r="U26" s="26" t="n"/>
      <c r="V26" s="26" t="inlineStr">
        <is>
          <t>Eleanor Brooks, MD</t>
        </is>
      </c>
      <c r="W26" s="26" t="inlineStr">
        <is>
          <t>Assigned Department Provider</t>
        </is>
      </c>
      <c r="X26" s="26" t="inlineStr">
        <is>
          <t>Pharmacy MAR</t>
        </is>
      </c>
      <c r="Y26" s="26" t="inlineStr">
        <is>
          <t>Medication administration</t>
        </is>
      </c>
      <c r="Z26" s="26" t="inlineStr">
        <is>
          <t>Posted</t>
        </is>
      </c>
      <c r="AA26" s="26" t="inlineStr">
        <is>
          <t>Matched</t>
        </is>
      </c>
      <c r="AB26" s="26" t="inlineStr">
        <is>
          <t>Passed</t>
        </is>
      </c>
      <c r="AC26" s="26" t="n"/>
      <c r="AD26" s="26" t="inlineStr">
        <is>
          <t>Dose/frequency</t>
        </is>
      </c>
      <c r="AE26" s="26" t="inlineStr">
        <is>
          <t>Z79.2</t>
        </is>
      </c>
      <c r="AF26" s="26" t="inlineStr">
        <is>
          <t>21</t>
        </is>
      </c>
      <c r="AG26" s="26" t="inlineStr">
        <is>
          <t>2026-09-12 16:30</t>
        </is>
      </c>
      <c r="AH26" s="26" t="inlineStr">
        <is>
          <t>Synthetic Care Gap charge; 10% below Athena allowed amount</t>
        </is>
      </c>
    </row>
    <row r="27">
      <c r="A27" s="26" t="inlineStr">
        <is>
          <t>IPD-CHG-0012-ATH</t>
        </is>
      </c>
      <c r="B27" s="26" t="inlineStr">
        <is>
          <t>HAR-202600012-ATH</t>
        </is>
      </c>
      <c r="C27" s="26" t="inlineStr">
        <is>
          <t>CSN-IPD-780012-ATH</t>
        </is>
      </c>
      <c r="D27" s="26" t="inlineStr">
        <is>
          <t>Inpatient</t>
        </is>
      </c>
      <c r="E27" s="26" t="inlineStr">
        <is>
          <t>Demo Regional Medical Center</t>
        </is>
      </c>
      <c r="F27" s="26" t="inlineStr">
        <is>
          <t>Pharmacy</t>
        </is>
      </c>
      <c r="G27" s="26" t="inlineStr">
        <is>
          <t>2026-09-13</t>
        </is>
      </c>
      <c r="H27" s="26" t="inlineStr">
        <is>
          <t>IV-NS-1L</t>
        </is>
      </c>
      <c r="I27" s="26" t="inlineStr">
        <is>
          <t>Normal Saline 1,000 mL</t>
        </is>
      </c>
      <c r="J27" s="26" t="inlineStr">
        <is>
          <t>0258</t>
        </is>
      </c>
      <c r="K27" s="26" t="inlineStr">
        <is>
          <t>J7030</t>
        </is>
      </c>
      <c r="L27" s="26" t="n"/>
      <c r="M27" s="26" t="n">
        <v>3</v>
      </c>
      <c r="N27" s="13" t="n">
        <v>90</v>
      </c>
      <c r="O27" s="13">
        <f>M27*N27</f>
        <v/>
      </c>
      <c r="P27" s="13" t="n">
        <v>135.93</v>
      </c>
      <c r="Q27" s="13">
        <f>P27*20%</f>
        <v/>
      </c>
      <c r="R27" s="13">
        <f>O27-P27</f>
        <v/>
      </c>
      <c r="S27" s="26" t="inlineStr">
        <is>
          <t>Athena Health Insurance</t>
        </is>
      </c>
      <c r="T27" s="26" t="inlineStr">
        <is>
          <t>Athena PPO</t>
        </is>
      </c>
      <c r="U27" s="26" t="n"/>
      <c r="V27" s="26" t="inlineStr">
        <is>
          <t>Eleanor Brooks, MD</t>
        </is>
      </c>
      <c r="W27" s="26" t="inlineStr">
        <is>
          <t>Assigned Department Provider</t>
        </is>
      </c>
      <c r="X27" s="26" t="inlineStr">
        <is>
          <t>Pharmacy MAR</t>
        </is>
      </c>
      <c r="Y27" s="26" t="inlineStr">
        <is>
          <t>Medication administration</t>
        </is>
      </c>
      <c r="Z27" s="26" t="inlineStr">
        <is>
          <t>Posted</t>
        </is>
      </c>
      <c r="AA27" s="26" t="inlineStr">
        <is>
          <t>Matched</t>
        </is>
      </c>
      <c r="AB27" s="26" t="inlineStr">
        <is>
          <t>Passed</t>
        </is>
      </c>
      <c r="AC27" s="26" t="n"/>
      <c r="AD27" s="26" t="inlineStr">
        <is>
          <t>N/A</t>
        </is>
      </c>
      <c r="AE27" s="26" t="inlineStr">
        <is>
          <t>E86.0</t>
        </is>
      </c>
      <c r="AF27" s="26" t="inlineStr">
        <is>
          <t>21</t>
        </is>
      </c>
      <c r="AG27" s="26" t="inlineStr">
        <is>
          <t>2026-09-13 16:30</t>
        </is>
      </c>
      <c r="AH27" s="26" t="inlineStr">
        <is>
          <t>Synthetic Athena negotiated charge</t>
        </is>
      </c>
    </row>
    <row r="28">
      <c r="A28" s="26" t="inlineStr">
        <is>
          <t>IPD-CHG-0012-CGH</t>
        </is>
      </c>
      <c r="B28" s="26" t="inlineStr">
        <is>
          <t>HAR-202600012-CGH</t>
        </is>
      </c>
      <c r="C28" s="26" t="inlineStr">
        <is>
          <t>CSN-IPD-780012-CGH</t>
        </is>
      </c>
      <c r="D28" s="26" t="inlineStr">
        <is>
          <t>Inpatient</t>
        </is>
      </c>
      <c r="E28" s="26" t="inlineStr">
        <is>
          <t>Demo Regional Medical Center</t>
        </is>
      </c>
      <c r="F28" s="26" t="inlineStr">
        <is>
          <t>Pharmacy</t>
        </is>
      </c>
      <c r="G28" s="26" t="inlineStr">
        <is>
          <t>2026-09-13</t>
        </is>
      </c>
      <c r="H28" s="26" t="inlineStr">
        <is>
          <t>IV-NS-1L</t>
        </is>
      </c>
      <c r="I28" s="26" t="inlineStr">
        <is>
          <t>Normal Saline 1,000 mL</t>
        </is>
      </c>
      <c r="J28" s="26" t="inlineStr">
        <is>
          <t>0258</t>
        </is>
      </c>
      <c r="K28" s="26" t="inlineStr">
        <is>
          <t>J7030</t>
        </is>
      </c>
      <c r="L28" s="26" t="n"/>
      <c r="M28" s="26" t="n">
        <v>3</v>
      </c>
      <c r="N28" s="13" t="n">
        <v>90</v>
      </c>
      <c r="O28" s="13">
        <f>M28*N28</f>
        <v/>
      </c>
      <c r="P28" s="13" t="n">
        <v>122.34</v>
      </c>
      <c r="Q28" s="13">
        <f>P28*15%</f>
        <v/>
      </c>
      <c r="R28" s="13">
        <f>O28-P28</f>
        <v/>
      </c>
      <c r="S28" s="26" t="inlineStr">
        <is>
          <t>Care Gap Health</t>
        </is>
      </c>
      <c r="T28" s="26" t="inlineStr">
        <is>
          <t>Care Gap Value PPO</t>
        </is>
      </c>
      <c r="U28" s="26" t="n"/>
      <c r="V28" s="26" t="inlineStr">
        <is>
          <t>Eleanor Brooks, MD</t>
        </is>
      </c>
      <c r="W28" s="26" t="inlineStr">
        <is>
          <t>Assigned Department Provider</t>
        </is>
      </c>
      <c r="X28" s="26" t="inlineStr">
        <is>
          <t>Pharmacy MAR</t>
        </is>
      </c>
      <c r="Y28" s="26" t="inlineStr">
        <is>
          <t>Medication administration</t>
        </is>
      </c>
      <c r="Z28" s="26" t="inlineStr">
        <is>
          <t>Posted</t>
        </is>
      </c>
      <c r="AA28" s="26" t="inlineStr">
        <is>
          <t>Matched</t>
        </is>
      </c>
      <c r="AB28" s="26" t="inlineStr">
        <is>
          <t>Passed</t>
        </is>
      </c>
      <c r="AC28" s="26" t="n"/>
      <c r="AD28" s="26" t="inlineStr">
        <is>
          <t>N/A</t>
        </is>
      </c>
      <c r="AE28" s="26" t="inlineStr">
        <is>
          <t>E86.0</t>
        </is>
      </c>
      <c r="AF28" s="26" t="inlineStr">
        <is>
          <t>21</t>
        </is>
      </c>
      <c r="AG28" s="26" t="inlineStr">
        <is>
          <t>2026-09-13 16:30</t>
        </is>
      </c>
      <c r="AH28" s="26" t="inlineStr">
        <is>
          <t>Synthetic Care Gap charge; 10% below Athena allowed amount</t>
        </is>
      </c>
    </row>
    <row r="29">
      <c r="A29" s="26" t="inlineStr">
        <is>
          <t>IPD-CHG-0013-ATH</t>
        </is>
      </c>
      <c r="B29" s="26" t="inlineStr">
        <is>
          <t>HAR-202600013-ATH</t>
        </is>
      </c>
      <c r="C29" s="26" t="inlineStr">
        <is>
          <t>CSN-IPD-780013-ATH</t>
        </is>
      </c>
      <c r="D29" s="26" t="inlineStr">
        <is>
          <t>Inpatient</t>
        </is>
      </c>
      <c r="E29" s="26" t="inlineStr">
        <is>
          <t>Demo Regional Medical Center</t>
        </is>
      </c>
      <c r="F29" s="26" t="inlineStr">
        <is>
          <t>Laboratory</t>
        </is>
      </c>
      <c r="G29" s="26" t="inlineStr">
        <is>
          <t>2026-09-14</t>
        </is>
      </c>
      <c r="H29" s="26" t="inlineStr">
        <is>
          <t>LAB-CBC</t>
        </is>
      </c>
      <c r="I29" s="26" t="inlineStr">
        <is>
          <t>Complete Blood Count with Differential</t>
        </is>
      </c>
      <c r="J29" s="26" t="inlineStr">
        <is>
          <t>0300</t>
        </is>
      </c>
      <c r="K29" s="26" t="inlineStr">
        <is>
          <t>85025</t>
        </is>
      </c>
      <c r="L29" s="26" t="n"/>
      <c r="M29" s="26" t="n">
        <v>1</v>
      </c>
      <c r="N29" s="13" t="n">
        <v>155</v>
      </c>
      <c r="O29" s="13">
        <f>M29*N29</f>
        <v/>
      </c>
      <c r="P29" s="13" t="n">
        <v>105.52</v>
      </c>
      <c r="Q29" s="13">
        <f>P29*20%</f>
        <v/>
      </c>
      <c r="R29" s="13">
        <f>O29-P29</f>
        <v/>
      </c>
      <c r="S29" s="26" t="inlineStr">
        <is>
          <t>Athena Health Insurance</t>
        </is>
      </c>
      <c r="T29" s="26" t="inlineStr">
        <is>
          <t>Athena PPO</t>
        </is>
      </c>
      <c r="U29" s="26" t="n"/>
      <c r="V29" s="26" t="inlineStr">
        <is>
          <t>Eleanor Brooks, MD</t>
        </is>
      </c>
      <c r="W29" s="26" t="inlineStr">
        <is>
          <t>Assigned Department Provider</t>
        </is>
      </c>
      <c r="X29" s="26" t="inlineStr">
        <is>
          <t>LIS</t>
        </is>
      </c>
      <c r="Y29" s="26" t="inlineStr">
        <is>
          <t>Final result</t>
        </is>
      </c>
      <c r="Z29" s="26" t="inlineStr">
        <is>
          <t>Posted</t>
        </is>
      </c>
      <c r="AA29" s="26" t="inlineStr">
        <is>
          <t>Matched</t>
        </is>
      </c>
      <c r="AB29" s="26" t="inlineStr">
        <is>
          <t>Passed</t>
        </is>
      </c>
      <c r="AC29" s="26" t="n"/>
      <c r="AD29" s="26" t="inlineStr">
        <is>
          <t>Diagnosis/LCD</t>
        </is>
      </c>
      <c r="AE29" s="26" t="inlineStr">
        <is>
          <t>D64.9</t>
        </is>
      </c>
      <c r="AF29" s="26" t="inlineStr">
        <is>
          <t>21</t>
        </is>
      </c>
      <c r="AG29" s="26" t="inlineStr">
        <is>
          <t>2026-09-14 16:30</t>
        </is>
      </c>
      <c r="AH29" s="26" t="inlineStr">
        <is>
          <t>Synthetic Athena negotiated charge</t>
        </is>
      </c>
    </row>
    <row r="30">
      <c r="A30" s="26" t="inlineStr">
        <is>
          <t>IPD-CHG-0013-CGH</t>
        </is>
      </c>
      <c r="B30" s="26" t="inlineStr">
        <is>
          <t>HAR-202600013-CGH</t>
        </is>
      </c>
      <c r="C30" s="26" t="inlineStr">
        <is>
          <t>CSN-IPD-780013-CGH</t>
        </is>
      </c>
      <c r="D30" s="26" t="inlineStr">
        <is>
          <t>Inpatient</t>
        </is>
      </c>
      <c r="E30" s="26" t="inlineStr">
        <is>
          <t>Demo Regional Medical Center</t>
        </is>
      </c>
      <c r="F30" s="26" t="inlineStr">
        <is>
          <t>Laboratory</t>
        </is>
      </c>
      <c r="G30" s="26" t="inlineStr">
        <is>
          <t>2026-09-14</t>
        </is>
      </c>
      <c r="H30" s="26" t="inlineStr">
        <is>
          <t>LAB-CBC</t>
        </is>
      </c>
      <c r="I30" s="26" t="inlineStr">
        <is>
          <t>Complete Blood Count with Differential</t>
        </is>
      </c>
      <c r="J30" s="26" t="inlineStr">
        <is>
          <t>0300</t>
        </is>
      </c>
      <c r="K30" s="26" t="inlineStr">
        <is>
          <t>85025</t>
        </is>
      </c>
      <c r="L30" s="26" t="n"/>
      <c r="M30" s="26" t="n">
        <v>1</v>
      </c>
      <c r="N30" s="13" t="n">
        <v>155</v>
      </c>
      <c r="O30" s="13">
        <f>M30*N30</f>
        <v/>
      </c>
      <c r="P30" s="13" t="n">
        <v>94.97</v>
      </c>
      <c r="Q30" s="13">
        <f>P30*15%</f>
        <v/>
      </c>
      <c r="R30" s="13">
        <f>O30-P30</f>
        <v/>
      </c>
      <c r="S30" s="26" t="inlineStr">
        <is>
          <t>Care Gap Health</t>
        </is>
      </c>
      <c r="T30" s="26" t="inlineStr">
        <is>
          <t>Care Gap Value PPO</t>
        </is>
      </c>
      <c r="U30" s="26" t="n"/>
      <c r="V30" s="26" t="inlineStr">
        <is>
          <t>Eleanor Brooks, MD</t>
        </is>
      </c>
      <c r="W30" s="26" t="inlineStr">
        <is>
          <t>Assigned Department Provider</t>
        </is>
      </c>
      <c r="X30" s="26" t="inlineStr">
        <is>
          <t>LIS</t>
        </is>
      </c>
      <c r="Y30" s="26" t="inlineStr">
        <is>
          <t>Final result</t>
        </is>
      </c>
      <c r="Z30" s="26" t="inlineStr">
        <is>
          <t>Posted</t>
        </is>
      </c>
      <c r="AA30" s="26" t="inlineStr">
        <is>
          <t>Matched</t>
        </is>
      </c>
      <c r="AB30" s="26" t="inlineStr">
        <is>
          <t>Passed</t>
        </is>
      </c>
      <c r="AC30" s="26" t="n"/>
      <c r="AD30" s="26" t="inlineStr">
        <is>
          <t>Diagnosis/LCD</t>
        </is>
      </c>
      <c r="AE30" s="26" t="inlineStr">
        <is>
          <t>D64.9</t>
        </is>
      </c>
      <c r="AF30" s="26" t="inlineStr">
        <is>
          <t>21</t>
        </is>
      </c>
      <c r="AG30" s="26" t="inlineStr">
        <is>
          <t>2026-09-14 16:30</t>
        </is>
      </c>
      <c r="AH30" s="26" t="inlineStr">
        <is>
          <t>Synthetic Care Gap charge; 10% below Athena allowed amount</t>
        </is>
      </c>
    </row>
    <row r="31">
      <c r="A31" s="26" t="inlineStr">
        <is>
          <t>IPD-CHG-0014-ATH</t>
        </is>
      </c>
      <c r="B31" s="26" t="inlineStr">
        <is>
          <t>HAR-202600014-ATH</t>
        </is>
      </c>
      <c r="C31" s="26" t="inlineStr">
        <is>
          <t>CSN-IPD-780014-ATH</t>
        </is>
      </c>
      <c r="D31" s="26" t="inlineStr">
        <is>
          <t>Inpatient</t>
        </is>
      </c>
      <c r="E31" s="26" t="inlineStr">
        <is>
          <t>Demo Regional Medical Center</t>
        </is>
      </c>
      <c r="F31" s="26" t="inlineStr">
        <is>
          <t>Laboratory</t>
        </is>
      </c>
      <c r="G31" s="26" t="inlineStr">
        <is>
          <t>2026-09-15</t>
        </is>
      </c>
      <c r="H31" s="26" t="inlineStr">
        <is>
          <t>LAB-CMP</t>
        </is>
      </c>
      <c r="I31" s="26" t="inlineStr">
        <is>
          <t>Comprehensive Metabolic Panel</t>
        </is>
      </c>
      <c r="J31" s="26" t="inlineStr">
        <is>
          <t>0301</t>
        </is>
      </c>
      <c r="K31" s="26" t="inlineStr">
        <is>
          <t>80053</t>
        </is>
      </c>
      <c r="L31" s="26" t="n"/>
      <c r="M31" s="26" t="n">
        <v>1</v>
      </c>
      <c r="N31" s="13" t="n">
        <v>245</v>
      </c>
      <c r="O31" s="13">
        <f>M31*N31</f>
        <v/>
      </c>
      <c r="P31" s="13" t="n">
        <v>158.67</v>
      </c>
      <c r="Q31" s="13">
        <f>P31*20%</f>
        <v/>
      </c>
      <c r="R31" s="13">
        <f>O31-P31</f>
        <v/>
      </c>
      <c r="S31" s="26" t="inlineStr">
        <is>
          <t>Athena Health Insurance</t>
        </is>
      </c>
      <c r="T31" s="26" t="inlineStr">
        <is>
          <t>Athena PPO</t>
        </is>
      </c>
      <c r="U31" s="26" t="n"/>
      <c r="V31" s="26" t="inlineStr">
        <is>
          <t>Eleanor Brooks, MD</t>
        </is>
      </c>
      <c r="W31" s="26" t="inlineStr">
        <is>
          <t>Assigned Department Provider</t>
        </is>
      </c>
      <c r="X31" s="26" t="inlineStr">
        <is>
          <t>LIS</t>
        </is>
      </c>
      <c r="Y31" s="26" t="inlineStr">
        <is>
          <t>Final result</t>
        </is>
      </c>
      <c r="Z31" s="26" t="inlineStr">
        <is>
          <t>Posted</t>
        </is>
      </c>
      <c r="AA31" s="26" t="inlineStr">
        <is>
          <t>Matched</t>
        </is>
      </c>
      <c r="AB31" s="26" t="inlineStr">
        <is>
          <t>Passed</t>
        </is>
      </c>
      <c r="AC31" s="26" t="n"/>
      <c r="AD31" s="26" t="inlineStr">
        <is>
          <t>Diagnosis/LCD</t>
        </is>
      </c>
      <c r="AE31" s="26" t="inlineStr">
        <is>
          <t>E11.9</t>
        </is>
      </c>
      <c r="AF31" s="26" t="inlineStr">
        <is>
          <t>21</t>
        </is>
      </c>
      <c r="AG31" s="26" t="inlineStr">
        <is>
          <t>2026-09-15 16:30</t>
        </is>
      </c>
      <c r="AH31" s="26" t="inlineStr">
        <is>
          <t>Synthetic Athena negotiated charge</t>
        </is>
      </c>
    </row>
    <row r="32">
      <c r="A32" s="26" t="inlineStr">
        <is>
          <t>IPD-CHG-0014-CGH</t>
        </is>
      </c>
      <c r="B32" s="26" t="inlineStr">
        <is>
          <t>HAR-202600014-CGH</t>
        </is>
      </c>
      <c r="C32" s="26" t="inlineStr">
        <is>
          <t>CSN-IPD-780014-CGH</t>
        </is>
      </c>
      <c r="D32" s="26" t="inlineStr">
        <is>
          <t>Inpatient</t>
        </is>
      </c>
      <c r="E32" s="26" t="inlineStr">
        <is>
          <t>Demo Regional Medical Center</t>
        </is>
      </c>
      <c r="F32" s="26" t="inlineStr">
        <is>
          <t>Laboratory</t>
        </is>
      </c>
      <c r="G32" s="26" t="inlineStr">
        <is>
          <t>2026-09-15</t>
        </is>
      </c>
      <c r="H32" s="26" t="inlineStr">
        <is>
          <t>LAB-CMP</t>
        </is>
      </c>
      <c r="I32" s="26" t="inlineStr">
        <is>
          <t>Comprehensive Metabolic Panel</t>
        </is>
      </c>
      <c r="J32" s="26" t="inlineStr">
        <is>
          <t>0301</t>
        </is>
      </c>
      <c r="K32" s="26" t="inlineStr">
        <is>
          <t>80053</t>
        </is>
      </c>
      <c r="L32" s="26" t="n"/>
      <c r="M32" s="26" t="n">
        <v>1</v>
      </c>
      <c r="N32" s="13" t="n">
        <v>245</v>
      </c>
      <c r="O32" s="13">
        <f>M32*N32</f>
        <v/>
      </c>
      <c r="P32" s="13" t="n">
        <v>142.8</v>
      </c>
      <c r="Q32" s="13">
        <f>P32*15%</f>
        <v/>
      </c>
      <c r="R32" s="13">
        <f>O32-P32</f>
        <v/>
      </c>
      <c r="S32" s="26" t="inlineStr">
        <is>
          <t>Care Gap Health</t>
        </is>
      </c>
      <c r="T32" s="26" t="inlineStr">
        <is>
          <t>Care Gap Value PPO</t>
        </is>
      </c>
      <c r="U32" s="26" t="n"/>
      <c r="V32" s="26" t="inlineStr">
        <is>
          <t>Eleanor Brooks, MD</t>
        </is>
      </c>
      <c r="W32" s="26" t="inlineStr">
        <is>
          <t>Assigned Department Provider</t>
        </is>
      </c>
      <c r="X32" s="26" t="inlineStr">
        <is>
          <t>LIS</t>
        </is>
      </c>
      <c r="Y32" s="26" t="inlineStr">
        <is>
          <t>Final result</t>
        </is>
      </c>
      <c r="Z32" s="26" t="inlineStr">
        <is>
          <t>Posted</t>
        </is>
      </c>
      <c r="AA32" s="26" t="inlineStr">
        <is>
          <t>Matched</t>
        </is>
      </c>
      <c r="AB32" s="26" t="inlineStr">
        <is>
          <t>Passed</t>
        </is>
      </c>
      <c r="AC32" s="26" t="n"/>
      <c r="AD32" s="26" t="inlineStr">
        <is>
          <t>Diagnosis/LCD</t>
        </is>
      </c>
      <c r="AE32" s="26" t="inlineStr">
        <is>
          <t>E11.9</t>
        </is>
      </c>
      <c r="AF32" s="26" t="inlineStr">
        <is>
          <t>21</t>
        </is>
      </c>
      <c r="AG32" s="26" t="inlineStr">
        <is>
          <t>2026-09-15 16:30</t>
        </is>
      </c>
      <c r="AH32" s="26" t="inlineStr">
        <is>
          <t>Synthetic Care Gap charge; 10% below Athena allowed amount</t>
        </is>
      </c>
    </row>
    <row r="33">
      <c r="A33" s="26" t="inlineStr">
        <is>
          <t>IPD-CHG-0015-ATH</t>
        </is>
      </c>
      <c r="B33" s="26" t="inlineStr">
        <is>
          <t>HAR-202600015-ATH</t>
        </is>
      </c>
      <c r="C33" s="26" t="inlineStr">
        <is>
          <t>CSN-IPD-780015-ATH</t>
        </is>
      </c>
      <c r="D33" s="26" t="inlineStr">
        <is>
          <t>Inpatient</t>
        </is>
      </c>
      <c r="E33" s="26" t="inlineStr">
        <is>
          <t>Demo Regional Medical Center</t>
        </is>
      </c>
      <c r="F33" s="26" t="inlineStr">
        <is>
          <t>Laboratory</t>
        </is>
      </c>
      <c r="G33" s="26" t="inlineStr">
        <is>
          <t>2026-09-16</t>
        </is>
      </c>
      <c r="H33" s="26" t="inlineStr">
        <is>
          <t>LAB-PTINR</t>
        </is>
      </c>
      <c r="I33" s="26" t="inlineStr">
        <is>
          <t>Prothrombin Time / INR</t>
        </is>
      </c>
      <c r="J33" s="26" t="inlineStr">
        <is>
          <t>0305</t>
        </is>
      </c>
      <c r="K33" s="26" t="inlineStr">
        <is>
          <t>85610</t>
        </is>
      </c>
      <c r="L33" s="26" t="n"/>
      <c r="M33" s="26" t="n">
        <v>1</v>
      </c>
      <c r="N33" s="13" t="n">
        <v>125</v>
      </c>
      <c r="O33" s="13">
        <f>M33*N33</f>
        <v/>
      </c>
      <c r="P33" s="13" t="n">
        <v>58.49</v>
      </c>
      <c r="Q33" s="13">
        <f>P33*20%</f>
        <v/>
      </c>
      <c r="R33" s="13">
        <f>O33-P33</f>
        <v/>
      </c>
      <c r="S33" s="26" t="inlineStr">
        <is>
          <t>Athena Health Insurance</t>
        </is>
      </c>
      <c r="T33" s="26" t="inlineStr">
        <is>
          <t>Athena PPO</t>
        </is>
      </c>
      <c r="U33" s="26" t="n"/>
      <c r="V33" s="26" t="inlineStr">
        <is>
          <t>Eleanor Brooks, MD</t>
        </is>
      </c>
      <c r="W33" s="26" t="inlineStr">
        <is>
          <t>Assigned Department Provider</t>
        </is>
      </c>
      <c r="X33" s="26" t="inlineStr">
        <is>
          <t>LIS</t>
        </is>
      </c>
      <c r="Y33" s="26" t="inlineStr">
        <is>
          <t>Final result</t>
        </is>
      </c>
      <c r="Z33" s="26" t="inlineStr">
        <is>
          <t>Posted</t>
        </is>
      </c>
      <c r="AA33" s="26" t="inlineStr">
        <is>
          <t>Matched</t>
        </is>
      </c>
      <c r="AB33" s="26" t="inlineStr">
        <is>
          <t>Passed</t>
        </is>
      </c>
      <c r="AC33" s="26" t="n"/>
      <c r="AD33" s="26" t="inlineStr">
        <is>
          <t>Diagnosis/LCD</t>
        </is>
      </c>
      <c r="AE33" s="26" t="inlineStr">
        <is>
          <t>Z79.01</t>
        </is>
      </c>
      <c r="AF33" s="26" t="inlineStr">
        <is>
          <t>21</t>
        </is>
      </c>
      <c r="AG33" s="26" t="inlineStr">
        <is>
          <t>2026-09-16 16:30</t>
        </is>
      </c>
      <c r="AH33" s="26" t="inlineStr">
        <is>
          <t>Synthetic Athena negotiated charge</t>
        </is>
      </c>
    </row>
    <row r="34">
      <c r="A34" s="26" t="inlineStr">
        <is>
          <t>IPD-CHG-0015-CGH</t>
        </is>
      </c>
      <c r="B34" s="26" t="inlineStr">
        <is>
          <t>HAR-202600015-CGH</t>
        </is>
      </c>
      <c r="C34" s="26" t="inlineStr">
        <is>
          <t>CSN-IPD-780015-CGH</t>
        </is>
      </c>
      <c r="D34" s="26" t="inlineStr">
        <is>
          <t>Inpatient</t>
        </is>
      </c>
      <c r="E34" s="26" t="inlineStr">
        <is>
          <t>Demo Regional Medical Center</t>
        </is>
      </c>
      <c r="F34" s="26" t="inlineStr">
        <is>
          <t>Laboratory</t>
        </is>
      </c>
      <c r="G34" s="26" t="inlineStr">
        <is>
          <t>2026-09-16</t>
        </is>
      </c>
      <c r="H34" s="26" t="inlineStr">
        <is>
          <t>LAB-PTINR</t>
        </is>
      </c>
      <c r="I34" s="26" t="inlineStr">
        <is>
          <t>Prothrombin Time / INR</t>
        </is>
      </c>
      <c r="J34" s="26" t="inlineStr">
        <is>
          <t>0305</t>
        </is>
      </c>
      <c r="K34" s="26" t="inlineStr">
        <is>
          <t>85610</t>
        </is>
      </c>
      <c r="L34" s="26" t="n"/>
      <c r="M34" s="26" t="n">
        <v>1</v>
      </c>
      <c r="N34" s="13" t="n">
        <v>125</v>
      </c>
      <c r="O34" s="13">
        <f>M34*N34</f>
        <v/>
      </c>
      <c r="P34" s="13" t="n">
        <v>52.64</v>
      </c>
      <c r="Q34" s="13">
        <f>P34*15%</f>
        <v/>
      </c>
      <c r="R34" s="13">
        <f>O34-P34</f>
        <v/>
      </c>
      <c r="S34" s="26" t="inlineStr">
        <is>
          <t>Care Gap Health</t>
        </is>
      </c>
      <c r="T34" s="26" t="inlineStr">
        <is>
          <t>Care Gap Value PPO</t>
        </is>
      </c>
      <c r="U34" s="26" t="n"/>
      <c r="V34" s="26" t="inlineStr">
        <is>
          <t>Eleanor Brooks, MD</t>
        </is>
      </c>
      <c r="W34" s="26" t="inlineStr">
        <is>
          <t>Assigned Department Provider</t>
        </is>
      </c>
      <c r="X34" s="26" t="inlineStr">
        <is>
          <t>LIS</t>
        </is>
      </c>
      <c r="Y34" s="26" t="inlineStr">
        <is>
          <t>Final result</t>
        </is>
      </c>
      <c r="Z34" s="26" t="inlineStr">
        <is>
          <t>Posted</t>
        </is>
      </c>
      <c r="AA34" s="26" t="inlineStr">
        <is>
          <t>Matched</t>
        </is>
      </c>
      <c r="AB34" s="26" t="inlineStr">
        <is>
          <t>Passed</t>
        </is>
      </c>
      <c r="AC34" s="26" t="n"/>
      <c r="AD34" s="26" t="inlineStr">
        <is>
          <t>Diagnosis/LCD</t>
        </is>
      </c>
      <c r="AE34" s="26" t="inlineStr">
        <is>
          <t>Z79.01</t>
        </is>
      </c>
      <c r="AF34" s="26" t="inlineStr">
        <is>
          <t>21</t>
        </is>
      </c>
      <c r="AG34" s="26" t="inlineStr">
        <is>
          <t>2026-09-16 16:30</t>
        </is>
      </c>
      <c r="AH34" s="26" t="inlineStr">
        <is>
          <t>Synthetic Care Gap charge; 10% below Athena allowed amount</t>
        </is>
      </c>
    </row>
    <row r="35">
      <c r="A35" s="26" t="inlineStr">
        <is>
          <t>IPD-CHG-0016-ATH</t>
        </is>
      </c>
      <c r="B35" s="26" t="inlineStr">
        <is>
          <t>HAR-202600016-ATH</t>
        </is>
      </c>
      <c r="C35" s="26" t="inlineStr">
        <is>
          <t>CSN-IPD-780016-ATH</t>
        </is>
      </c>
      <c r="D35" s="26" t="inlineStr">
        <is>
          <t>Inpatient</t>
        </is>
      </c>
      <c r="E35" s="26" t="inlineStr">
        <is>
          <t>Demo Regional Medical Center</t>
        </is>
      </c>
      <c r="F35" s="26" t="inlineStr">
        <is>
          <t>Radiology</t>
        </is>
      </c>
      <c r="G35" s="26" t="inlineStr">
        <is>
          <t>2026-09-17</t>
        </is>
      </c>
      <c r="H35" s="26" t="inlineStr">
        <is>
          <t>RAD-CHEST-2V</t>
        </is>
      </c>
      <c r="I35" s="26" t="inlineStr">
        <is>
          <t>Chest X-ray, 2 Views</t>
        </is>
      </c>
      <c r="J35" s="26" t="inlineStr">
        <is>
          <t>0320</t>
        </is>
      </c>
      <c r="K35" s="26" t="inlineStr">
        <is>
          <t>71046</t>
        </is>
      </c>
      <c r="L35" s="26" t="n"/>
      <c r="M35" s="26" t="n">
        <v>1</v>
      </c>
      <c r="N35" s="13" t="n">
        <v>185</v>
      </c>
      <c r="O35" s="13">
        <f>M35*N35</f>
        <v/>
      </c>
      <c r="P35" s="13" t="n">
        <v>101.16</v>
      </c>
      <c r="Q35" s="13">
        <f>P35*20%</f>
        <v/>
      </c>
      <c r="R35" s="13">
        <f>O35-P35</f>
        <v/>
      </c>
      <c r="S35" s="26" t="inlineStr">
        <is>
          <t>Athena Health Insurance</t>
        </is>
      </c>
      <c r="T35" s="26" t="inlineStr">
        <is>
          <t>Athena PPO</t>
        </is>
      </c>
      <c r="U35" s="26" t="n"/>
      <c r="V35" s="26" t="inlineStr">
        <is>
          <t>Eleanor Brooks, MD</t>
        </is>
      </c>
      <c r="W35" s="26" t="inlineStr">
        <is>
          <t>Assigned Department Provider</t>
        </is>
      </c>
      <c r="X35" s="26" t="inlineStr">
        <is>
          <t>RIS/PACS</t>
        </is>
      </c>
      <c r="Y35" s="26" t="inlineStr">
        <is>
          <t>Exam completed</t>
        </is>
      </c>
      <c r="Z35" s="26" t="inlineStr">
        <is>
          <t>Posted</t>
        </is>
      </c>
      <c r="AA35" s="26" t="inlineStr">
        <is>
          <t>Matched</t>
        </is>
      </c>
      <c r="AB35" s="26" t="inlineStr">
        <is>
          <t>Passed</t>
        </is>
      </c>
      <c r="AC35" s="26" t="n"/>
      <c r="AD35" s="26" t="inlineStr">
        <is>
          <t>Diagnosis/LCD</t>
        </is>
      </c>
      <c r="AE35" s="26" t="inlineStr">
        <is>
          <t>R06.02</t>
        </is>
      </c>
      <c r="AF35" s="26" t="inlineStr">
        <is>
          <t>21</t>
        </is>
      </c>
      <c r="AG35" s="26" t="inlineStr">
        <is>
          <t>2026-09-17 16:30</t>
        </is>
      </c>
      <c r="AH35" s="26" t="inlineStr">
        <is>
          <t>Synthetic Athena negotiated charge</t>
        </is>
      </c>
    </row>
    <row r="36">
      <c r="A36" s="26" t="inlineStr">
        <is>
          <t>IPD-CHG-0016-CGH</t>
        </is>
      </c>
      <c r="B36" s="26" t="inlineStr">
        <is>
          <t>HAR-202600016-CGH</t>
        </is>
      </c>
      <c r="C36" s="26" t="inlineStr">
        <is>
          <t>CSN-IPD-780016-CGH</t>
        </is>
      </c>
      <c r="D36" s="26" t="inlineStr">
        <is>
          <t>Inpatient</t>
        </is>
      </c>
      <c r="E36" s="26" t="inlineStr">
        <is>
          <t>Demo Regional Medical Center</t>
        </is>
      </c>
      <c r="F36" s="26" t="inlineStr">
        <is>
          <t>Radiology</t>
        </is>
      </c>
      <c r="G36" s="26" t="inlineStr">
        <is>
          <t>2026-09-17</t>
        </is>
      </c>
      <c r="H36" s="26" t="inlineStr">
        <is>
          <t>RAD-CHEST-2V</t>
        </is>
      </c>
      <c r="I36" s="26" t="inlineStr">
        <is>
          <t>Chest X-ray, 2 Views</t>
        </is>
      </c>
      <c r="J36" s="26" t="inlineStr">
        <is>
          <t>0320</t>
        </is>
      </c>
      <c r="K36" s="26" t="inlineStr">
        <is>
          <t>71046</t>
        </is>
      </c>
      <c r="L36" s="26" t="n"/>
      <c r="M36" s="26" t="n">
        <v>1</v>
      </c>
      <c r="N36" s="13" t="n">
        <v>185</v>
      </c>
      <c r="O36" s="13">
        <f>M36*N36</f>
        <v/>
      </c>
      <c r="P36" s="13" t="n">
        <v>91.04000000000001</v>
      </c>
      <c r="Q36" s="13">
        <f>P36*15%</f>
        <v/>
      </c>
      <c r="R36" s="13">
        <f>O36-P36</f>
        <v/>
      </c>
      <c r="S36" s="26" t="inlineStr">
        <is>
          <t>Care Gap Health</t>
        </is>
      </c>
      <c r="T36" s="26" t="inlineStr">
        <is>
          <t>Care Gap Value PPO</t>
        </is>
      </c>
      <c r="U36" s="26" t="n"/>
      <c r="V36" s="26" t="inlineStr">
        <is>
          <t>Eleanor Brooks, MD</t>
        </is>
      </c>
      <c r="W36" s="26" t="inlineStr">
        <is>
          <t>Assigned Department Provider</t>
        </is>
      </c>
      <c r="X36" s="26" t="inlineStr">
        <is>
          <t>RIS/PACS</t>
        </is>
      </c>
      <c r="Y36" s="26" t="inlineStr">
        <is>
          <t>Exam completed</t>
        </is>
      </c>
      <c r="Z36" s="26" t="inlineStr">
        <is>
          <t>Posted</t>
        </is>
      </c>
      <c r="AA36" s="26" t="inlineStr">
        <is>
          <t>Matched</t>
        </is>
      </c>
      <c r="AB36" s="26" t="inlineStr">
        <is>
          <t>Passed</t>
        </is>
      </c>
      <c r="AC36" s="26" t="n"/>
      <c r="AD36" s="26" t="inlineStr">
        <is>
          <t>Diagnosis/LCD</t>
        </is>
      </c>
      <c r="AE36" s="26" t="inlineStr">
        <is>
          <t>R06.02</t>
        </is>
      </c>
      <c r="AF36" s="26" t="inlineStr">
        <is>
          <t>21</t>
        </is>
      </c>
      <c r="AG36" s="26" t="inlineStr">
        <is>
          <t>2026-09-17 16:30</t>
        </is>
      </c>
      <c r="AH36" s="26" t="inlineStr">
        <is>
          <t>Synthetic Care Gap charge; 10% below Athena allowed amount</t>
        </is>
      </c>
    </row>
    <row r="37">
      <c r="A37" s="26" t="inlineStr">
        <is>
          <t>IPD-CHG-0017-ATH</t>
        </is>
      </c>
      <c r="B37" s="26" t="inlineStr">
        <is>
          <t>HAR-202600017-ATH</t>
        </is>
      </c>
      <c r="C37" s="26" t="inlineStr">
        <is>
          <t>CSN-IPD-780017-ATH</t>
        </is>
      </c>
      <c r="D37" s="26" t="inlineStr">
        <is>
          <t>Inpatient</t>
        </is>
      </c>
      <c r="E37" s="26" t="inlineStr">
        <is>
          <t>Demo Regional Medical Center</t>
        </is>
      </c>
      <c r="F37" s="26" t="inlineStr">
        <is>
          <t>Radiology</t>
        </is>
      </c>
      <c r="G37" s="26" t="inlineStr">
        <is>
          <t>2026-09-18</t>
        </is>
      </c>
      <c r="H37" s="26" t="inlineStr">
        <is>
          <t>RAD-KNEE-2V</t>
        </is>
      </c>
      <c r="I37" s="26" t="inlineStr">
        <is>
          <t>Knee X-ray, 1-2 Views</t>
        </is>
      </c>
      <c r="J37" s="26" t="inlineStr">
        <is>
          <t>0320</t>
        </is>
      </c>
      <c r="K37" s="26" t="inlineStr">
        <is>
          <t>73560</t>
        </is>
      </c>
      <c r="L37" s="26" t="n"/>
      <c r="M37" s="26" t="n">
        <v>1</v>
      </c>
      <c r="N37" s="13" t="n">
        <v>410</v>
      </c>
      <c r="O37" s="13">
        <f>M37*N37</f>
        <v/>
      </c>
      <c r="P37" s="13" t="n">
        <v>206.38</v>
      </c>
      <c r="Q37" s="13">
        <f>P37*20%</f>
        <v/>
      </c>
      <c r="R37" s="13">
        <f>O37-P37</f>
        <v/>
      </c>
      <c r="S37" s="26" t="inlineStr">
        <is>
          <t>Athena Health Insurance</t>
        </is>
      </c>
      <c r="T37" s="26" t="inlineStr">
        <is>
          <t>Athena PPO</t>
        </is>
      </c>
      <c r="U37" s="26" t="n"/>
      <c r="V37" s="26" t="inlineStr">
        <is>
          <t>Eleanor Brooks, MD</t>
        </is>
      </c>
      <c r="W37" s="26" t="inlineStr">
        <is>
          <t>Assigned Department Provider</t>
        </is>
      </c>
      <c r="X37" s="26" t="inlineStr">
        <is>
          <t>RIS/PACS</t>
        </is>
      </c>
      <c r="Y37" s="26" t="inlineStr">
        <is>
          <t>Exam completed</t>
        </is>
      </c>
      <c r="Z37" s="26" t="inlineStr">
        <is>
          <t>Posted</t>
        </is>
      </c>
      <c r="AA37" s="26" t="inlineStr">
        <is>
          <t>Matched</t>
        </is>
      </c>
      <c r="AB37" s="26" t="inlineStr">
        <is>
          <t>Passed</t>
        </is>
      </c>
      <c r="AC37" s="26" t="n"/>
      <c r="AD37" s="26" t="inlineStr">
        <is>
          <t>Diagnosis/LCD</t>
        </is>
      </c>
      <c r="AE37" s="26" t="inlineStr">
        <is>
          <t>M25.561</t>
        </is>
      </c>
      <c r="AF37" s="26" t="inlineStr">
        <is>
          <t>21</t>
        </is>
      </c>
      <c r="AG37" s="26" t="inlineStr">
        <is>
          <t>2026-09-18 16:30</t>
        </is>
      </c>
      <c r="AH37" s="26" t="inlineStr">
        <is>
          <t>Synthetic Athena negotiated charge</t>
        </is>
      </c>
    </row>
    <row r="38">
      <c r="A38" s="26" t="inlineStr">
        <is>
          <t>IPD-CHG-0017-CGH</t>
        </is>
      </c>
      <c r="B38" s="26" t="inlineStr">
        <is>
          <t>HAR-202600017-CGH</t>
        </is>
      </c>
      <c r="C38" s="26" t="inlineStr">
        <is>
          <t>CSN-IPD-780017-CGH</t>
        </is>
      </c>
      <c r="D38" s="26" t="inlineStr">
        <is>
          <t>Inpatient</t>
        </is>
      </c>
      <c r="E38" s="26" t="inlineStr">
        <is>
          <t>Demo Regional Medical Center</t>
        </is>
      </c>
      <c r="F38" s="26" t="inlineStr">
        <is>
          <t>Radiology</t>
        </is>
      </c>
      <c r="G38" s="26" t="inlineStr">
        <is>
          <t>2026-09-18</t>
        </is>
      </c>
      <c r="H38" s="26" t="inlineStr">
        <is>
          <t>RAD-KNEE-2V</t>
        </is>
      </c>
      <c r="I38" s="26" t="inlineStr">
        <is>
          <t>Knee X-ray, 1-2 Views</t>
        </is>
      </c>
      <c r="J38" s="26" t="inlineStr">
        <is>
          <t>0320</t>
        </is>
      </c>
      <c r="K38" s="26" t="inlineStr">
        <is>
          <t>73560</t>
        </is>
      </c>
      <c r="L38" s="26" t="n"/>
      <c r="M38" s="26" t="n">
        <v>1</v>
      </c>
      <c r="N38" s="13" t="n">
        <v>410</v>
      </c>
      <c r="O38" s="13">
        <f>M38*N38</f>
        <v/>
      </c>
      <c r="P38" s="13" t="n">
        <v>185.74</v>
      </c>
      <c r="Q38" s="13">
        <f>P38*15%</f>
        <v/>
      </c>
      <c r="R38" s="13">
        <f>O38-P38</f>
        <v/>
      </c>
      <c r="S38" s="26" t="inlineStr">
        <is>
          <t>Care Gap Health</t>
        </is>
      </c>
      <c r="T38" s="26" t="inlineStr">
        <is>
          <t>Care Gap Value PPO</t>
        </is>
      </c>
      <c r="U38" s="26" t="n"/>
      <c r="V38" s="26" t="inlineStr">
        <is>
          <t>Eleanor Brooks, MD</t>
        </is>
      </c>
      <c r="W38" s="26" t="inlineStr">
        <is>
          <t>Assigned Department Provider</t>
        </is>
      </c>
      <c r="X38" s="26" t="inlineStr">
        <is>
          <t>RIS/PACS</t>
        </is>
      </c>
      <c r="Y38" s="26" t="inlineStr">
        <is>
          <t>Exam completed</t>
        </is>
      </c>
      <c r="Z38" s="26" t="inlineStr">
        <is>
          <t>Posted</t>
        </is>
      </c>
      <c r="AA38" s="26" t="inlineStr">
        <is>
          <t>Matched</t>
        </is>
      </c>
      <c r="AB38" s="26" t="inlineStr">
        <is>
          <t>Passed</t>
        </is>
      </c>
      <c r="AC38" s="26" t="n"/>
      <c r="AD38" s="26" t="inlineStr">
        <is>
          <t>Diagnosis/LCD</t>
        </is>
      </c>
      <c r="AE38" s="26" t="inlineStr">
        <is>
          <t>M25.561</t>
        </is>
      </c>
      <c r="AF38" s="26" t="inlineStr">
        <is>
          <t>21</t>
        </is>
      </c>
      <c r="AG38" s="26" t="inlineStr">
        <is>
          <t>2026-09-18 16:30</t>
        </is>
      </c>
      <c r="AH38" s="26" t="inlineStr">
        <is>
          <t>Synthetic Care Gap charge; 10% below Athena allowed amount</t>
        </is>
      </c>
    </row>
    <row r="39">
      <c r="A39" s="26" t="inlineStr">
        <is>
          <t>IPD-CHG-0018-ATH</t>
        </is>
      </c>
      <c r="B39" s="26" t="inlineStr">
        <is>
          <t>HAR-202600018-ATH</t>
        </is>
      </c>
      <c r="C39" s="26" t="inlineStr">
        <is>
          <t>CSN-IPD-780018-ATH</t>
        </is>
      </c>
      <c r="D39" s="26" t="inlineStr">
        <is>
          <t>Inpatient</t>
        </is>
      </c>
      <c r="E39" s="26" t="inlineStr">
        <is>
          <t>Demo Regional Medical Center</t>
        </is>
      </c>
      <c r="F39" s="26" t="inlineStr">
        <is>
          <t>Cardiology</t>
        </is>
      </c>
      <c r="G39" s="26" t="inlineStr">
        <is>
          <t>2026-09-19</t>
        </is>
      </c>
      <c r="H39" s="26" t="inlineStr">
        <is>
          <t>CARD-ECG12</t>
        </is>
      </c>
      <c r="I39" s="26" t="inlineStr">
        <is>
          <t>12-Lead ECG</t>
        </is>
      </c>
      <c r="J39" s="26" t="inlineStr">
        <is>
          <t>0730</t>
        </is>
      </c>
      <c r="K39" s="26" t="inlineStr">
        <is>
          <t>93005</t>
        </is>
      </c>
      <c r="L39" s="26" t="n"/>
      <c r="M39" s="26" t="n">
        <v>1</v>
      </c>
      <c r="N39" s="13" t="n">
        <v>190</v>
      </c>
      <c r="O39" s="13">
        <f>M39*N39</f>
        <v/>
      </c>
      <c r="P39" s="13" t="n">
        <v>92.06999999999999</v>
      </c>
      <c r="Q39" s="13">
        <f>P39*20%</f>
        <v/>
      </c>
      <c r="R39" s="13">
        <f>O39-P39</f>
        <v/>
      </c>
      <c r="S39" s="26" t="inlineStr">
        <is>
          <t>Athena Health Insurance</t>
        </is>
      </c>
      <c r="T39" s="26" t="inlineStr">
        <is>
          <t>Athena PPO</t>
        </is>
      </c>
      <c r="U39" s="26" t="n"/>
      <c r="V39" s="26" t="inlineStr">
        <is>
          <t>Eleanor Brooks, MD</t>
        </is>
      </c>
      <c r="W39" s="26" t="inlineStr">
        <is>
          <t>Assigned Department Provider</t>
        </is>
      </c>
      <c r="X39" s="26" t="inlineStr">
        <is>
          <t>Cardiology</t>
        </is>
      </c>
      <c r="Y39" s="26" t="inlineStr">
        <is>
          <t>Test completed</t>
        </is>
      </c>
      <c r="Z39" s="26" t="inlineStr">
        <is>
          <t>Posted</t>
        </is>
      </c>
      <c r="AA39" s="26" t="inlineStr">
        <is>
          <t>Matched</t>
        </is>
      </c>
      <c r="AB39" s="26" t="inlineStr">
        <is>
          <t>Passed</t>
        </is>
      </c>
      <c r="AC39" s="26" t="n"/>
      <c r="AD39" s="26" t="inlineStr">
        <is>
          <t>Diagnosis/LCD</t>
        </is>
      </c>
      <c r="AE39" s="26" t="inlineStr">
        <is>
          <t>R07.9</t>
        </is>
      </c>
      <c r="AF39" s="26" t="inlineStr">
        <is>
          <t>21</t>
        </is>
      </c>
      <c r="AG39" s="26" t="inlineStr">
        <is>
          <t>2026-09-19 16:30</t>
        </is>
      </c>
      <c r="AH39" s="26" t="inlineStr">
        <is>
          <t>Synthetic Athena negotiated charge</t>
        </is>
      </c>
    </row>
    <row r="40">
      <c r="A40" s="26" t="inlineStr">
        <is>
          <t>IPD-CHG-0018-CGH</t>
        </is>
      </c>
      <c r="B40" s="26" t="inlineStr">
        <is>
          <t>HAR-202600018-CGH</t>
        </is>
      </c>
      <c r="C40" s="26" t="inlineStr">
        <is>
          <t>CSN-IPD-780018-CGH</t>
        </is>
      </c>
      <c r="D40" s="26" t="inlineStr">
        <is>
          <t>Inpatient</t>
        </is>
      </c>
      <c r="E40" s="26" t="inlineStr">
        <is>
          <t>Demo Regional Medical Center</t>
        </is>
      </c>
      <c r="F40" s="26" t="inlineStr">
        <is>
          <t>Cardiology</t>
        </is>
      </c>
      <c r="G40" s="26" t="inlineStr">
        <is>
          <t>2026-09-19</t>
        </is>
      </c>
      <c r="H40" s="26" t="inlineStr">
        <is>
          <t>CARD-ECG12</t>
        </is>
      </c>
      <c r="I40" s="26" t="inlineStr">
        <is>
          <t>12-Lead ECG</t>
        </is>
      </c>
      <c r="J40" s="26" t="inlineStr">
        <is>
          <t>0730</t>
        </is>
      </c>
      <c r="K40" s="26" t="inlineStr">
        <is>
          <t>93005</t>
        </is>
      </c>
      <c r="L40" s="26" t="n"/>
      <c r="M40" s="26" t="n">
        <v>1</v>
      </c>
      <c r="N40" s="13" t="n">
        <v>190</v>
      </c>
      <c r="O40" s="13">
        <f>M40*N40</f>
        <v/>
      </c>
      <c r="P40" s="13" t="n">
        <v>82.86</v>
      </c>
      <c r="Q40" s="13">
        <f>P40*15%</f>
        <v/>
      </c>
      <c r="R40" s="13">
        <f>O40-P40</f>
        <v/>
      </c>
      <c r="S40" s="26" t="inlineStr">
        <is>
          <t>Care Gap Health</t>
        </is>
      </c>
      <c r="T40" s="26" t="inlineStr">
        <is>
          <t>Care Gap Value PPO</t>
        </is>
      </c>
      <c r="U40" s="26" t="n"/>
      <c r="V40" s="26" t="inlineStr">
        <is>
          <t>Eleanor Brooks, MD</t>
        </is>
      </c>
      <c r="W40" s="26" t="inlineStr">
        <is>
          <t>Assigned Department Provider</t>
        </is>
      </c>
      <c r="X40" s="26" t="inlineStr">
        <is>
          <t>Cardiology</t>
        </is>
      </c>
      <c r="Y40" s="26" t="inlineStr">
        <is>
          <t>Test completed</t>
        </is>
      </c>
      <c r="Z40" s="26" t="inlineStr">
        <is>
          <t>Posted</t>
        </is>
      </c>
      <c r="AA40" s="26" t="inlineStr">
        <is>
          <t>Matched</t>
        </is>
      </c>
      <c r="AB40" s="26" t="inlineStr">
        <is>
          <t>Passed</t>
        </is>
      </c>
      <c r="AC40" s="26" t="n"/>
      <c r="AD40" s="26" t="inlineStr">
        <is>
          <t>Diagnosis/LCD</t>
        </is>
      </c>
      <c r="AE40" s="26" t="inlineStr">
        <is>
          <t>R07.9</t>
        </is>
      </c>
      <c r="AF40" s="26" t="inlineStr">
        <is>
          <t>21</t>
        </is>
      </c>
      <c r="AG40" s="26" t="inlineStr">
        <is>
          <t>2026-09-19 16:30</t>
        </is>
      </c>
      <c r="AH40" s="26" t="inlineStr">
        <is>
          <t>Synthetic Care Gap charge; 10% below Athena allowed amount</t>
        </is>
      </c>
    </row>
    <row r="41">
      <c r="A41" s="26" t="inlineStr">
        <is>
          <t>IPD-CHG-0019-ATH</t>
        </is>
      </c>
      <c r="B41" s="26" t="inlineStr">
        <is>
          <t>HAR-202600019-ATH</t>
        </is>
      </c>
      <c r="C41" s="26" t="inlineStr">
        <is>
          <t>CSN-IPD-780019-ATH</t>
        </is>
      </c>
      <c r="D41" s="26" t="inlineStr">
        <is>
          <t>Inpatient</t>
        </is>
      </c>
      <c r="E41" s="26" t="inlineStr">
        <is>
          <t>Demo Regional Medical Center</t>
        </is>
      </c>
      <c r="F41" s="26" t="inlineStr">
        <is>
          <t>Respiratory</t>
        </is>
      </c>
      <c r="G41" s="26" t="inlineStr">
        <is>
          <t>2026-09-20</t>
        </is>
      </c>
      <c r="H41" s="26" t="inlineStr">
        <is>
          <t>RESP-NEB</t>
        </is>
      </c>
      <c r="I41" s="26" t="inlineStr">
        <is>
          <t>Nebulizer Treatment</t>
        </is>
      </c>
      <c r="J41" s="26" t="inlineStr">
        <is>
          <t>0410</t>
        </is>
      </c>
      <c r="K41" s="26" t="inlineStr">
        <is>
          <t>94640</t>
        </is>
      </c>
      <c r="L41" s="26" t="n"/>
      <c r="M41" s="26" t="n">
        <v>1</v>
      </c>
      <c r="N41" s="13" t="n">
        <v>245</v>
      </c>
      <c r="O41" s="13">
        <f>M41*N41</f>
        <v/>
      </c>
      <c r="P41" s="13" t="n">
        <v>159.02</v>
      </c>
      <c r="Q41" s="13">
        <f>P41*20%</f>
        <v/>
      </c>
      <c r="R41" s="13">
        <f>O41-P41</f>
        <v/>
      </c>
      <c r="S41" s="26" t="inlineStr">
        <is>
          <t>Athena Health Insurance</t>
        </is>
      </c>
      <c r="T41" s="26" t="inlineStr">
        <is>
          <t>Athena PPO</t>
        </is>
      </c>
      <c r="U41" s="26" t="n"/>
      <c r="V41" s="26" t="inlineStr">
        <is>
          <t>Eleanor Brooks, MD</t>
        </is>
      </c>
      <c r="W41" s="26" t="inlineStr">
        <is>
          <t>Assigned Department Provider</t>
        </is>
      </c>
      <c r="X41" s="26" t="inlineStr">
        <is>
          <t>Respiratory</t>
        </is>
      </c>
      <c r="Y41" s="26" t="inlineStr">
        <is>
          <t>Treatment completed</t>
        </is>
      </c>
      <c r="Z41" s="26" t="inlineStr">
        <is>
          <t>Posted</t>
        </is>
      </c>
      <c r="AA41" s="26" t="inlineStr">
        <is>
          <t>Matched</t>
        </is>
      </c>
      <c r="AB41" s="26" t="inlineStr">
        <is>
          <t>Passed</t>
        </is>
      </c>
      <c r="AC41" s="26" t="n"/>
      <c r="AD41" s="26" t="inlineStr">
        <is>
          <t>Diagnosis/LCD</t>
        </is>
      </c>
      <c r="AE41" s="26" t="inlineStr">
        <is>
          <t>J45.901</t>
        </is>
      </c>
      <c r="AF41" s="26" t="inlineStr">
        <is>
          <t>21</t>
        </is>
      </c>
      <c r="AG41" s="26" t="inlineStr">
        <is>
          <t>2026-09-20 16:30</t>
        </is>
      </c>
      <c r="AH41" s="26" t="inlineStr">
        <is>
          <t>Synthetic Athena negotiated charge</t>
        </is>
      </c>
    </row>
    <row r="42">
      <c r="A42" s="26" t="inlineStr">
        <is>
          <t>IPD-CHG-0019-CGH</t>
        </is>
      </c>
      <c r="B42" s="26" t="inlineStr">
        <is>
          <t>HAR-202600019-CGH</t>
        </is>
      </c>
      <c r="C42" s="26" t="inlineStr">
        <is>
          <t>CSN-IPD-780019-CGH</t>
        </is>
      </c>
      <c r="D42" s="26" t="inlineStr">
        <is>
          <t>Inpatient</t>
        </is>
      </c>
      <c r="E42" s="26" t="inlineStr">
        <is>
          <t>Demo Regional Medical Center</t>
        </is>
      </c>
      <c r="F42" s="26" t="inlineStr">
        <is>
          <t>Respiratory</t>
        </is>
      </c>
      <c r="G42" s="26" t="inlineStr">
        <is>
          <t>2026-09-20</t>
        </is>
      </c>
      <c r="H42" s="26" t="inlineStr">
        <is>
          <t>RESP-NEB</t>
        </is>
      </c>
      <c r="I42" s="26" t="inlineStr">
        <is>
          <t>Nebulizer Treatment</t>
        </is>
      </c>
      <c r="J42" s="26" t="inlineStr">
        <is>
          <t>0410</t>
        </is>
      </c>
      <c r="K42" s="26" t="inlineStr">
        <is>
          <t>94640</t>
        </is>
      </c>
      <c r="L42" s="26" t="n"/>
      <c r="M42" s="26" t="n">
        <v>1</v>
      </c>
      <c r="N42" s="13" t="n">
        <v>245</v>
      </c>
      <c r="O42" s="13">
        <f>M42*N42</f>
        <v/>
      </c>
      <c r="P42" s="13" t="n">
        <v>143.12</v>
      </c>
      <c r="Q42" s="13">
        <f>P42*15%</f>
        <v/>
      </c>
      <c r="R42" s="13">
        <f>O42-P42</f>
        <v/>
      </c>
      <c r="S42" s="26" t="inlineStr">
        <is>
          <t>Care Gap Health</t>
        </is>
      </c>
      <c r="T42" s="26" t="inlineStr">
        <is>
          <t>Care Gap Value PPO</t>
        </is>
      </c>
      <c r="U42" s="26" t="n"/>
      <c r="V42" s="26" t="inlineStr">
        <is>
          <t>Eleanor Brooks, MD</t>
        </is>
      </c>
      <c r="W42" s="26" t="inlineStr">
        <is>
          <t>Assigned Department Provider</t>
        </is>
      </c>
      <c r="X42" s="26" t="inlineStr">
        <is>
          <t>Respiratory</t>
        </is>
      </c>
      <c r="Y42" s="26" t="inlineStr">
        <is>
          <t>Treatment completed</t>
        </is>
      </c>
      <c r="Z42" s="26" t="inlineStr">
        <is>
          <t>Posted</t>
        </is>
      </c>
      <c r="AA42" s="26" t="inlineStr">
        <is>
          <t>Matched</t>
        </is>
      </c>
      <c r="AB42" s="26" t="inlineStr">
        <is>
          <t>Passed</t>
        </is>
      </c>
      <c r="AC42" s="26" t="n"/>
      <c r="AD42" s="26" t="inlineStr">
        <is>
          <t>Diagnosis/LCD</t>
        </is>
      </c>
      <c r="AE42" s="26" t="inlineStr">
        <is>
          <t>J45.901</t>
        </is>
      </c>
      <c r="AF42" s="26" t="inlineStr">
        <is>
          <t>21</t>
        </is>
      </c>
      <c r="AG42" s="26" t="inlineStr">
        <is>
          <t>2026-09-20 16:30</t>
        </is>
      </c>
      <c r="AH42" s="26" t="inlineStr">
        <is>
          <t>Synthetic Care Gap charge; 10% below Athena allowed amount</t>
        </is>
      </c>
    </row>
    <row r="43">
      <c r="A43" s="26" t="inlineStr">
        <is>
          <t>IPD-CHG-0020-ATH</t>
        </is>
      </c>
      <c r="B43" s="26" t="inlineStr">
        <is>
          <t>HAR-202600020-ATH</t>
        </is>
      </c>
      <c r="C43" s="26" t="inlineStr">
        <is>
          <t>CSN-IPD-780020-ATH</t>
        </is>
      </c>
      <c r="D43" s="26" t="inlineStr">
        <is>
          <t>Inpatient</t>
        </is>
      </c>
      <c r="E43" s="26" t="inlineStr">
        <is>
          <t>Demo Regional Medical Center</t>
        </is>
      </c>
      <c r="F43" s="26" t="inlineStr">
        <is>
          <t>Physical Therapy</t>
        </is>
      </c>
      <c r="G43" s="26" t="inlineStr">
        <is>
          <t>2026-09-21</t>
        </is>
      </c>
      <c r="H43" s="26" t="inlineStr">
        <is>
          <t>PT-EVAL-LOW</t>
        </is>
      </c>
      <c r="I43" s="26" t="inlineStr">
        <is>
          <t>Physical Therapy Evaluation, Low Complexity</t>
        </is>
      </c>
      <c r="J43" s="26" t="inlineStr">
        <is>
          <t>0420</t>
        </is>
      </c>
      <c r="K43" s="26" t="inlineStr">
        <is>
          <t>97161</t>
        </is>
      </c>
      <c r="L43" s="26" t="n"/>
      <c r="M43" s="26" t="n">
        <v>1</v>
      </c>
      <c r="N43" s="13" t="n">
        <v>710</v>
      </c>
      <c r="O43" s="13">
        <f>M43*N43</f>
        <v/>
      </c>
      <c r="P43" s="13" t="n">
        <v>319.97</v>
      </c>
      <c r="Q43" s="13">
        <f>P43*20%</f>
        <v/>
      </c>
      <c r="R43" s="13">
        <f>O43-P43</f>
        <v/>
      </c>
      <c r="S43" s="26" t="inlineStr">
        <is>
          <t>Athena Health Insurance</t>
        </is>
      </c>
      <c r="T43" s="26" t="inlineStr">
        <is>
          <t>Athena PPO</t>
        </is>
      </c>
      <c r="U43" s="26" t="inlineStr">
        <is>
          <t>AUTH-700020</t>
        </is>
      </c>
      <c r="V43" s="26" t="inlineStr">
        <is>
          <t>Eleanor Brooks, MD</t>
        </is>
      </c>
      <c r="W43" s="26" t="inlineStr">
        <is>
          <t>Assigned Department Provider</t>
        </is>
      </c>
      <c r="X43" s="26" t="inlineStr">
        <is>
          <t>Therapy</t>
        </is>
      </c>
      <c r="Y43" s="26" t="inlineStr">
        <is>
          <t>Note signed</t>
        </is>
      </c>
      <c r="Z43" s="26" t="inlineStr">
        <is>
          <t>Posted</t>
        </is>
      </c>
      <c r="AA43" s="26" t="inlineStr">
        <is>
          <t>Matched</t>
        </is>
      </c>
      <c r="AB43" s="26" t="inlineStr">
        <is>
          <t>Passed</t>
        </is>
      </c>
      <c r="AC43" s="26" t="n"/>
      <c r="AD43" s="26" t="inlineStr">
        <is>
          <t>Plan benefits</t>
        </is>
      </c>
      <c r="AE43" s="26" t="inlineStr">
        <is>
          <t>R26.2</t>
        </is>
      </c>
      <c r="AF43" s="26" t="inlineStr">
        <is>
          <t>21</t>
        </is>
      </c>
      <c r="AG43" s="26" t="inlineStr">
        <is>
          <t>2026-09-21 16:30</t>
        </is>
      </c>
      <c r="AH43" s="26" t="inlineStr">
        <is>
          <t>Synthetic Athena negotiated charge</t>
        </is>
      </c>
    </row>
    <row r="44">
      <c r="A44" s="26" t="inlineStr">
        <is>
          <t>IPD-CHG-0020-CGH</t>
        </is>
      </c>
      <c r="B44" s="26" t="inlineStr">
        <is>
          <t>HAR-202600020-CGH</t>
        </is>
      </c>
      <c r="C44" s="26" t="inlineStr">
        <is>
          <t>CSN-IPD-780020-CGH</t>
        </is>
      </c>
      <c r="D44" s="26" t="inlineStr">
        <is>
          <t>Inpatient</t>
        </is>
      </c>
      <c r="E44" s="26" t="inlineStr">
        <is>
          <t>Demo Regional Medical Center</t>
        </is>
      </c>
      <c r="F44" s="26" t="inlineStr">
        <is>
          <t>Physical Therapy</t>
        </is>
      </c>
      <c r="G44" s="26" t="inlineStr">
        <is>
          <t>2026-09-21</t>
        </is>
      </c>
      <c r="H44" s="26" t="inlineStr">
        <is>
          <t>PT-EVAL-LOW</t>
        </is>
      </c>
      <c r="I44" s="26" t="inlineStr">
        <is>
          <t>Physical Therapy Evaluation, Low Complexity</t>
        </is>
      </c>
      <c r="J44" s="26" t="inlineStr">
        <is>
          <t>0420</t>
        </is>
      </c>
      <c r="K44" s="26" t="inlineStr">
        <is>
          <t>97161</t>
        </is>
      </c>
      <c r="L44" s="26" t="n"/>
      <c r="M44" s="26" t="n">
        <v>1</v>
      </c>
      <c r="N44" s="13" t="n">
        <v>710</v>
      </c>
      <c r="O44" s="13">
        <f>M44*N44</f>
        <v/>
      </c>
      <c r="P44" s="13" t="n">
        <v>287.97</v>
      </c>
      <c r="Q44" s="13">
        <f>P44*15%</f>
        <v/>
      </c>
      <c r="R44" s="13">
        <f>O44-P44</f>
        <v/>
      </c>
      <c r="S44" s="26" t="inlineStr">
        <is>
          <t>Care Gap Health</t>
        </is>
      </c>
      <c r="T44" s="26" t="inlineStr">
        <is>
          <t>Care Gap Value PPO</t>
        </is>
      </c>
      <c r="U44" s="26" t="inlineStr">
        <is>
          <t>AUTH-700020</t>
        </is>
      </c>
      <c r="V44" s="26" t="inlineStr">
        <is>
          <t>Eleanor Brooks, MD</t>
        </is>
      </c>
      <c r="W44" s="26" t="inlineStr">
        <is>
          <t>Assigned Department Provider</t>
        </is>
      </c>
      <c r="X44" s="26" t="inlineStr">
        <is>
          <t>Therapy</t>
        </is>
      </c>
      <c r="Y44" s="26" t="inlineStr">
        <is>
          <t>Note signed</t>
        </is>
      </c>
      <c r="Z44" s="26" t="inlineStr">
        <is>
          <t>Posted</t>
        </is>
      </c>
      <c r="AA44" s="26" t="inlineStr">
        <is>
          <t>Matched</t>
        </is>
      </c>
      <c r="AB44" s="26" t="inlineStr">
        <is>
          <t>Passed</t>
        </is>
      </c>
      <c r="AC44" s="26" t="n"/>
      <c r="AD44" s="26" t="inlineStr">
        <is>
          <t>Plan benefits</t>
        </is>
      </c>
      <c r="AE44" s="26" t="inlineStr">
        <is>
          <t>R26.2</t>
        </is>
      </c>
      <c r="AF44" s="26" t="inlineStr">
        <is>
          <t>21</t>
        </is>
      </c>
      <c r="AG44" s="26" t="inlineStr">
        <is>
          <t>2026-09-21 16:30</t>
        </is>
      </c>
      <c r="AH44" s="26" t="inlineStr">
        <is>
          <t>Synthetic Care Gap charge; 10% below Athena allowed amount</t>
        </is>
      </c>
    </row>
    <row r="45">
      <c r="A45" s="26" t="inlineStr">
        <is>
          <t>IPD-CHG-0021-ATH</t>
        </is>
      </c>
      <c r="B45" s="26" t="inlineStr">
        <is>
          <t>HAR-202600021-ATH</t>
        </is>
      </c>
      <c r="C45" s="26" t="inlineStr">
        <is>
          <t>CSN-IPD-780021-ATH</t>
        </is>
      </c>
      <c r="D45" s="26" t="inlineStr">
        <is>
          <t>Inpatient</t>
        </is>
      </c>
      <c r="E45" s="26" t="inlineStr">
        <is>
          <t>Demo Regional Medical Center</t>
        </is>
      </c>
      <c r="F45" s="26" t="inlineStr">
        <is>
          <t>Physical Therapy</t>
        </is>
      </c>
      <c r="G45" s="26" t="inlineStr">
        <is>
          <t>2026-09-22</t>
        </is>
      </c>
      <c r="H45" s="26" t="inlineStr">
        <is>
          <t>PT-THEREX-15</t>
        </is>
      </c>
      <c r="I45" s="26" t="inlineStr">
        <is>
          <t>Therapeutic Exercise, 15 Minutes</t>
        </is>
      </c>
      <c r="J45" s="26" t="inlineStr">
        <is>
          <t>0420</t>
        </is>
      </c>
      <c r="K45" s="26" t="inlineStr">
        <is>
          <t>97110</t>
        </is>
      </c>
      <c r="L45" s="26" t="n"/>
      <c r="M45" s="26" t="n">
        <v>6</v>
      </c>
      <c r="N45" s="13" t="n">
        <v>305</v>
      </c>
      <c r="O45" s="13">
        <f>M45*N45</f>
        <v/>
      </c>
      <c r="P45" s="13" t="n">
        <v>821.7</v>
      </c>
      <c r="Q45" s="13">
        <f>P45*20%</f>
        <v/>
      </c>
      <c r="R45" s="13">
        <f>O45-P45</f>
        <v/>
      </c>
      <c r="S45" s="26" t="inlineStr">
        <is>
          <t>Athena Health Insurance</t>
        </is>
      </c>
      <c r="T45" s="26" t="inlineStr">
        <is>
          <t>Athena PPO</t>
        </is>
      </c>
      <c r="U45" s="26" t="n"/>
      <c r="V45" s="26" t="inlineStr">
        <is>
          <t>Eleanor Brooks, MD</t>
        </is>
      </c>
      <c r="W45" s="26" t="inlineStr">
        <is>
          <t>Assigned Department Provider</t>
        </is>
      </c>
      <c r="X45" s="26" t="inlineStr">
        <is>
          <t>Therapy</t>
        </is>
      </c>
      <c r="Y45" s="26" t="inlineStr">
        <is>
          <t>Note signed</t>
        </is>
      </c>
      <c r="Z45" s="26" t="inlineStr">
        <is>
          <t>Posted</t>
        </is>
      </c>
      <c r="AA45" s="26" t="inlineStr">
        <is>
          <t>Matched</t>
        </is>
      </c>
      <c r="AB45" s="26" t="inlineStr">
        <is>
          <t>Passed</t>
        </is>
      </c>
      <c r="AC45" s="26" t="n"/>
      <c r="AD45" s="26" t="inlineStr">
        <is>
          <t>Timed units</t>
        </is>
      </c>
      <c r="AE45" s="26" t="inlineStr">
        <is>
          <t>M62.81</t>
        </is>
      </c>
      <c r="AF45" s="26" t="inlineStr">
        <is>
          <t>21</t>
        </is>
      </c>
      <c r="AG45" s="26" t="inlineStr">
        <is>
          <t>2026-09-22 16:30</t>
        </is>
      </c>
      <c r="AH45" s="26" t="inlineStr">
        <is>
          <t>Synthetic Athena negotiated charge</t>
        </is>
      </c>
    </row>
    <row r="46">
      <c r="A46" s="26" t="inlineStr">
        <is>
          <t>IPD-CHG-0021-CGH</t>
        </is>
      </c>
      <c r="B46" s="26" t="inlineStr">
        <is>
          <t>HAR-202600021-CGH</t>
        </is>
      </c>
      <c r="C46" s="26" t="inlineStr">
        <is>
          <t>CSN-IPD-780021-CGH</t>
        </is>
      </c>
      <c r="D46" s="26" t="inlineStr">
        <is>
          <t>Inpatient</t>
        </is>
      </c>
      <c r="E46" s="26" t="inlineStr">
        <is>
          <t>Demo Regional Medical Center</t>
        </is>
      </c>
      <c r="F46" s="26" t="inlineStr">
        <is>
          <t>Physical Therapy</t>
        </is>
      </c>
      <c r="G46" s="26" t="inlineStr">
        <is>
          <t>2026-09-22</t>
        </is>
      </c>
      <c r="H46" s="26" t="inlineStr">
        <is>
          <t>PT-THEREX-15</t>
        </is>
      </c>
      <c r="I46" s="26" t="inlineStr">
        <is>
          <t>Therapeutic Exercise, 15 Minutes</t>
        </is>
      </c>
      <c r="J46" s="26" t="inlineStr">
        <is>
          <t>0420</t>
        </is>
      </c>
      <c r="K46" s="26" t="inlineStr">
        <is>
          <t>97110</t>
        </is>
      </c>
      <c r="L46" s="26" t="n"/>
      <c r="M46" s="26" t="n">
        <v>6</v>
      </c>
      <c r="N46" s="13" t="n">
        <v>305</v>
      </c>
      <c r="O46" s="13">
        <f>M46*N46</f>
        <v/>
      </c>
      <c r="P46" s="13" t="n">
        <v>739.53</v>
      </c>
      <c r="Q46" s="13">
        <f>P46*15%</f>
        <v/>
      </c>
      <c r="R46" s="13">
        <f>O46-P46</f>
        <v/>
      </c>
      <c r="S46" s="26" t="inlineStr">
        <is>
          <t>Care Gap Health</t>
        </is>
      </c>
      <c r="T46" s="26" t="inlineStr">
        <is>
          <t>Care Gap Value PPO</t>
        </is>
      </c>
      <c r="U46" s="26" t="n"/>
      <c r="V46" s="26" t="inlineStr">
        <is>
          <t>Eleanor Brooks, MD</t>
        </is>
      </c>
      <c r="W46" s="26" t="inlineStr">
        <is>
          <t>Assigned Department Provider</t>
        </is>
      </c>
      <c r="X46" s="26" t="inlineStr">
        <is>
          <t>Therapy</t>
        </is>
      </c>
      <c r="Y46" s="26" t="inlineStr">
        <is>
          <t>Note signed</t>
        </is>
      </c>
      <c r="Z46" s="26" t="inlineStr">
        <is>
          <t>Posted</t>
        </is>
      </c>
      <c r="AA46" s="26" t="inlineStr">
        <is>
          <t>Matched</t>
        </is>
      </c>
      <c r="AB46" s="26" t="inlineStr">
        <is>
          <t>Passed</t>
        </is>
      </c>
      <c r="AC46" s="26" t="n"/>
      <c r="AD46" s="26" t="inlineStr">
        <is>
          <t>Timed units</t>
        </is>
      </c>
      <c r="AE46" s="26" t="inlineStr">
        <is>
          <t>M62.81</t>
        </is>
      </c>
      <c r="AF46" s="26" t="inlineStr">
        <is>
          <t>21</t>
        </is>
      </c>
      <c r="AG46" s="26" t="inlineStr">
        <is>
          <t>2026-09-22 16:30</t>
        </is>
      </c>
      <c r="AH46" s="26" t="inlineStr">
        <is>
          <t>Synthetic Care Gap charge; 10% below Athena allowed amount</t>
        </is>
      </c>
    </row>
    <row r="47">
      <c r="A47" s="26" t="inlineStr">
        <is>
          <t>IPD-CHG-0022-ATH</t>
        </is>
      </c>
      <c r="B47" s="26" t="inlineStr">
        <is>
          <t>HAR-202600022-ATH</t>
        </is>
      </c>
      <c r="C47" s="26" t="inlineStr">
        <is>
          <t>CSN-IPD-780022-ATH</t>
        </is>
      </c>
      <c r="D47" s="26" t="inlineStr">
        <is>
          <t>Inpatient</t>
        </is>
      </c>
      <c r="E47" s="26" t="inlineStr">
        <is>
          <t>Demo Regional Medical Center</t>
        </is>
      </c>
      <c r="F47" s="26" t="inlineStr">
        <is>
          <t>Occupational Therapy</t>
        </is>
      </c>
      <c r="G47" s="26" t="inlineStr">
        <is>
          <t>2026-09-23</t>
        </is>
      </c>
      <c r="H47" s="26" t="inlineStr">
        <is>
          <t>OT-EVAL-LOW</t>
        </is>
      </c>
      <c r="I47" s="26" t="inlineStr">
        <is>
          <t>Occupational Therapy Evaluation, Low Complexity</t>
        </is>
      </c>
      <c r="J47" s="26" t="inlineStr">
        <is>
          <t>0430</t>
        </is>
      </c>
      <c r="K47" s="26" t="inlineStr">
        <is>
          <t>97165</t>
        </is>
      </c>
      <c r="L47" s="26" t="n"/>
      <c r="M47" s="26" t="n">
        <v>1</v>
      </c>
      <c r="N47" s="13" t="n">
        <v>725</v>
      </c>
      <c r="O47" s="13">
        <f>M47*N47</f>
        <v/>
      </c>
      <c r="P47" s="13" t="n">
        <v>488.83</v>
      </c>
      <c r="Q47" s="13">
        <f>P47*20%</f>
        <v/>
      </c>
      <c r="R47" s="13">
        <f>O47-P47</f>
        <v/>
      </c>
      <c r="S47" s="26" t="inlineStr">
        <is>
          <t>Athena Health Insurance</t>
        </is>
      </c>
      <c r="T47" s="26" t="inlineStr">
        <is>
          <t>Athena PPO</t>
        </is>
      </c>
      <c r="U47" s="26" t="inlineStr">
        <is>
          <t>AUTH-700022</t>
        </is>
      </c>
      <c r="V47" s="26" t="inlineStr">
        <is>
          <t>Eleanor Brooks, MD</t>
        </is>
      </c>
      <c r="W47" s="26" t="inlineStr">
        <is>
          <t>Assigned Department Provider</t>
        </is>
      </c>
      <c r="X47" s="26" t="inlineStr">
        <is>
          <t>Therapy</t>
        </is>
      </c>
      <c r="Y47" s="26" t="inlineStr">
        <is>
          <t>Note signed</t>
        </is>
      </c>
      <c r="Z47" s="26" t="inlineStr">
        <is>
          <t>Posted</t>
        </is>
      </c>
      <c r="AA47" s="26" t="inlineStr">
        <is>
          <t>Matched</t>
        </is>
      </c>
      <c r="AB47" s="26" t="inlineStr">
        <is>
          <t>Passed</t>
        </is>
      </c>
      <c r="AC47" s="26" t="n"/>
      <c r="AD47" s="26" t="inlineStr">
        <is>
          <t>Plan benefits</t>
        </is>
      </c>
      <c r="AE47" s="26" t="inlineStr">
        <is>
          <t>Z74.09</t>
        </is>
      </c>
      <c r="AF47" s="26" t="inlineStr">
        <is>
          <t>21</t>
        </is>
      </c>
      <c r="AG47" s="26" t="inlineStr">
        <is>
          <t>2026-09-23 16:30</t>
        </is>
      </c>
      <c r="AH47" s="26" t="inlineStr">
        <is>
          <t>Synthetic Athena negotiated charge</t>
        </is>
      </c>
    </row>
    <row r="48">
      <c r="A48" s="26" t="inlineStr">
        <is>
          <t>IPD-CHG-0022-CGH</t>
        </is>
      </c>
      <c r="B48" s="26" t="inlineStr">
        <is>
          <t>HAR-202600022-CGH</t>
        </is>
      </c>
      <c r="C48" s="26" t="inlineStr">
        <is>
          <t>CSN-IPD-780022-CGH</t>
        </is>
      </c>
      <c r="D48" s="26" t="inlineStr">
        <is>
          <t>Inpatient</t>
        </is>
      </c>
      <c r="E48" s="26" t="inlineStr">
        <is>
          <t>Demo Regional Medical Center</t>
        </is>
      </c>
      <c r="F48" s="26" t="inlineStr">
        <is>
          <t>Occupational Therapy</t>
        </is>
      </c>
      <c r="G48" s="26" t="inlineStr">
        <is>
          <t>2026-09-23</t>
        </is>
      </c>
      <c r="H48" s="26" t="inlineStr">
        <is>
          <t>OT-EVAL-LOW</t>
        </is>
      </c>
      <c r="I48" s="26" t="inlineStr">
        <is>
          <t>Occupational Therapy Evaluation, Low Complexity</t>
        </is>
      </c>
      <c r="J48" s="26" t="inlineStr">
        <is>
          <t>0430</t>
        </is>
      </c>
      <c r="K48" s="26" t="inlineStr">
        <is>
          <t>97165</t>
        </is>
      </c>
      <c r="L48" s="26" t="n"/>
      <c r="M48" s="26" t="n">
        <v>1</v>
      </c>
      <c r="N48" s="13" t="n">
        <v>725</v>
      </c>
      <c r="O48" s="13">
        <f>M48*N48</f>
        <v/>
      </c>
      <c r="P48" s="13" t="n">
        <v>439.95</v>
      </c>
      <c r="Q48" s="13">
        <f>P48*15%</f>
        <v/>
      </c>
      <c r="R48" s="13">
        <f>O48-P48</f>
        <v/>
      </c>
      <c r="S48" s="26" t="inlineStr">
        <is>
          <t>Care Gap Health</t>
        </is>
      </c>
      <c r="T48" s="26" t="inlineStr">
        <is>
          <t>Care Gap Value PPO</t>
        </is>
      </c>
      <c r="U48" s="26" t="inlineStr">
        <is>
          <t>AUTH-700022</t>
        </is>
      </c>
      <c r="V48" s="26" t="inlineStr">
        <is>
          <t>Eleanor Brooks, MD</t>
        </is>
      </c>
      <c r="W48" s="26" t="inlineStr">
        <is>
          <t>Assigned Department Provider</t>
        </is>
      </c>
      <c r="X48" s="26" t="inlineStr">
        <is>
          <t>Therapy</t>
        </is>
      </c>
      <c r="Y48" s="26" t="inlineStr">
        <is>
          <t>Note signed</t>
        </is>
      </c>
      <c r="Z48" s="26" t="inlineStr">
        <is>
          <t>Posted</t>
        </is>
      </c>
      <c r="AA48" s="26" t="inlineStr">
        <is>
          <t>Matched</t>
        </is>
      </c>
      <c r="AB48" s="26" t="inlineStr">
        <is>
          <t>Passed</t>
        </is>
      </c>
      <c r="AC48" s="26" t="n"/>
      <c r="AD48" s="26" t="inlineStr">
        <is>
          <t>Plan benefits</t>
        </is>
      </c>
      <c r="AE48" s="26" t="inlineStr">
        <is>
          <t>Z74.09</t>
        </is>
      </c>
      <c r="AF48" s="26" t="inlineStr">
        <is>
          <t>21</t>
        </is>
      </c>
      <c r="AG48" s="26" t="inlineStr">
        <is>
          <t>2026-09-23 16:30</t>
        </is>
      </c>
      <c r="AH48" s="26" t="inlineStr">
        <is>
          <t>Synthetic Care Gap charge; 10% below Athena allowed amount</t>
        </is>
      </c>
    </row>
    <row r="49">
      <c r="A49" s="26" t="inlineStr">
        <is>
          <t>IPD-CHG-0023-ATH</t>
        </is>
      </c>
      <c r="B49" s="26" t="inlineStr">
        <is>
          <t>HAR-202600023-ATH</t>
        </is>
      </c>
      <c r="C49" s="26" t="inlineStr">
        <is>
          <t>CSN-IPD-780023-ATH</t>
        </is>
      </c>
      <c r="D49" s="26" t="inlineStr">
        <is>
          <t>Inpatient</t>
        </is>
      </c>
      <c r="E49" s="26" t="inlineStr">
        <is>
          <t>Demo Regional Medical Center</t>
        </is>
      </c>
      <c r="F49" s="26" t="inlineStr">
        <is>
          <t>Nutrition</t>
        </is>
      </c>
      <c r="G49" s="26" t="inlineStr">
        <is>
          <t>2026-09-24</t>
        </is>
      </c>
      <c r="H49" s="26" t="inlineStr">
        <is>
          <t>NUTR-ASSESS</t>
        </is>
      </c>
      <c r="I49" s="26" t="inlineStr">
        <is>
          <t>Inpatient Nutrition Assessment</t>
        </is>
      </c>
      <c r="J49" s="26" t="inlineStr">
        <is>
          <t>0942</t>
        </is>
      </c>
      <c r="K49" s="26" t="inlineStr">
        <is>
          <t>97802</t>
        </is>
      </c>
      <c r="L49" s="26" t="n"/>
      <c r="M49" s="26" t="n">
        <v>1</v>
      </c>
      <c r="N49" s="13" t="n">
        <v>325</v>
      </c>
      <c r="O49" s="13">
        <f>M49*N49</f>
        <v/>
      </c>
      <c r="P49" s="13" t="n">
        <v>195.36</v>
      </c>
      <c r="Q49" s="13">
        <f>P49*20%</f>
        <v/>
      </c>
      <c r="R49" s="13">
        <f>O49-P49</f>
        <v/>
      </c>
      <c r="S49" s="26" t="inlineStr">
        <is>
          <t>Athena Health Insurance</t>
        </is>
      </c>
      <c r="T49" s="26" t="inlineStr">
        <is>
          <t>Athena PPO</t>
        </is>
      </c>
      <c r="U49" s="26" t="n"/>
      <c r="V49" s="26" t="inlineStr">
        <is>
          <t>Eleanor Brooks, MD</t>
        </is>
      </c>
      <c r="W49" s="26" t="inlineStr">
        <is>
          <t>Assigned Department Provider</t>
        </is>
      </c>
      <c r="X49" s="26" t="inlineStr">
        <is>
          <t>Dietary</t>
        </is>
      </c>
      <c r="Y49" s="26" t="inlineStr">
        <is>
          <t>Note signed</t>
        </is>
      </c>
      <c r="Z49" s="26" t="inlineStr">
        <is>
          <t>Posted</t>
        </is>
      </c>
      <c r="AA49" s="26" t="inlineStr">
        <is>
          <t>Matched</t>
        </is>
      </c>
      <c r="AB49" s="26" t="inlineStr">
        <is>
          <t>Review</t>
        </is>
      </c>
      <c r="AC49" s="26" t="inlineStr">
        <is>
          <t>WQ-NUT-04</t>
        </is>
      </c>
      <c r="AD49" s="26" t="inlineStr">
        <is>
          <t>N/A</t>
        </is>
      </c>
      <c r="AE49" s="26" t="inlineStr">
        <is>
          <t>E44.1</t>
        </is>
      </c>
      <c r="AF49" s="26" t="inlineStr">
        <is>
          <t>21</t>
        </is>
      </c>
      <c r="AG49" s="26" t="inlineStr">
        <is>
          <t>2026-09-24 16:30</t>
        </is>
      </c>
      <c r="AH49" s="26" t="inlineStr">
        <is>
          <t>Synthetic Athena negotiated charge</t>
        </is>
      </c>
    </row>
    <row r="50">
      <c r="A50" s="26" t="inlineStr">
        <is>
          <t>IPD-CHG-0023-CGH</t>
        </is>
      </c>
      <c r="B50" s="26" t="inlineStr">
        <is>
          <t>HAR-202600023-CGH</t>
        </is>
      </c>
      <c r="C50" s="26" t="inlineStr">
        <is>
          <t>CSN-IPD-780023-CGH</t>
        </is>
      </c>
      <c r="D50" s="26" t="inlineStr">
        <is>
          <t>Inpatient</t>
        </is>
      </c>
      <c r="E50" s="26" t="inlineStr">
        <is>
          <t>Demo Regional Medical Center</t>
        </is>
      </c>
      <c r="F50" s="26" t="inlineStr">
        <is>
          <t>Nutrition</t>
        </is>
      </c>
      <c r="G50" s="26" t="inlineStr">
        <is>
          <t>2026-09-24</t>
        </is>
      </c>
      <c r="H50" s="26" t="inlineStr">
        <is>
          <t>NUTR-ASSESS</t>
        </is>
      </c>
      <c r="I50" s="26" t="inlineStr">
        <is>
          <t>Inpatient Nutrition Assessment</t>
        </is>
      </c>
      <c r="J50" s="26" t="inlineStr">
        <is>
          <t>0942</t>
        </is>
      </c>
      <c r="K50" s="26" t="inlineStr">
        <is>
          <t>97802</t>
        </is>
      </c>
      <c r="L50" s="26" t="n"/>
      <c r="M50" s="26" t="n">
        <v>1</v>
      </c>
      <c r="N50" s="13" t="n">
        <v>325</v>
      </c>
      <c r="O50" s="13">
        <f>M50*N50</f>
        <v/>
      </c>
      <c r="P50" s="13" t="n">
        <v>175.82</v>
      </c>
      <c r="Q50" s="13">
        <f>P50*15%</f>
        <v/>
      </c>
      <c r="R50" s="13">
        <f>O50-P50</f>
        <v/>
      </c>
      <c r="S50" s="26" t="inlineStr">
        <is>
          <t>Care Gap Health</t>
        </is>
      </c>
      <c r="T50" s="26" t="inlineStr">
        <is>
          <t>Care Gap Value PPO</t>
        </is>
      </c>
      <c r="U50" s="26" t="n"/>
      <c r="V50" s="26" t="inlineStr">
        <is>
          <t>Eleanor Brooks, MD</t>
        </is>
      </c>
      <c r="W50" s="26" t="inlineStr">
        <is>
          <t>Assigned Department Provider</t>
        </is>
      </c>
      <c r="X50" s="26" t="inlineStr">
        <is>
          <t>Dietary</t>
        </is>
      </c>
      <c r="Y50" s="26" t="inlineStr">
        <is>
          <t>Note signed</t>
        </is>
      </c>
      <c r="Z50" s="26" t="inlineStr">
        <is>
          <t>Posted</t>
        </is>
      </c>
      <c r="AA50" s="26" t="inlineStr">
        <is>
          <t>Matched</t>
        </is>
      </c>
      <c r="AB50" s="26" t="inlineStr">
        <is>
          <t>Review</t>
        </is>
      </c>
      <c r="AC50" s="26" t="inlineStr">
        <is>
          <t>WQ-NUT-04</t>
        </is>
      </c>
      <c r="AD50" s="26" t="inlineStr">
        <is>
          <t>N/A</t>
        </is>
      </c>
      <c r="AE50" s="26" t="inlineStr">
        <is>
          <t>E44.1</t>
        </is>
      </c>
      <c r="AF50" s="26" t="inlineStr">
        <is>
          <t>21</t>
        </is>
      </c>
      <c r="AG50" s="26" t="inlineStr">
        <is>
          <t>2026-09-24 16:30</t>
        </is>
      </c>
      <c r="AH50" s="26" t="inlineStr">
        <is>
          <t>Synthetic Care Gap charge; 10% below Athena allowed amount</t>
        </is>
      </c>
    </row>
    <row r="51">
      <c r="A51" s="26" t="inlineStr">
        <is>
          <t>IPD-CHG-0024-ATH</t>
        </is>
      </c>
      <c r="B51" s="26" t="inlineStr">
        <is>
          <t>HAR-202600024-ATH</t>
        </is>
      </c>
      <c r="C51" s="26" t="inlineStr">
        <is>
          <t>CSN-IPD-780024-ATH</t>
        </is>
      </c>
      <c r="D51" s="26" t="inlineStr">
        <is>
          <t>Inpatient</t>
        </is>
      </c>
      <c r="E51" s="26" t="inlineStr">
        <is>
          <t>Demo Regional Medical Center</t>
        </is>
      </c>
      <c r="F51" s="26" t="inlineStr">
        <is>
          <t>Dialysis</t>
        </is>
      </c>
      <c r="G51" s="26" t="inlineStr">
        <is>
          <t>2026-09-25</t>
        </is>
      </c>
      <c r="H51" s="26" t="inlineStr">
        <is>
          <t>DIALYSIS-IP</t>
        </is>
      </c>
      <c r="I51" s="26" t="inlineStr">
        <is>
          <t>Inpatient Hemodialysis Treatment</t>
        </is>
      </c>
      <c r="J51" s="26" t="inlineStr">
        <is>
          <t>0801</t>
        </is>
      </c>
      <c r="K51" s="26" t="inlineStr">
        <is>
          <t>90935</t>
        </is>
      </c>
      <c r="L51" s="26" t="n"/>
      <c r="M51" s="26" t="n">
        <v>1</v>
      </c>
      <c r="N51" s="13" t="n">
        <v>1600</v>
      </c>
      <c r="O51" s="13">
        <f>M51*N51</f>
        <v/>
      </c>
      <c r="P51" s="13" t="n">
        <v>1059.42</v>
      </c>
      <c r="Q51" s="13">
        <f>P51*20%</f>
        <v/>
      </c>
      <c r="R51" s="13">
        <f>O51-P51</f>
        <v/>
      </c>
      <c r="S51" s="26" t="inlineStr">
        <is>
          <t>Athena Health Insurance</t>
        </is>
      </c>
      <c r="T51" s="26" t="inlineStr">
        <is>
          <t>Athena PPO</t>
        </is>
      </c>
      <c r="U51" s="26" t="n"/>
      <c r="V51" s="26" t="inlineStr">
        <is>
          <t>Eleanor Brooks, MD</t>
        </is>
      </c>
      <c r="W51" s="26" t="inlineStr">
        <is>
          <t>Assigned Department Provider</t>
        </is>
      </c>
      <c r="X51" s="26" t="inlineStr">
        <is>
          <t>Dialysis</t>
        </is>
      </c>
      <c r="Y51" s="26" t="inlineStr">
        <is>
          <t>Treatment completed</t>
        </is>
      </c>
      <c r="Z51" s="26" t="inlineStr">
        <is>
          <t>Posted</t>
        </is>
      </c>
      <c r="AA51" s="26" t="inlineStr">
        <is>
          <t>Matched</t>
        </is>
      </c>
      <c r="AB51" s="26" t="inlineStr">
        <is>
          <t>Passed</t>
        </is>
      </c>
      <c r="AC51" s="26" t="n"/>
      <c r="AD51" s="26" t="inlineStr">
        <is>
          <t>Diagnosis/LCD</t>
        </is>
      </c>
      <c r="AE51" s="26" t="inlineStr">
        <is>
          <t>N18.6</t>
        </is>
      </c>
      <c r="AF51" s="26" t="inlineStr">
        <is>
          <t>21</t>
        </is>
      </c>
      <c r="AG51" s="26" t="inlineStr">
        <is>
          <t>2026-09-25 16:30</t>
        </is>
      </c>
      <c r="AH51" s="26" t="inlineStr">
        <is>
          <t>Synthetic Athena negotiated charge</t>
        </is>
      </c>
    </row>
    <row r="52">
      <c r="A52" s="26" t="inlineStr">
        <is>
          <t>IPD-CHG-0024-CGH</t>
        </is>
      </c>
      <c r="B52" s="26" t="inlineStr">
        <is>
          <t>HAR-202600024-CGH</t>
        </is>
      </c>
      <c r="C52" s="26" t="inlineStr">
        <is>
          <t>CSN-IPD-780024-CGH</t>
        </is>
      </c>
      <c r="D52" s="26" t="inlineStr">
        <is>
          <t>Inpatient</t>
        </is>
      </c>
      <c r="E52" s="26" t="inlineStr">
        <is>
          <t>Demo Regional Medical Center</t>
        </is>
      </c>
      <c r="F52" s="26" t="inlineStr">
        <is>
          <t>Dialysis</t>
        </is>
      </c>
      <c r="G52" s="26" t="inlineStr">
        <is>
          <t>2026-09-25</t>
        </is>
      </c>
      <c r="H52" s="26" t="inlineStr">
        <is>
          <t>DIALYSIS-IP</t>
        </is>
      </c>
      <c r="I52" s="26" t="inlineStr">
        <is>
          <t>Inpatient Hemodialysis Treatment</t>
        </is>
      </c>
      <c r="J52" s="26" t="inlineStr">
        <is>
          <t>0801</t>
        </is>
      </c>
      <c r="K52" s="26" t="inlineStr">
        <is>
          <t>90935</t>
        </is>
      </c>
      <c r="L52" s="26" t="n"/>
      <c r="M52" s="26" t="n">
        <v>1</v>
      </c>
      <c r="N52" s="13" t="n">
        <v>1600</v>
      </c>
      <c r="O52" s="13">
        <f>M52*N52</f>
        <v/>
      </c>
      <c r="P52" s="13" t="n">
        <v>953.48</v>
      </c>
      <c r="Q52" s="13">
        <f>P52*15%</f>
        <v/>
      </c>
      <c r="R52" s="13">
        <f>O52-P52</f>
        <v/>
      </c>
      <c r="S52" s="26" t="inlineStr">
        <is>
          <t>Care Gap Health</t>
        </is>
      </c>
      <c r="T52" s="26" t="inlineStr">
        <is>
          <t>Care Gap Value PPO</t>
        </is>
      </c>
      <c r="U52" s="26" t="n"/>
      <c r="V52" s="26" t="inlineStr">
        <is>
          <t>Eleanor Brooks, MD</t>
        </is>
      </c>
      <c r="W52" s="26" t="inlineStr">
        <is>
          <t>Assigned Department Provider</t>
        </is>
      </c>
      <c r="X52" s="26" t="inlineStr">
        <is>
          <t>Dialysis</t>
        </is>
      </c>
      <c r="Y52" s="26" t="inlineStr">
        <is>
          <t>Treatment completed</t>
        </is>
      </c>
      <c r="Z52" s="26" t="inlineStr">
        <is>
          <t>Posted</t>
        </is>
      </c>
      <c r="AA52" s="26" t="inlineStr">
        <is>
          <t>Matched</t>
        </is>
      </c>
      <c r="AB52" s="26" t="inlineStr">
        <is>
          <t>Passed</t>
        </is>
      </c>
      <c r="AC52" s="26" t="n"/>
      <c r="AD52" s="26" t="inlineStr">
        <is>
          <t>Diagnosis/LCD</t>
        </is>
      </c>
      <c r="AE52" s="26" t="inlineStr">
        <is>
          <t>N18.6</t>
        </is>
      </c>
      <c r="AF52" s="26" t="inlineStr">
        <is>
          <t>21</t>
        </is>
      </c>
      <c r="AG52" s="26" t="inlineStr">
        <is>
          <t>2026-09-25 16:30</t>
        </is>
      </c>
      <c r="AH52" s="26" t="inlineStr">
        <is>
          <t>Synthetic Care Gap charge; 10% below Athena allowed amount</t>
        </is>
      </c>
    </row>
    <row r="53">
      <c r="A53" s="26" t="inlineStr">
        <is>
          <t>IPD-CHG-0025-ATH</t>
        </is>
      </c>
      <c r="B53" s="26" t="inlineStr">
        <is>
          <t>HAR-202600025-ATH</t>
        </is>
      </c>
      <c r="C53" s="26" t="inlineStr">
        <is>
          <t>CSN-IPD-780025-ATH</t>
        </is>
      </c>
      <c r="D53" s="26" t="inlineStr">
        <is>
          <t>Inpatient</t>
        </is>
      </c>
      <c r="E53" s="26" t="inlineStr">
        <is>
          <t>Demo Regional Medical Center</t>
        </is>
      </c>
      <c r="F53" s="26" t="inlineStr">
        <is>
          <t>Accommodation</t>
        </is>
      </c>
      <c r="G53" s="26" t="inlineStr">
        <is>
          <t>2026-09-01</t>
        </is>
      </c>
      <c r="H53" s="26" t="inlineStr">
        <is>
          <t>RM-SEMI-DAY</t>
        </is>
      </c>
      <c r="I53" s="26" t="inlineStr">
        <is>
          <t>Semiprivate Medical/Surgical Room</t>
        </is>
      </c>
      <c r="J53" s="26" t="inlineStr">
        <is>
          <t>0120</t>
        </is>
      </c>
      <c r="K53" s="26" t="n"/>
      <c r="L53" s="26" t="n"/>
      <c r="M53" s="26" t="n">
        <v>4</v>
      </c>
      <c r="N53" s="13" t="n">
        <v>3500</v>
      </c>
      <c r="O53" s="13">
        <f>M53*N53</f>
        <v/>
      </c>
      <c r="P53" s="13" t="n">
        <v>8132.16</v>
      </c>
      <c r="Q53" s="13">
        <f>P53*20%</f>
        <v/>
      </c>
      <c r="R53" s="13">
        <f>O53-P53</f>
        <v/>
      </c>
      <c r="S53" s="26" t="inlineStr">
        <is>
          <t>Athena Health Insurance</t>
        </is>
      </c>
      <c r="T53" s="26" t="inlineStr">
        <is>
          <t>Athena PPO</t>
        </is>
      </c>
      <c r="U53" s="26" t="n"/>
      <c r="V53" s="26" t="inlineStr">
        <is>
          <t>Eleanor Brooks, MD</t>
        </is>
      </c>
      <c r="W53" s="26" t="inlineStr">
        <is>
          <t>Assigned Department Provider</t>
        </is>
      </c>
      <c r="X53" s="26" t="inlineStr">
        <is>
          <t>ADT</t>
        </is>
      </c>
      <c r="Y53" s="26" t="inlineStr">
        <is>
          <t>Midnight census</t>
        </is>
      </c>
      <c r="Z53" s="26" t="inlineStr">
        <is>
          <t>Posted</t>
        </is>
      </c>
      <c r="AA53" s="26" t="inlineStr">
        <is>
          <t>Matched</t>
        </is>
      </c>
      <c r="AB53" s="26" t="inlineStr">
        <is>
          <t>Passed</t>
        </is>
      </c>
      <c r="AC53" s="26" t="n"/>
      <c r="AD53" s="26" t="inlineStr">
        <is>
          <t>N/A</t>
        </is>
      </c>
      <c r="AE53" s="26" t="inlineStr">
        <is>
          <t>M17.11</t>
        </is>
      </c>
      <c r="AF53" s="26" t="inlineStr">
        <is>
          <t>21</t>
        </is>
      </c>
      <c r="AG53" s="26" t="inlineStr">
        <is>
          <t>2026-09-01 16:30</t>
        </is>
      </c>
      <c r="AH53" s="26" t="inlineStr">
        <is>
          <t>Synthetic Athena negotiated charge</t>
        </is>
      </c>
    </row>
    <row r="54">
      <c r="A54" s="26" t="inlineStr">
        <is>
          <t>IPD-CHG-0025-CGH</t>
        </is>
      </c>
      <c r="B54" s="26" t="inlineStr">
        <is>
          <t>HAR-202600025-CGH</t>
        </is>
      </c>
      <c r="C54" s="26" t="inlineStr">
        <is>
          <t>CSN-IPD-780025-CGH</t>
        </is>
      </c>
      <c r="D54" s="26" t="inlineStr">
        <is>
          <t>Inpatient</t>
        </is>
      </c>
      <c r="E54" s="26" t="inlineStr">
        <is>
          <t>Demo Regional Medical Center</t>
        </is>
      </c>
      <c r="F54" s="26" t="inlineStr">
        <is>
          <t>Accommodation</t>
        </is>
      </c>
      <c r="G54" s="26" t="inlineStr">
        <is>
          <t>2026-09-01</t>
        </is>
      </c>
      <c r="H54" s="26" t="inlineStr">
        <is>
          <t>RM-SEMI-DAY</t>
        </is>
      </c>
      <c r="I54" s="26" t="inlineStr">
        <is>
          <t>Semiprivate Medical/Surgical Room</t>
        </is>
      </c>
      <c r="J54" s="26" t="inlineStr">
        <is>
          <t>0120</t>
        </is>
      </c>
      <c r="K54" s="26" t="n"/>
      <c r="L54" s="26" t="n"/>
      <c r="M54" s="26" t="n">
        <v>4</v>
      </c>
      <c r="N54" s="13" t="n">
        <v>3500</v>
      </c>
      <c r="O54" s="13">
        <f>M54*N54</f>
        <v/>
      </c>
      <c r="P54" s="13" t="n">
        <v>7318.94</v>
      </c>
      <c r="Q54" s="13">
        <f>P54*15%</f>
        <v/>
      </c>
      <c r="R54" s="13">
        <f>O54-P54</f>
        <v/>
      </c>
      <c r="S54" s="26" t="inlineStr">
        <is>
          <t>Care Gap Health</t>
        </is>
      </c>
      <c r="T54" s="26" t="inlineStr">
        <is>
          <t>Care Gap Value PPO</t>
        </is>
      </c>
      <c r="U54" s="26" t="n"/>
      <c r="V54" s="26" t="inlineStr">
        <is>
          <t>Eleanor Brooks, MD</t>
        </is>
      </c>
      <c r="W54" s="26" t="inlineStr">
        <is>
          <t>Assigned Department Provider</t>
        </is>
      </c>
      <c r="X54" s="26" t="inlineStr">
        <is>
          <t>ADT</t>
        </is>
      </c>
      <c r="Y54" s="26" t="inlineStr">
        <is>
          <t>Midnight census</t>
        </is>
      </c>
      <c r="Z54" s="26" t="inlineStr">
        <is>
          <t>Posted</t>
        </is>
      </c>
      <c r="AA54" s="26" t="inlineStr">
        <is>
          <t>Matched</t>
        </is>
      </c>
      <c r="AB54" s="26" t="inlineStr">
        <is>
          <t>Passed</t>
        </is>
      </c>
      <c r="AC54" s="26" t="n"/>
      <c r="AD54" s="26" t="inlineStr">
        <is>
          <t>N/A</t>
        </is>
      </c>
      <c r="AE54" s="26" t="inlineStr">
        <is>
          <t>M17.11</t>
        </is>
      </c>
      <c r="AF54" s="26" t="inlineStr">
        <is>
          <t>21</t>
        </is>
      </c>
      <c r="AG54" s="26" t="inlineStr">
        <is>
          <t>2026-09-01 16:30</t>
        </is>
      </c>
      <c r="AH54" s="26" t="inlineStr">
        <is>
          <t>Synthetic Care Gap charge; 10% below Athena allowed amount</t>
        </is>
      </c>
    </row>
    <row r="55">
      <c r="A55" s="26" t="inlineStr">
        <is>
          <t>IPD-CHG-0026-ATH</t>
        </is>
      </c>
      <c r="B55" s="26" t="inlineStr">
        <is>
          <t>HAR-202600026-ATH</t>
        </is>
      </c>
      <c r="C55" s="26" t="inlineStr">
        <is>
          <t>CSN-IPD-780026-ATH</t>
        </is>
      </c>
      <c r="D55" s="26" t="inlineStr">
        <is>
          <t>Inpatient</t>
        </is>
      </c>
      <c r="E55" s="26" t="inlineStr">
        <is>
          <t>Demo Regional Medical Center</t>
        </is>
      </c>
      <c r="F55" s="26" t="inlineStr">
        <is>
          <t>Accommodation</t>
        </is>
      </c>
      <c r="G55" s="26" t="inlineStr">
        <is>
          <t>2026-09-02</t>
        </is>
      </c>
      <c r="H55" s="26" t="inlineStr">
        <is>
          <t>RM-PRIV-DAY</t>
        </is>
      </c>
      <c r="I55" s="26" t="inlineStr">
        <is>
          <t>Private Medical/Surgical Room</t>
        </is>
      </c>
      <c r="J55" s="26" t="inlineStr">
        <is>
          <t>0110</t>
        </is>
      </c>
      <c r="K55" s="26" t="n"/>
      <c r="L55" s="26" t="n"/>
      <c r="M55" s="26" t="n">
        <v>4</v>
      </c>
      <c r="N55" s="13" t="n">
        <v>4600</v>
      </c>
      <c r="O55" s="13">
        <f>M55*N55</f>
        <v/>
      </c>
      <c r="P55" s="13" t="n">
        <v>8162.98</v>
      </c>
      <c r="Q55" s="13">
        <f>P55*20%</f>
        <v/>
      </c>
      <c r="R55" s="13">
        <f>O55-P55</f>
        <v/>
      </c>
      <c r="S55" s="26" t="inlineStr">
        <is>
          <t>Athena Health Insurance</t>
        </is>
      </c>
      <c r="T55" s="26" t="inlineStr">
        <is>
          <t>Athena PPO</t>
        </is>
      </c>
      <c r="U55" s="26" t="n"/>
      <c r="V55" s="26" t="inlineStr">
        <is>
          <t>Eleanor Brooks, MD</t>
        </is>
      </c>
      <c r="W55" s="26" t="inlineStr">
        <is>
          <t>Assigned Department Provider</t>
        </is>
      </c>
      <c r="X55" s="26" t="inlineStr">
        <is>
          <t>ADT</t>
        </is>
      </c>
      <c r="Y55" s="26" t="inlineStr">
        <is>
          <t>Midnight census</t>
        </is>
      </c>
      <c r="Z55" s="26" t="inlineStr">
        <is>
          <t>Posted</t>
        </is>
      </c>
      <c r="AA55" s="26" t="inlineStr">
        <is>
          <t>Matched</t>
        </is>
      </c>
      <c r="AB55" s="26" t="inlineStr">
        <is>
          <t>Passed</t>
        </is>
      </c>
      <c r="AC55" s="26" t="n"/>
      <c r="AD55" s="26" t="inlineStr">
        <is>
          <t>N/A</t>
        </is>
      </c>
      <c r="AE55" s="26" t="inlineStr">
        <is>
          <t>M17.11</t>
        </is>
      </c>
      <c r="AF55" s="26" t="inlineStr">
        <is>
          <t>21</t>
        </is>
      </c>
      <c r="AG55" s="26" t="inlineStr">
        <is>
          <t>2026-09-02 16:30</t>
        </is>
      </c>
      <c r="AH55" s="26" t="inlineStr">
        <is>
          <t>Synthetic Athena negotiated charge</t>
        </is>
      </c>
    </row>
    <row r="56">
      <c r="A56" s="26" t="inlineStr">
        <is>
          <t>IPD-CHG-0026-CGH</t>
        </is>
      </c>
      <c r="B56" s="26" t="inlineStr">
        <is>
          <t>HAR-202600026-CGH</t>
        </is>
      </c>
      <c r="C56" s="26" t="inlineStr">
        <is>
          <t>CSN-IPD-780026-CGH</t>
        </is>
      </c>
      <c r="D56" s="26" t="inlineStr">
        <is>
          <t>Inpatient</t>
        </is>
      </c>
      <c r="E56" s="26" t="inlineStr">
        <is>
          <t>Demo Regional Medical Center</t>
        </is>
      </c>
      <c r="F56" s="26" t="inlineStr">
        <is>
          <t>Accommodation</t>
        </is>
      </c>
      <c r="G56" s="26" t="inlineStr">
        <is>
          <t>2026-09-02</t>
        </is>
      </c>
      <c r="H56" s="26" t="inlineStr">
        <is>
          <t>RM-PRIV-DAY</t>
        </is>
      </c>
      <c r="I56" s="26" t="inlineStr">
        <is>
          <t>Private Medical/Surgical Room</t>
        </is>
      </c>
      <c r="J56" s="26" t="inlineStr">
        <is>
          <t>0110</t>
        </is>
      </c>
      <c r="K56" s="26" t="n"/>
      <c r="L56" s="26" t="n"/>
      <c r="M56" s="26" t="n">
        <v>4</v>
      </c>
      <c r="N56" s="13" t="n">
        <v>4600</v>
      </c>
      <c r="O56" s="13">
        <f>M56*N56</f>
        <v/>
      </c>
      <c r="P56" s="13" t="n">
        <v>7346.68</v>
      </c>
      <c r="Q56" s="13">
        <f>P56*15%</f>
        <v/>
      </c>
      <c r="R56" s="13">
        <f>O56-P56</f>
        <v/>
      </c>
      <c r="S56" s="26" t="inlineStr">
        <is>
          <t>Care Gap Health</t>
        </is>
      </c>
      <c r="T56" s="26" t="inlineStr">
        <is>
          <t>Care Gap Value PPO</t>
        </is>
      </c>
      <c r="U56" s="26" t="n"/>
      <c r="V56" s="26" t="inlineStr">
        <is>
          <t>Eleanor Brooks, MD</t>
        </is>
      </c>
      <c r="W56" s="26" t="inlineStr">
        <is>
          <t>Assigned Department Provider</t>
        </is>
      </c>
      <c r="X56" s="26" t="inlineStr">
        <is>
          <t>ADT</t>
        </is>
      </c>
      <c r="Y56" s="26" t="inlineStr">
        <is>
          <t>Midnight census</t>
        </is>
      </c>
      <c r="Z56" s="26" t="inlineStr">
        <is>
          <t>Posted</t>
        </is>
      </c>
      <c r="AA56" s="26" t="inlineStr">
        <is>
          <t>Matched</t>
        </is>
      </c>
      <c r="AB56" s="26" t="inlineStr">
        <is>
          <t>Passed</t>
        </is>
      </c>
      <c r="AC56" s="26" t="n"/>
      <c r="AD56" s="26" t="inlineStr">
        <is>
          <t>N/A</t>
        </is>
      </c>
      <c r="AE56" s="26" t="inlineStr">
        <is>
          <t>M17.11</t>
        </is>
      </c>
      <c r="AF56" s="26" t="inlineStr">
        <is>
          <t>21</t>
        </is>
      </c>
      <c r="AG56" s="26" t="inlineStr">
        <is>
          <t>2026-09-02 16:30</t>
        </is>
      </c>
      <c r="AH56" s="26" t="inlineStr">
        <is>
          <t>Synthetic Care Gap charge; 10% below Athena allowed amount</t>
        </is>
      </c>
    </row>
    <row r="57">
      <c r="A57" s="26" t="inlineStr">
        <is>
          <t>IPD-CHG-0027-ATH</t>
        </is>
      </c>
      <c r="B57" s="26" t="inlineStr">
        <is>
          <t>HAR-202600027-ATH</t>
        </is>
      </c>
      <c r="C57" s="26" t="inlineStr">
        <is>
          <t>CSN-IPD-780027-ATH</t>
        </is>
      </c>
      <c r="D57" s="26" t="inlineStr">
        <is>
          <t>Inpatient</t>
        </is>
      </c>
      <c r="E57" s="26" t="inlineStr">
        <is>
          <t>Demo Regional Medical Center</t>
        </is>
      </c>
      <c r="F57" s="26" t="inlineStr">
        <is>
          <t>Intensive Care</t>
        </is>
      </c>
      <c r="G57" s="26" t="inlineStr">
        <is>
          <t>2026-09-03</t>
        </is>
      </c>
      <c r="H57" s="26" t="inlineStr">
        <is>
          <t>ICU-DAY</t>
        </is>
      </c>
      <c r="I57" s="26" t="inlineStr">
        <is>
          <t>Intensive Care Unit Room</t>
        </is>
      </c>
      <c r="J57" s="26" t="inlineStr">
        <is>
          <t>0200</t>
        </is>
      </c>
      <c r="K57" s="26" t="n"/>
      <c r="L57" s="26" t="n"/>
      <c r="M57" s="26" t="n">
        <v>3</v>
      </c>
      <c r="N57" s="13" t="n">
        <v>8200</v>
      </c>
      <c r="O57" s="13">
        <f>M57*N57</f>
        <v/>
      </c>
      <c r="P57" s="13" t="n">
        <v>16453.01</v>
      </c>
      <c r="Q57" s="13">
        <f>P57*20%</f>
        <v/>
      </c>
      <c r="R57" s="13">
        <f>O57-P57</f>
        <v/>
      </c>
      <c r="S57" s="26" t="inlineStr">
        <is>
          <t>Athena Health Insurance</t>
        </is>
      </c>
      <c r="T57" s="26" t="inlineStr">
        <is>
          <t>Athena PPO</t>
        </is>
      </c>
      <c r="U57" s="26" t="n"/>
      <c r="V57" s="26" t="inlineStr">
        <is>
          <t>Eleanor Brooks, MD</t>
        </is>
      </c>
      <c r="W57" s="26" t="inlineStr">
        <is>
          <t>Assigned Department Provider</t>
        </is>
      </c>
      <c r="X57" s="26" t="inlineStr">
        <is>
          <t>ADT</t>
        </is>
      </c>
      <c r="Y57" s="26" t="inlineStr">
        <is>
          <t>Midnight census</t>
        </is>
      </c>
      <c r="Z57" s="26" t="inlineStr">
        <is>
          <t>Posted</t>
        </is>
      </c>
      <c r="AA57" s="26" t="inlineStr">
        <is>
          <t>Matched</t>
        </is>
      </c>
      <c r="AB57" s="26" t="inlineStr">
        <is>
          <t>Passed</t>
        </is>
      </c>
      <c r="AC57" s="26" t="n"/>
      <c r="AD57" s="26" t="inlineStr">
        <is>
          <t>N/A</t>
        </is>
      </c>
      <c r="AE57" s="26" t="inlineStr">
        <is>
          <t>J96.01</t>
        </is>
      </c>
      <c r="AF57" s="26" t="inlineStr">
        <is>
          <t>21</t>
        </is>
      </c>
      <c r="AG57" s="26" t="inlineStr">
        <is>
          <t>2026-09-03 16:30</t>
        </is>
      </c>
      <c r="AH57" s="26" t="inlineStr">
        <is>
          <t>Synthetic Athena negotiated charge</t>
        </is>
      </c>
    </row>
    <row r="58">
      <c r="A58" s="26" t="inlineStr">
        <is>
          <t>IPD-CHG-0027-CGH</t>
        </is>
      </c>
      <c r="B58" s="26" t="inlineStr">
        <is>
          <t>HAR-202600027-CGH</t>
        </is>
      </c>
      <c r="C58" s="26" t="inlineStr">
        <is>
          <t>CSN-IPD-780027-CGH</t>
        </is>
      </c>
      <c r="D58" s="26" t="inlineStr">
        <is>
          <t>Inpatient</t>
        </is>
      </c>
      <c r="E58" s="26" t="inlineStr">
        <is>
          <t>Demo Regional Medical Center</t>
        </is>
      </c>
      <c r="F58" s="26" t="inlineStr">
        <is>
          <t>Intensive Care</t>
        </is>
      </c>
      <c r="G58" s="26" t="inlineStr">
        <is>
          <t>2026-09-03</t>
        </is>
      </c>
      <c r="H58" s="26" t="inlineStr">
        <is>
          <t>ICU-DAY</t>
        </is>
      </c>
      <c r="I58" s="26" t="inlineStr">
        <is>
          <t>Intensive Care Unit Room</t>
        </is>
      </c>
      <c r="J58" s="26" t="inlineStr">
        <is>
          <t>0200</t>
        </is>
      </c>
      <c r="K58" s="26" t="n"/>
      <c r="L58" s="26" t="n"/>
      <c r="M58" s="26" t="n">
        <v>3</v>
      </c>
      <c r="N58" s="13" t="n">
        <v>8200</v>
      </c>
      <c r="O58" s="13">
        <f>M58*N58</f>
        <v/>
      </c>
      <c r="P58" s="13" t="n">
        <v>14807.71</v>
      </c>
      <c r="Q58" s="13">
        <f>P58*15%</f>
        <v/>
      </c>
      <c r="R58" s="13">
        <f>O58-P58</f>
        <v/>
      </c>
      <c r="S58" s="26" t="inlineStr">
        <is>
          <t>Care Gap Health</t>
        </is>
      </c>
      <c r="T58" s="26" t="inlineStr">
        <is>
          <t>Care Gap Value PPO</t>
        </is>
      </c>
      <c r="U58" s="26" t="n"/>
      <c r="V58" s="26" t="inlineStr">
        <is>
          <t>Eleanor Brooks, MD</t>
        </is>
      </c>
      <c r="W58" s="26" t="inlineStr">
        <is>
          <t>Assigned Department Provider</t>
        </is>
      </c>
      <c r="X58" s="26" t="inlineStr">
        <is>
          <t>ADT</t>
        </is>
      </c>
      <c r="Y58" s="26" t="inlineStr">
        <is>
          <t>Midnight census</t>
        </is>
      </c>
      <c r="Z58" s="26" t="inlineStr">
        <is>
          <t>Posted</t>
        </is>
      </c>
      <c r="AA58" s="26" t="inlineStr">
        <is>
          <t>Matched</t>
        </is>
      </c>
      <c r="AB58" s="26" t="inlineStr">
        <is>
          <t>Passed</t>
        </is>
      </c>
      <c r="AC58" s="26" t="n"/>
      <c r="AD58" s="26" t="inlineStr">
        <is>
          <t>N/A</t>
        </is>
      </c>
      <c r="AE58" s="26" t="inlineStr">
        <is>
          <t>J96.01</t>
        </is>
      </c>
      <c r="AF58" s="26" t="inlineStr">
        <is>
          <t>21</t>
        </is>
      </c>
      <c r="AG58" s="26" t="inlineStr">
        <is>
          <t>2026-09-03 16:30</t>
        </is>
      </c>
      <c r="AH58" s="26" t="inlineStr">
        <is>
          <t>Synthetic Care Gap charge; 10% below Athena allowed amount</t>
        </is>
      </c>
    </row>
    <row r="59">
      <c r="A59" s="26" t="inlineStr">
        <is>
          <t>IPD-CHG-0028-ATH</t>
        </is>
      </c>
      <c r="B59" s="26" t="inlineStr">
        <is>
          <t>HAR-202600028-ATH</t>
        </is>
      </c>
      <c r="C59" s="26" t="inlineStr">
        <is>
          <t>CSN-IPD-780028-ATH</t>
        </is>
      </c>
      <c r="D59" s="26" t="inlineStr">
        <is>
          <t>Inpatient</t>
        </is>
      </c>
      <c r="E59" s="26" t="inlineStr">
        <is>
          <t>Demo Regional Medical Center</t>
        </is>
      </c>
      <c r="F59" s="26" t="inlineStr">
        <is>
          <t>Operating Room</t>
        </is>
      </c>
      <c r="G59" s="26" t="inlineStr">
        <is>
          <t>2026-09-04</t>
        </is>
      </c>
      <c r="H59" s="26" t="inlineStr">
        <is>
          <t>OR-MAJOR-1H</t>
        </is>
      </c>
      <c r="I59" s="26" t="inlineStr">
        <is>
          <t>Major Operating Room, First Hour</t>
        </is>
      </c>
      <c r="J59" s="26" t="inlineStr">
        <is>
          <t>0360</t>
        </is>
      </c>
      <c r="K59" s="26" t="n"/>
      <c r="L59" s="26" t="n"/>
      <c r="M59" s="26" t="n">
        <v>3</v>
      </c>
      <c r="N59" s="13" t="n">
        <v>10250</v>
      </c>
      <c r="O59" s="13">
        <f>M59*N59</f>
        <v/>
      </c>
      <c r="P59" s="13" t="n">
        <v>18241.07</v>
      </c>
      <c r="Q59" s="13">
        <f>P59*20%</f>
        <v/>
      </c>
      <c r="R59" s="13">
        <f>O59-P59</f>
        <v/>
      </c>
      <c r="S59" s="26" t="inlineStr">
        <is>
          <t>Athena Health Insurance</t>
        </is>
      </c>
      <c r="T59" s="26" t="inlineStr">
        <is>
          <t>Athena PPO</t>
        </is>
      </c>
      <c r="U59" s="26" t="n"/>
      <c r="V59" s="26" t="inlineStr">
        <is>
          <t>Eleanor Brooks, MD</t>
        </is>
      </c>
      <c r="W59" s="26" t="inlineStr">
        <is>
          <t>Assigned Department Provider</t>
        </is>
      </c>
      <c r="X59" s="26" t="inlineStr">
        <is>
          <t>Perioperative</t>
        </is>
      </c>
      <c r="Y59" s="26" t="inlineStr">
        <is>
          <t>Procedure end</t>
        </is>
      </c>
      <c r="Z59" s="26" t="inlineStr">
        <is>
          <t>Posted</t>
        </is>
      </c>
      <c r="AA59" s="26" t="inlineStr">
        <is>
          <t>Matched</t>
        </is>
      </c>
      <c r="AB59" s="26" t="inlineStr">
        <is>
          <t>Passed</t>
        </is>
      </c>
      <c r="AC59" s="26" t="n"/>
      <c r="AD59" s="26" t="inlineStr">
        <is>
          <t>Procedure-specific</t>
        </is>
      </c>
      <c r="AE59" s="26" t="inlineStr">
        <is>
          <t>M17.11</t>
        </is>
      </c>
      <c r="AF59" s="26" t="inlineStr">
        <is>
          <t>21</t>
        </is>
      </c>
      <c r="AG59" s="26" t="inlineStr">
        <is>
          <t>2026-09-04 16:30</t>
        </is>
      </c>
      <c r="AH59" s="26" t="inlineStr">
        <is>
          <t>Synthetic Athena negotiated charge</t>
        </is>
      </c>
    </row>
    <row r="60">
      <c r="A60" s="26" t="inlineStr">
        <is>
          <t>IPD-CHG-0028-CGH</t>
        </is>
      </c>
      <c r="B60" s="26" t="inlineStr">
        <is>
          <t>HAR-202600028-CGH</t>
        </is>
      </c>
      <c r="C60" s="26" t="inlineStr">
        <is>
          <t>CSN-IPD-780028-CGH</t>
        </is>
      </c>
      <c r="D60" s="26" t="inlineStr">
        <is>
          <t>Inpatient</t>
        </is>
      </c>
      <c r="E60" s="26" t="inlineStr">
        <is>
          <t>Demo Regional Medical Center</t>
        </is>
      </c>
      <c r="F60" s="26" t="inlineStr">
        <is>
          <t>Operating Room</t>
        </is>
      </c>
      <c r="G60" s="26" t="inlineStr">
        <is>
          <t>2026-09-04</t>
        </is>
      </c>
      <c r="H60" s="26" t="inlineStr">
        <is>
          <t>OR-MAJOR-1H</t>
        </is>
      </c>
      <c r="I60" s="26" t="inlineStr">
        <is>
          <t>Major Operating Room, First Hour</t>
        </is>
      </c>
      <c r="J60" s="26" t="inlineStr">
        <is>
          <t>0360</t>
        </is>
      </c>
      <c r="K60" s="26" t="n"/>
      <c r="L60" s="26" t="n"/>
      <c r="M60" s="26" t="n">
        <v>3</v>
      </c>
      <c r="N60" s="13" t="n">
        <v>10250</v>
      </c>
      <c r="O60" s="13">
        <f>M60*N60</f>
        <v/>
      </c>
      <c r="P60" s="13" t="n">
        <v>16416.96</v>
      </c>
      <c r="Q60" s="13">
        <f>P60*15%</f>
        <v/>
      </c>
      <c r="R60" s="13">
        <f>O60-P60</f>
        <v/>
      </c>
      <c r="S60" s="26" t="inlineStr">
        <is>
          <t>Care Gap Health</t>
        </is>
      </c>
      <c r="T60" s="26" t="inlineStr">
        <is>
          <t>Care Gap Value PPO</t>
        </is>
      </c>
      <c r="U60" s="26" t="n"/>
      <c r="V60" s="26" t="inlineStr">
        <is>
          <t>Eleanor Brooks, MD</t>
        </is>
      </c>
      <c r="W60" s="26" t="inlineStr">
        <is>
          <t>Assigned Department Provider</t>
        </is>
      </c>
      <c r="X60" s="26" t="inlineStr">
        <is>
          <t>Perioperative</t>
        </is>
      </c>
      <c r="Y60" s="26" t="inlineStr">
        <is>
          <t>Procedure end</t>
        </is>
      </c>
      <c r="Z60" s="26" t="inlineStr">
        <is>
          <t>Posted</t>
        </is>
      </c>
      <c r="AA60" s="26" t="inlineStr">
        <is>
          <t>Matched</t>
        </is>
      </c>
      <c r="AB60" s="26" t="inlineStr">
        <is>
          <t>Passed</t>
        </is>
      </c>
      <c r="AC60" s="26" t="n"/>
      <c r="AD60" s="26" t="inlineStr">
        <is>
          <t>Procedure-specific</t>
        </is>
      </c>
      <c r="AE60" s="26" t="inlineStr">
        <is>
          <t>M17.11</t>
        </is>
      </c>
      <c r="AF60" s="26" t="inlineStr">
        <is>
          <t>21</t>
        </is>
      </c>
      <c r="AG60" s="26" t="inlineStr">
        <is>
          <t>2026-09-04 16:30</t>
        </is>
      </c>
      <c r="AH60" s="26" t="inlineStr">
        <is>
          <t>Synthetic Care Gap charge; 10% below Athena allowed amount</t>
        </is>
      </c>
    </row>
    <row r="61">
      <c r="A61" s="26" t="inlineStr">
        <is>
          <t>IPD-CHG-0029-ATH</t>
        </is>
      </c>
      <c r="B61" s="26" t="inlineStr">
        <is>
          <t>HAR-202600029-ATH</t>
        </is>
      </c>
      <c r="C61" s="26" t="inlineStr">
        <is>
          <t>CSN-IPD-780029-ATH</t>
        </is>
      </c>
      <c r="D61" s="26" t="inlineStr">
        <is>
          <t>Inpatient</t>
        </is>
      </c>
      <c r="E61" s="26" t="inlineStr">
        <is>
          <t>Demo Regional Medical Center</t>
        </is>
      </c>
      <c r="F61" s="26" t="inlineStr">
        <is>
          <t>Operating Room</t>
        </is>
      </c>
      <c r="G61" s="26" t="inlineStr">
        <is>
          <t>2026-09-05</t>
        </is>
      </c>
      <c r="H61" s="26" t="inlineStr">
        <is>
          <t>OR-ADD-15</t>
        </is>
      </c>
      <c r="I61" s="26" t="inlineStr">
        <is>
          <t>Operating Room, Additional 15 Minutes</t>
        </is>
      </c>
      <c r="J61" s="26" t="inlineStr">
        <is>
          <t>0360</t>
        </is>
      </c>
      <c r="K61" s="26" t="n"/>
      <c r="L61" s="26" t="n"/>
      <c r="M61" s="26" t="n">
        <v>2</v>
      </c>
      <c r="N61" s="13" t="n">
        <v>1280</v>
      </c>
      <c r="O61" s="13">
        <f>M61*N61</f>
        <v/>
      </c>
      <c r="P61" s="13" t="n">
        <v>1110.39</v>
      </c>
      <c r="Q61" s="13">
        <f>P61*20%</f>
        <v/>
      </c>
      <c r="R61" s="13">
        <f>O61-P61</f>
        <v/>
      </c>
      <c r="S61" s="26" t="inlineStr">
        <is>
          <t>Athena Health Insurance</t>
        </is>
      </c>
      <c r="T61" s="26" t="inlineStr">
        <is>
          <t>Athena PPO</t>
        </is>
      </c>
      <c r="U61" s="26" t="n"/>
      <c r="V61" s="26" t="inlineStr">
        <is>
          <t>Eleanor Brooks, MD</t>
        </is>
      </c>
      <c r="W61" s="26" t="inlineStr">
        <is>
          <t>Assigned Department Provider</t>
        </is>
      </c>
      <c r="X61" s="26" t="inlineStr">
        <is>
          <t>Perioperative</t>
        </is>
      </c>
      <c r="Y61" s="26" t="inlineStr">
        <is>
          <t>Procedure end</t>
        </is>
      </c>
      <c r="Z61" s="26" t="inlineStr">
        <is>
          <t>Hold</t>
        </is>
      </c>
      <c r="AA61" s="26" t="inlineStr">
        <is>
          <t>Exception</t>
        </is>
      </c>
      <c r="AB61" s="26" t="inlineStr">
        <is>
          <t>Review</t>
        </is>
      </c>
      <c r="AC61" s="26" t="inlineStr">
        <is>
          <t>WQ-OPE-02</t>
        </is>
      </c>
      <c r="AD61" s="26" t="inlineStr">
        <is>
          <t>Procedure-specific</t>
        </is>
      </c>
      <c r="AE61" s="26" t="inlineStr">
        <is>
          <t>M17.11</t>
        </is>
      </c>
      <c r="AF61" s="26" t="inlineStr">
        <is>
          <t>21</t>
        </is>
      </c>
      <c r="AG61" s="26" t="inlineStr">
        <is>
          <t>2026-09-05 16:30</t>
        </is>
      </c>
      <c r="AH61" s="26" t="inlineStr">
        <is>
          <t>Synthetic Athena negotiated charge</t>
        </is>
      </c>
    </row>
    <row r="62">
      <c r="A62" s="26" t="inlineStr">
        <is>
          <t>IPD-CHG-0029-CGH</t>
        </is>
      </c>
      <c r="B62" s="26" t="inlineStr">
        <is>
          <t>HAR-202600029-CGH</t>
        </is>
      </c>
      <c r="C62" s="26" t="inlineStr">
        <is>
          <t>CSN-IPD-780029-CGH</t>
        </is>
      </c>
      <c r="D62" s="26" t="inlineStr">
        <is>
          <t>Inpatient</t>
        </is>
      </c>
      <c r="E62" s="26" t="inlineStr">
        <is>
          <t>Demo Regional Medical Center</t>
        </is>
      </c>
      <c r="F62" s="26" t="inlineStr">
        <is>
          <t>Operating Room</t>
        </is>
      </c>
      <c r="G62" s="26" t="inlineStr">
        <is>
          <t>2026-09-05</t>
        </is>
      </c>
      <c r="H62" s="26" t="inlineStr">
        <is>
          <t>OR-ADD-15</t>
        </is>
      </c>
      <c r="I62" s="26" t="inlineStr">
        <is>
          <t>Operating Room, Additional 15 Minutes</t>
        </is>
      </c>
      <c r="J62" s="26" t="inlineStr">
        <is>
          <t>0360</t>
        </is>
      </c>
      <c r="K62" s="26" t="n"/>
      <c r="L62" s="26" t="n"/>
      <c r="M62" s="26" t="n">
        <v>2</v>
      </c>
      <c r="N62" s="13" t="n">
        <v>1280</v>
      </c>
      <c r="O62" s="13">
        <f>M62*N62</f>
        <v/>
      </c>
      <c r="P62" s="13" t="n">
        <v>999.35</v>
      </c>
      <c r="Q62" s="13">
        <f>P62*15%</f>
        <v/>
      </c>
      <c r="R62" s="13">
        <f>O62-P62</f>
        <v/>
      </c>
      <c r="S62" s="26" t="inlineStr">
        <is>
          <t>Care Gap Health</t>
        </is>
      </c>
      <c r="T62" s="26" t="inlineStr">
        <is>
          <t>Care Gap Value PPO</t>
        </is>
      </c>
      <c r="U62" s="26" t="n"/>
      <c r="V62" s="26" t="inlineStr">
        <is>
          <t>Eleanor Brooks, MD</t>
        </is>
      </c>
      <c r="W62" s="26" t="inlineStr">
        <is>
          <t>Assigned Department Provider</t>
        </is>
      </c>
      <c r="X62" s="26" t="inlineStr">
        <is>
          <t>Perioperative</t>
        </is>
      </c>
      <c r="Y62" s="26" t="inlineStr">
        <is>
          <t>Procedure end</t>
        </is>
      </c>
      <c r="Z62" s="26" t="inlineStr">
        <is>
          <t>Hold</t>
        </is>
      </c>
      <c r="AA62" s="26" t="inlineStr">
        <is>
          <t>Exception</t>
        </is>
      </c>
      <c r="AB62" s="26" t="inlineStr">
        <is>
          <t>Review</t>
        </is>
      </c>
      <c r="AC62" s="26" t="inlineStr">
        <is>
          <t>WQ-OPE-02</t>
        </is>
      </c>
      <c r="AD62" s="26" t="inlineStr">
        <is>
          <t>Procedure-specific</t>
        </is>
      </c>
      <c r="AE62" s="26" t="inlineStr">
        <is>
          <t>M17.11</t>
        </is>
      </c>
      <c r="AF62" s="26" t="inlineStr">
        <is>
          <t>21</t>
        </is>
      </c>
      <c r="AG62" s="26" t="inlineStr">
        <is>
          <t>2026-09-05 16:30</t>
        </is>
      </c>
      <c r="AH62" s="26" t="inlineStr">
        <is>
          <t>Synthetic Care Gap charge; 10% below Athena allowed amount</t>
        </is>
      </c>
    </row>
    <row r="63">
      <c r="A63" s="26" t="inlineStr">
        <is>
          <t>IPD-CHG-0030-ATH</t>
        </is>
      </c>
      <c r="B63" s="26" t="inlineStr">
        <is>
          <t>HAR-202600030-ATH</t>
        </is>
      </c>
      <c r="C63" s="26" t="inlineStr">
        <is>
          <t>CSN-IPD-780030-ATH</t>
        </is>
      </c>
      <c r="D63" s="26" t="inlineStr">
        <is>
          <t>Inpatient</t>
        </is>
      </c>
      <c r="E63" s="26" t="inlineStr">
        <is>
          <t>Demo Regional Medical Center</t>
        </is>
      </c>
      <c r="F63" s="26" t="inlineStr">
        <is>
          <t>Recovery Room</t>
        </is>
      </c>
      <c r="G63" s="26" t="inlineStr">
        <is>
          <t>2026-09-06</t>
        </is>
      </c>
      <c r="H63" s="26" t="inlineStr">
        <is>
          <t>PACU-1H</t>
        </is>
      </c>
      <c r="I63" s="26" t="inlineStr">
        <is>
          <t>Post-Anesthesia Care, First Hour</t>
        </is>
      </c>
      <c r="J63" s="26" t="inlineStr">
        <is>
          <t>0710</t>
        </is>
      </c>
      <c r="K63" s="26" t="n"/>
      <c r="L63" s="26" t="n"/>
      <c r="M63" s="26" t="n">
        <v>1</v>
      </c>
      <c r="N63" s="13" t="n">
        <v>2100</v>
      </c>
      <c r="O63" s="13">
        <f>M63*N63</f>
        <v/>
      </c>
      <c r="P63" s="13" t="n">
        <v>1025.58</v>
      </c>
      <c r="Q63" s="13">
        <f>P63*20%</f>
        <v/>
      </c>
      <c r="R63" s="13">
        <f>O63-P63</f>
        <v/>
      </c>
      <c r="S63" s="26" t="inlineStr">
        <is>
          <t>Athena Health Insurance</t>
        </is>
      </c>
      <c r="T63" s="26" t="inlineStr">
        <is>
          <t>Athena PPO</t>
        </is>
      </c>
      <c r="U63" s="26" t="n"/>
      <c r="V63" s="26" t="inlineStr">
        <is>
          <t>Eleanor Brooks, MD</t>
        </is>
      </c>
      <c r="W63" s="26" t="inlineStr">
        <is>
          <t>Assigned Department Provider</t>
        </is>
      </c>
      <c r="X63" s="26" t="inlineStr">
        <is>
          <t>Perioperative</t>
        </is>
      </c>
      <c r="Y63" s="26" t="inlineStr">
        <is>
          <t>PACU discharge</t>
        </is>
      </c>
      <c r="Z63" s="26" t="inlineStr">
        <is>
          <t>Posted</t>
        </is>
      </c>
      <c r="AA63" s="26" t="inlineStr">
        <is>
          <t>Matched</t>
        </is>
      </c>
      <c r="AB63" s="26" t="inlineStr">
        <is>
          <t>Passed</t>
        </is>
      </c>
      <c r="AC63" s="26" t="n"/>
      <c r="AD63" s="26" t="inlineStr">
        <is>
          <t>N/A</t>
        </is>
      </c>
      <c r="AE63" s="26" t="inlineStr">
        <is>
          <t>Z47.1</t>
        </is>
      </c>
      <c r="AF63" s="26" t="inlineStr">
        <is>
          <t>21</t>
        </is>
      </c>
      <c r="AG63" s="26" t="inlineStr">
        <is>
          <t>2026-09-06 16:30</t>
        </is>
      </c>
      <c r="AH63" s="26" t="inlineStr">
        <is>
          <t>Synthetic Athena negotiated charge</t>
        </is>
      </c>
    </row>
    <row r="64">
      <c r="A64" s="26" t="inlineStr">
        <is>
          <t>IPD-CHG-0030-CGH</t>
        </is>
      </c>
      <c r="B64" s="26" t="inlineStr">
        <is>
          <t>HAR-202600030-CGH</t>
        </is>
      </c>
      <c r="C64" s="26" t="inlineStr">
        <is>
          <t>CSN-IPD-780030-CGH</t>
        </is>
      </c>
      <c r="D64" s="26" t="inlineStr">
        <is>
          <t>Inpatient</t>
        </is>
      </c>
      <c r="E64" s="26" t="inlineStr">
        <is>
          <t>Demo Regional Medical Center</t>
        </is>
      </c>
      <c r="F64" s="26" t="inlineStr">
        <is>
          <t>Recovery Room</t>
        </is>
      </c>
      <c r="G64" s="26" t="inlineStr">
        <is>
          <t>2026-09-06</t>
        </is>
      </c>
      <c r="H64" s="26" t="inlineStr">
        <is>
          <t>PACU-1H</t>
        </is>
      </c>
      <c r="I64" s="26" t="inlineStr">
        <is>
          <t>Post-Anesthesia Care, First Hour</t>
        </is>
      </c>
      <c r="J64" s="26" t="inlineStr">
        <is>
          <t>0710</t>
        </is>
      </c>
      <c r="K64" s="26" t="n"/>
      <c r="L64" s="26" t="n"/>
      <c r="M64" s="26" t="n">
        <v>1</v>
      </c>
      <c r="N64" s="13" t="n">
        <v>2100</v>
      </c>
      <c r="O64" s="13">
        <f>M64*N64</f>
        <v/>
      </c>
      <c r="P64" s="13" t="n">
        <v>923.02</v>
      </c>
      <c r="Q64" s="13">
        <f>P64*15%</f>
        <v/>
      </c>
      <c r="R64" s="13">
        <f>O64-P64</f>
        <v/>
      </c>
      <c r="S64" s="26" t="inlineStr">
        <is>
          <t>Care Gap Health</t>
        </is>
      </c>
      <c r="T64" s="26" t="inlineStr">
        <is>
          <t>Care Gap Value PPO</t>
        </is>
      </c>
      <c r="U64" s="26" t="n"/>
      <c r="V64" s="26" t="inlineStr">
        <is>
          <t>Eleanor Brooks, MD</t>
        </is>
      </c>
      <c r="W64" s="26" t="inlineStr">
        <is>
          <t>Assigned Department Provider</t>
        </is>
      </c>
      <c r="X64" s="26" t="inlineStr">
        <is>
          <t>Perioperative</t>
        </is>
      </c>
      <c r="Y64" s="26" t="inlineStr">
        <is>
          <t>PACU discharge</t>
        </is>
      </c>
      <c r="Z64" s="26" t="inlineStr">
        <is>
          <t>Posted</t>
        </is>
      </c>
      <c r="AA64" s="26" t="inlineStr">
        <is>
          <t>Matched</t>
        </is>
      </c>
      <c r="AB64" s="26" t="inlineStr">
        <is>
          <t>Passed</t>
        </is>
      </c>
      <c r="AC64" s="26" t="n"/>
      <c r="AD64" s="26" t="inlineStr">
        <is>
          <t>N/A</t>
        </is>
      </c>
      <c r="AE64" s="26" t="inlineStr">
        <is>
          <t>Z47.1</t>
        </is>
      </c>
      <c r="AF64" s="26" t="inlineStr">
        <is>
          <t>21</t>
        </is>
      </c>
      <c r="AG64" s="26" t="inlineStr">
        <is>
          <t>2026-09-06 16:30</t>
        </is>
      </c>
      <c r="AH64" s="26" t="inlineStr">
        <is>
          <t>Synthetic Care Gap charge; 10% below Athena allowed amount</t>
        </is>
      </c>
    </row>
    <row r="65">
      <c r="A65" s="26" t="inlineStr">
        <is>
          <t>IPD-CHG-0031-ATH</t>
        </is>
      </c>
      <c r="B65" s="26" t="inlineStr">
        <is>
          <t>HAR-202600031-ATH</t>
        </is>
      </c>
      <c r="C65" s="26" t="inlineStr">
        <is>
          <t>CSN-IPD-780031-ATH</t>
        </is>
      </c>
      <c r="D65" s="26" t="inlineStr">
        <is>
          <t>Inpatient</t>
        </is>
      </c>
      <c r="E65" s="26" t="inlineStr">
        <is>
          <t>Demo Regional Medical Center</t>
        </is>
      </c>
      <c r="F65" s="26" t="inlineStr">
        <is>
          <t>Surgical Supplies</t>
        </is>
      </c>
      <c r="G65" s="26" t="inlineStr">
        <is>
          <t>2026-09-07</t>
        </is>
      </c>
      <c r="H65" s="26" t="inlineStr">
        <is>
          <t>SUP-MAJOR-PACK</t>
        </is>
      </c>
      <c r="I65" s="26" t="inlineStr">
        <is>
          <t>Major Surgery Disposable Supply Pack</t>
        </is>
      </c>
      <c r="J65" s="26" t="inlineStr">
        <is>
          <t>0270</t>
        </is>
      </c>
      <c r="K65" s="26" t="n"/>
      <c r="L65" s="26" t="n"/>
      <c r="M65" s="26" t="n">
        <v>1</v>
      </c>
      <c r="N65" s="13" t="n">
        <v>4200</v>
      </c>
      <c r="O65" s="13">
        <f>M65*N65</f>
        <v/>
      </c>
      <c r="P65" s="13" t="n">
        <v>2128.63</v>
      </c>
      <c r="Q65" s="13">
        <f>P65*20%</f>
        <v/>
      </c>
      <c r="R65" s="13">
        <f>O65-P65</f>
        <v/>
      </c>
      <c r="S65" s="26" t="inlineStr">
        <is>
          <t>Athena Health Insurance</t>
        </is>
      </c>
      <c r="T65" s="26" t="inlineStr">
        <is>
          <t>Athena PPO</t>
        </is>
      </c>
      <c r="U65" s="26" t="n"/>
      <c r="V65" s="26" t="inlineStr">
        <is>
          <t>Eleanor Brooks, MD</t>
        </is>
      </c>
      <c r="W65" s="26" t="inlineStr">
        <is>
          <t>Assigned Department Provider</t>
        </is>
      </c>
      <c r="X65" s="26" t="inlineStr">
        <is>
          <t>Inventory</t>
        </is>
      </c>
      <c r="Y65" s="26" t="inlineStr">
        <is>
          <t>Supply issue</t>
        </is>
      </c>
      <c r="Z65" s="26" t="inlineStr">
        <is>
          <t>Posted</t>
        </is>
      </c>
      <c r="AA65" s="26" t="inlineStr">
        <is>
          <t>Matched</t>
        </is>
      </c>
      <c r="AB65" s="26" t="inlineStr">
        <is>
          <t>Passed</t>
        </is>
      </c>
      <c r="AC65" s="26" t="n"/>
      <c r="AD65" s="26" t="inlineStr">
        <is>
          <t>Contract rule</t>
        </is>
      </c>
      <c r="AE65" s="26" t="inlineStr">
        <is>
          <t>Z47.1</t>
        </is>
      </c>
      <c r="AF65" s="26" t="inlineStr">
        <is>
          <t>21</t>
        </is>
      </c>
      <c r="AG65" s="26" t="inlineStr">
        <is>
          <t>2026-09-07 16:30</t>
        </is>
      </c>
      <c r="AH65" s="26" t="inlineStr">
        <is>
          <t>Synthetic Athena negotiated charge</t>
        </is>
      </c>
    </row>
    <row r="66">
      <c r="A66" s="26" t="inlineStr">
        <is>
          <t>IPD-CHG-0031-CGH</t>
        </is>
      </c>
      <c r="B66" s="26" t="inlineStr">
        <is>
          <t>HAR-202600031-CGH</t>
        </is>
      </c>
      <c r="C66" s="26" t="inlineStr">
        <is>
          <t>CSN-IPD-780031-CGH</t>
        </is>
      </c>
      <c r="D66" s="26" t="inlineStr">
        <is>
          <t>Inpatient</t>
        </is>
      </c>
      <c r="E66" s="26" t="inlineStr">
        <is>
          <t>Demo Regional Medical Center</t>
        </is>
      </c>
      <c r="F66" s="26" t="inlineStr">
        <is>
          <t>Surgical Supplies</t>
        </is>
      </c>
      <c r="G66" s="26" t="inlineStr">
        <is>
          <t>2026-09-07</t>
        </is>
      </c>
      <c r="H66" s="26" t="inlineStr">
        <is>
          <t>SUP-MAJOR-PACK</t>
        </is>
      </c>
      <c r="I66" s="26" t="inlineStr">
        <is>
          <t>Major Surgery Disposable Supply Pack</t>
        </is>
      </c>
      <c r="J66" s="26" t="inlineStr">
        <is>
          <t>0270</t>
        </is>
      </c>
      <c r="K66" s="26" t="n"/>
      <c r="L66" s="26" t="n"/>
      <c r="M66" s="26" t="n">
        <v>1</v>
      </c>
      <c r="N66" s="13" t="n">
        <v>4200</v>
      </c>
      <c r="O66" s="13">
        <f>M66*N66</f>
        <v/>
      </c>
      <c r="P66" s="13" t="n">
        <v>1915.77</v>
      </c>
      <c r="Q66" s="13">
        <f>P66*15%</f>
        <v/>
      </c>
      <c r="R66" s="13">
        <f>O66-P66</f>
        <v/>
      </c>
      <c r="S66" s="26" t="inlineStr">
        <is>
          <t>Care Gap Health</t>
        </is>
      </c>
      <c r="T66" s="26" t="inlineStr">
        <is>
          <t>Care Gap Value PPO</t>
        </is>
      </c>
      <c r="U66" s="26" t="n"/>
      <c r="V66" s="26" t="inlineStr">
        <is>
          <t>Eleanor Brooks, MD</t>
        </is>
      </c>
      <c r="W66" s="26" t="inlineStr">
        <is>
          <t>Assigned Department Provider</t>
        </is>
      </c>
      <c r="X66" s="26" t="inlineStr">
        <is>
          <t>Inventory</t>
        </is>
      </c>
      <c r="Y66" s="26" t="inlineStr">
        <is>
          <t>Supply issue</t>
        </is>
      </c>
      <c r="Z66" s="26" t="inlineStr">
        <is>
          <t>Posted</t>
        </is>
      </c>
      <c r="AA66" s="26" t="inlineStr">
        <is>
          <t>Matched</t>
        </is>
      </c>
      <c r="AB66" s="26" t="inlineStr">
        <is>
          <t>Passed</t>
        </is>
      </c>
      <c r="AC66" s="26" t="n"/>
      <c r="AD66" s="26" t="inlineStr">
        <is>
          <t>Contract rule</t>
        </is>
      </c>
      <c r="AE66" s="26" t="inlineStr">
        <is>
          <t>Z47.1</t>
        </is>
      </c>
      <c r="AF66" s="26" t="inlineStr">
        <is>
          <t>21</t>
        </is>
      </c>
      <c r="AG66" s="26" t="inlineStr">
        <is>
          <t>2026-09-07 16:30</t>
        </is>
      </c>
      <c r="AH66" s="26" t="inlineStr">
        <is>
          <t>Synthetic Care Gap charge; 10% below Athena allowed amount</t>
        </is>
      </c>
    </row>
    <row r="67">
      <c r="A67" s="26" t="inlineStr">
        <is>
          <t>IPD-CHG-0032-ATH</t>
        </is>
      </c>
      <c r="B67" s="26" t="inlineStr">
        <is>
          <t>HAR-202600032-ATH</t>
        </is>
      </c>
      <c r="C67" s="26" t="inlineStr">
        <is>
          <t>CSN-IPD-780032-ATH</t>
        </is>
      </c>
      <c r="D67" s="26" t="inlineStr">
        <is>
          <t>Inpatient</t>
        </is>
      </c>
      <c r="E67" s="26" t="inlineStr">
        <is>
          <t>Demo Regional Medical Center</t>
        </is>
      </c>
      <c r="F67" s="26" t="inlineStr">
        <is>
          <t>Implants</t>
        </is>
      </c>
      <c r="G67" s="26" t="inlineStr">
        <is>
          <t>2026-09-08</t>
        </is>
      </c>
      <c r="H67" s="26" t="inlineStr">
        <is>
          <t>IMP-KNEE-CEM</t>
        </is>
      </c>
      <c r="I67" s="26" t="inlineStr">
        <is>
          <t>Cemented Knee Implant System</t>
        </is>
      </c>
      <c r="J67" s="26" t="inlineStr">
        <is>
          <t>0278</t>
        </is>
      </c>
      <c r="K67" s="26" t="n"/>
      <c r="L67" s="26" t="n"/>
      <c r="M67" s="26" t="n">
        <v>1</v>
      </c>
      <c r="N67" s="13" t="n">
        <v>20500</v>
      </c>
      <c r="O67" s="13">
        <f>M67*N67</f>
        <v/>
      </c>
      <c r="P67" s="13" t="n">
        <v>9100.719999999999</v>
      </c>
      <c r="Q67" s="13">
        <f>P67*20%</f>
        <v/>
      </c>
      <c r="R67" s="13">
        <f>O67-P67</f>
        <v/>
      </c>
      <c r="S67" s="26" t="inlineStr">
        <is>
          <t>Athena Health Insurance</t>
        </is>
      </c>
      <c r="T67" s="26" t="inlineStr">
        <is>
          <t>Athena PPO</t>
        </is>
      </c>
      <c r="U67" s="26" t="n"/>
      <c r="V67" s="26" t="inlineStr">
        <is>
          <t>Eleanor Brooks, MD</t>
        </is>
      </c>
      <c r="W67" s="26" t="inlineStr">
        <is>
          <t>Assigned Department Provider</t>
        </is>
      </c>
      <c r="X67" s="26" t="inlineStr">
        <is>
          <t>Inventory</t>
        </is>
      </c>
      <c r="Y67" s="26" t="inlineStr">
        <is>
          <t>Implant scan</t>
        </is>
      </c>
      <c r="Z67" s="26" t="inlineStr">
        <is>
          <t>Posted</t>
        </is>
      </c>
      <c r="AA67" s="26" t="inlineStr">
        <is>
          <t>Matched</t>
        </is>
      </c>
      <c r="AB67" s="26" t="inlineStr">
        <is>
          <t>Passed</t>
        </is>
      </c>
      <c r="AC67" s="26" t="n"/>
      <c r="AD67" s="26" t="inlineStr">
        <is>
          <t>Contract rule</t>
        </is>
      </c>
      <c r="AE67" s="26" t="inlineStr">
        <is>
          <t>M17.11</t>
        </is>
      </c>
      <c r="AF67" s="26" t="inlineStr">
        <is>
          <t>21</t>
        </is>
      </c>
      <c r="AG67" s="26" t="inlineStr">
        <is>
          <t>2026-09-08 16:30</t>
        </is>
      </c>
      <c r="AH67" s="26" t="inlineStr">
        <is>
          <t>Synthetic Athena negotiated charge</t>
        </is>
      </c>
    </row>
    <row r="68">
      <c r="A68" s="26" t="inlineStr">
        <is>
          <t>IPD-CHG-0032-CGH</t>
        </is>
      </c>
      <c r="B68" s="26" t="inlineStr">
        <is>
          <t>HAR-202600032-CGH</t>
        </is>
      </c>
      <c r="C68" s="26" t="inlineStr">
        <is>
          <t>CSN-IPD-780032-CGH</t>
        </is>
      </c>
      <c r="D68" s="26" t="inlineStr">
        <is>
          <t>Inpatient</t>
        </is>
      </c>
      <c r="E68" s="26" t="inlineStr">
        <is>
          <t>Demo Regional Medical Center</t>
        </is>
      </c>
      <c r="F68" s="26" t="inlineStr">
        <is>
          <t>Implants</t>
        </is>
      </c>
      <c r="G68" s="26" t="inlineStr">
        <is>
          <t>2026-09-08</t>
        </is>
      </c>
      <c r="H68" s="26" t="inlineStr">
        <is>
          <t>IMP-KNEE-CEM</t>
        </is>
      </c>
      <c r="I68" s="26" t="inlineStr">
        <is>
          <t>Cemented Knee Implant System</t>
        </is>
      </c>
      <c r="J68" s="26" t="inlineStr">
        <is>
          <t>0278</t>
        </is>
      </c>
      <c r="K68" s="26" t="n"/>
      <c r="L68" s="26" t="n"/>
      <c r="M68" s="26" t="n">
        <v>1</v>
      </c>
      <c r="N68" s="13" t="n">
        <v>20500</v>
      </c>
      <c r="O68" s="13">
        <f>M68*N68</f>
        <v/>
      </c>
      <c r="P68" s="13" t="n">
        <v>8190.65</v>
      </c>
      <c r="Q68" s="13">
        <f>P68*15%</f>
        <v/>
      </c>
      <c r="R68" s="13">
        <f>O68-P68</f>
        <v/>
      </c>
      <c r="S68" s="26" t="inlineStr">
        <is>
          <t>Care Gap Health</t>
        </is>
      </c>
      <c r="T68" s="26" t="inlineStr">
        <is>
          <t>Care Gap Value PPO</t>
        </is>
      </c>
      <c r="U68" s="26" t="n"/>
      <c r="V68" s="26" t="inlineStr">
        <is>
          <t>Eleanor Brooks, MD</t>
        </is>
      </c>
      <c r="W68" s="26" t="inlineStr">
        <is>
          <t>Assigned Department Provider</t>
        </is>
      </c>
      <c r="X68" s="26" t="inlineStr">
        <is>
          <t>Inventory</t>
        </is>
      </c>
      <c r="Y68" s="26" t="inlineStr">
        <is>
          <t>Implant scan</t>
        </is>
      </c>
      <c r="Z68" s="26" t="inlineStr">
        <is>
          <t>Posted</t>
        </is>
      </c>
      <c r="AA68" s="26" t="inlineStr">
        <is>
          <t>Matched</t>
        </is>
      </c>
      <c r="AB68" s="26" t="inlineStr">
        <is>
          <t>Passed</t>
        </is>
      </c>
      <c r="AC68" s="26" t="n"/>
      <c r="AD68" s="26" t="inlineStr">
        <is>
          <t>Contract rule</t>
        </is>
      </c>
      <c r="AE68" s="26" t="inlineStr">
        <is>
          <t>M17.11</t>
        </is>
      </c>
      <c r="AF68" s="26" t="inlineStr">
        <is>
          <t>21</t>
        </is>
      </c>
      <c r="AG68" s="26" t="inlineStr">
        <is>
          <t>2026-09-08 16:30</t>
        </is>
      </c>
      <c r="AH68" s="26" t="inlineStr">
        <is>
          <t>Synthetic Care Gap charge; 10% below Athena allowed amount</t>
        </is>
      </c>
    </row>
    <row r="69">
      <c r="A69" s="26" t="inlineStr">
        <is>
          <t>IPD-CHG-0033-ATH</t>
        </is>
      </c>
      <c r="B69" s="26" t="inlineStr">
        <is>
          <t>HAR-202600033-ATH</t>
        </is>
      </c>
      <c r="C69" s="26" t="inlineStr">
        <is>
          <t>CSN-IPD-780033-ATH</t>
        </is>
      </c>
      <c r="D69" s="26" t="inlineStr">
        <is>
          <t>Inpatient</t>
        </is>
      </c>
      <c r="E69" s="26" t="inlineStr">
        <is>
          <t>Demo Regional Medical Center</t>
        </is>
      </c>
      <c r="F69" s="26" t="inlineStr">
        <is>
          <t>Implants</t>
        </is>
      </c>
      <c r="G69" s="26" t="inlineStr">
        <is>
          <t>2026-09-09</t>
        </is>
      </c>
      <c r="H69" s="26" t="inlineStr">
        <is>
          <t>IMP-SCREW</t>
        </is>
      </c>
      <c r="I69" s="26" t="inlineStr">
        <is>
          <t>Orthopedic Fixation Screw</t>
        </is>
      </c>
      <c r="J69" s="26" t="inlineStr">
        <is>
          <t>0278</t>
        </is>
      </c>
      <c r="K69" s="26" t="inlineStr">
        <is>
          <t>C1713</t>
        </is>
      </c>
      <c r="L69" s="26" t="n"/>
      <c r="M69" s="26" t="n">
        <v>1</v>
      </c>
      <c r="N69" s="13" t="n">
        <v>950</v>
      </c>
      <c r="O69" s="13">
        <f>M69*N69</f>
        <v/>
      </c>
      <c r="P69" s="13" t="n">
        <v>465.35</v>
      </c>
      <c r="Q69" s="13">
        <f>P69*20%</f>
        <v/>
      </c>
      <c r="R69" s="13">
        <f>O69-P69</f>
        <v/>
      </c>
      <c r="S69" s="26" t="inlineStr">
        <is>
          <t>Athena Health Insurance</t>
        </is>
      </c>
      <c r="T69" s="26" t="inlineStr">
        <is>
          <t>Athena PPO</t>
        </is>
      </c>
      <c r="U69" s="26" t="n"/>
      <c r="V69" s="26" t="inlineStr">
        <is>
          <t>Eleanor Brooks, MD</t>
        </is>
      </c>
      <c r="W69" s="26" t="inlineStr">
        <is>
          <t>Assigned Department Provider</t>
        </is>
      </c>
      <c r="X69" s="26" t="inlineStr">
        <is>
          <t>Inventory</t>
        </is>
      </c>
      <c r="Y69" s="26" t="inlineStr">
        <is>
          <t>Implant scan</t>
        </is>
      </c>
      <c r="Z69" s="26" t="inlineStr">
        <is>
          <t>Posted</t>
        </is>
      </c>
      <c r="AA69" s="26" t="inlineStr">
        <is>
          <t>Matched</t>
        </is>
      </c>
      <c r="AB69" s="26" t="inlineStr">
        <is>
          <t>Passed</t>
        </is>
      </c>
      <c r="AC69" s="26" t="n"/>
      <c r="AD69" s="26" t="inlineStr">
        <is>
          <t>Contract rule</t>
        </is>
      </c>
      <c r="AE69" s="26" t="inlineStr">
        <is>
          <t>M17.11</t>
        </is>
      </c>
      <c r="AF69" s="26" t="inlineStr">
        <is>
          <t>21</t>
        </is>
      </c>
      <c r="AG69" s="26" t="inlineStr">
        <is>
          <t>2026-09-09 16:30</t>
        </is>
      </c>
      <c r="AH69" s="26" t="inlineStr">
        <is>
          <t>Synthetic Athena negotiated charge</t>
        </is>
      </c>
    </row>
    <row r="70">
      <c r="A70" s="26" t="inlineStr">
        <is>
          <t>IPD-CHG-0033-CGH</t>
        </is>
      </c>
      <c r="B70" s="26" t="inlineStr">
        <is>
          <t>HAR-202600033-CGH</t>
        </is>
      </c>
      <c r="C70" s="26" t="inlineStr">
        <is>
          <t>CSN-IPD-780033-CGH</t>
        </is>
      </c>
      <c r="D70" s="26" t="inlineStr">
        <is>
          <t>Inpatient</t>
        </is>
      </c>
      <c r="E70" s="26" t="inlineStr">
        <is>
          <t>Demo Regional Medical Center</t>
        </is>
      </c>
      <c r="F70" s="26" t="inlineStr">
        <is>
          <t>Implants</t>
        </is>
      </c>
      <c r="G70" s="26" t="inlineStr">
        <is>
          <t>2026-09-09</t>
        </is>
      </c>
      <c r="H70" s="26" t="inlineStr">
        <is>
          <t>IMP-SCREW</t>
        </is>
      </c>
      <c r="I70" s="26" t="inlineStr">
        <is>
          <t>Orthopedic Fixation Screw</t>
        </is>
      </c>
      <c r="J70" s="26" t="inlineStr">
        <is>
          <t>0278</t>
        </is>
      </c>
      <c r="K70" s="26" t="inlineStr">
        <is>
          <t>C1713</t>
        </is>
      </c>
      <c r="L70" s="26" t="n"/>
      <c r="M70" s="26" t="n">
        <v>1</v>
      </c>
      <c r="N70" s="13" t="n">
        <v>950</v>
      </c>
      <c r="O70" s="13">
        <f>M70*N70</f>
        <v/>
      </c>
      <c r="P70" s="13" t="n">
        <v>418.82</v>
      </c>
      <c r="Q70" s="13">
        <f>P70*15%</f>
        <v/>
      </c>
      <c r="R70" s="13">
        <f>O70-P70</f>
        <v/>
      </c>
      <c r="S70" s="26" t="inlineStr">
        <is>
          <t>Care Gap Health</t>
        </is>
      </c>
      <c r="T70" s="26" t="inlineStr">
        <is>
          <t>Care Gap Value PPO</t>
        </is>
      </c>
      <c r="U70" s="26" t="n"/>
      <c r="V70" s="26" t="inlineStr">
        <is>
          <t>Eleanor Brooks, MD</t>
        </is>
      </c>
      <c r="W70" s="26" t="inlineStr">
        <is>
          <t>Assigned Department Provider</t>
        </is>
      </c>
      <c r="X70" s="26" t="inlineStr">
        <is>
          <t>Inventory</t>
        </is>
      </c>
      <c r="Y70" s="26" t="inlineStr">
        <is>
          <t>Implant scan</t>
        </is>
      </c>
      <c r="Z70" s="26" t="inlineStr">
        <is>
          <t>Posted</t>
        </is>
      </c>
      <c r="AA70" s="26" t="inlineStr">
        <is>
          <t>Matched</t>
        </is>
      </c>
      <c r="AB70" s="26" t="inlineStr">
        <is>
          <t>Passed</t>
        </is>
      </c>
      <c r="AC70" s="26" t="n"/>
      <c r="AD70" s="26" t="inlineStr">
        <is>
          <t>Contract rule</t>
        </is>
      </c>
      <c r="AE70" s="26" t="inlineStr">
        <is>
          <t>M17.11</t>
        </is>
      </c>
      <c r="AF70" s="26" t="inlineStr">
        <is>
          <t>21</t>
        </is>
      </c>
      <c r="AG70" s="26" t="inlineStr">
        <is>
          <t>2026-09-09 16:30</t>
        </is>
      </c>
      <c r="AH70" s="26" t="inlineStr">
        <is>
          <t>Synthetic Care Gap charge; 10% below Athena allowed amount</t>
        </is>
      </c>
    </row>
    <row r="71">
      <c r="A71" s="26" t="inlineStr">
        <is>
          <t>IPD-CHG-0034-ATH</t>
        </is>
      </c>
      <c r="B71" s="26" t="inlineStr">
        <is>
          <t>HAR-202600034-ATH</t>
        </is>
      </c>
      <c r="C71" s="26" t="inlineStr">
        <is>
          <t>CSN-IPD-780034-ATH</t>
        </is>
      </c>
      <c r="D71" s="26" t="inlineStr">
        <is>
          <t>Inpatient</t>
        </is>
      </c>
      <c r="E71" s="26" t="inlineStr">
        <is>
          <t>Demo Regional Medical Center</t>
        </is>
      </c>
      <c r="F71" s="26" t="inlineStr">
        <is>
          <t>Pharmacy</t>
        </is>
      </c>
      <c r="G71" s="26" t="inlineStr">
        <is>
          <t>2026-09-10</t>
        </is>
      </c>
      <c r="H71" s="26" t="inlineStr">
        <is>
          <t>DRUG-CEFA-1G</t>
        </is>
      </c>
      <c r="I71" s="26" t="inlineStr">
        <is>
          <t>Cefazolin 1 g Injection</t>
        </is>
      </c>
      <c r="J71" s="26" t="inlineStr">
        <is>
          <t>0250</t>
        </is>
      </c>
      <c r="K71" s="26" t="inlineStr">
        <is>
          <t>J0690</t>
        </is>
      </c>
      <c r="L71" s="26" t="n"/>
      <c r="M71" s="26" t="n">
        <v>1</v>
      </c>
      <c r="N71" s="13" t="n">
        <v>500</v>
      </c>
      <c r="O71" s="13">
        <f>M71*N71</f>
        <v/>
      </c>
      <c r="P71" s="13" t="n">
        <v>267.02</v>
      </c>
      <c r="Q71" s="13">
        <f>P71*20%</f>
        <v/>
      </c>
      <c r="R71" s="13">
        <f>O71-P71</f>
        <v/>
      </c>
      <c r="S71" s="26" t="inlineStr">
        <is>
          <t>Athena Health Insurance</t>
        </is>
      </c>
      <c r="T71" s="26" t="inlineStr">
        <is>
          <t>Athena PPO</t>
        </is>
      </c>
      <c r="U71" s="26" t="n"/>
      <c r="V71" s="26" t="inlineStr">
        <is>
          <t>Eleanor Brooks, MD</t>
        </is>
      </c>
      <c r="W71" s="26" t="inlineStr">
        <is>
          <t>Assigned Department Provider</t>
        </is>
      </c>
      <c r="X71" s="26" t="inlineStr">
        <is>
          <t>Pharmacy MAR</t>
        </is>
      </c>
      <c r="Y71" s="26" t="inlineStr">
        <is>
          <t>Medication administration</t>
        </is>
      </c>
      <c r="Z71" s="26" t="inlineStr">
        <is>
          <t>Posted</t>
        </is>
      </c>
      <c r="AA71" s="26" t="inlineStr">
        <is>
          <t>Matched</t>
        </is>
      </c>
      <c r="AB71" s="26" t="inlineStr">
        <is>
          <t>Passed</t>
        </is>
      </c>
      <c r="AC71" s="26" t="n"/>
      <c r="AD71" s="26" t="inlineStr">
        <is>
          <t>Dose/frequency</t>
        </is>
      </c>
      <c r="AE71" s="26" t="inlineStr">
        <is>
          <t>Z79.2</t>
        </is>
      </c>
      <c r="AF71" s="26" t="inlineStr">
        <is>
          <t>21</t>
        </is>
      </c>
      <c r="AG71" s="26" t="inlineStr">
        <is>
          <t>2026-09-10 16:30</t>
        </is>
      </c>
      <c r="AH71" s="26" t="inlineStr">
        <is>
          <t>Synthetic Athena negotiated charge</t>
        </is>
      </c>
    </row>
    <row r="72">
      <c r="A72" s="26" t="inlineStr">
        <is>
          <t>IPD-CHG-0034-CGH</t>
        </is>
      </c>
      <c r="B72" s="26" t="inlineStr">
        <is>
          <t>HAR-202600034-CGH</t>
        </is>
      </c>
      <c r="C72" s="26" t="inlineStr">
        <is>
          <t>CSN-IPD-780034-CGH</t>
        </is>
      </c>
      <c r="D72" s="26" t="inlineStr">
        <is>
          <t>Inpatient</t>
        </is>
      </c>
      <c r="E72" s="26" t="inlineStr">
        <is>
          <t>Demo Regional Medical Center</t>
        </is>
      </c>
      <c r="F72" s="26" t="inlineStr">
        <is>
          <t>Pharmacy</t>
        </is>
      </c>
      <c r="G72" s="26" t="inlineStr">
        <is>
          <t>2026-09-10</t>
        </is>
      </c>
      <c r="H72" s="26" t="inlineStr">
        <is>
          <t>DRUG-CEFA-1G</t>
        </is>
      </c>
      <c r="I72" s="26" t="inlineStr">
        <is>
          <t>Cefazolin 1 g Injection</t>
        </is>
      </c>
      <c r="J72" s="26" t="inlineStr">
        <is>
          <t>0250</t>
        </is>
      </c>
      <c r="K72" s="26" t="inlineStr">
        <is>
          <t>J0690</t>
        </is>
      </c>
      <c r="L72" s="26" t="n"/>
      <c r="M72" s="26" t="n">
        <v>1</v>
      </c>
      <c r="N72" s="13" t="n">
        <v>500</v>
      </c>
      <c r="O72" s="13">
        <f>M72*N72</f>
        <v/>
      </c>
      <c r="P72" s="13" t="n">
        <v>240.32</v>
      </c>
      <c r="Q72" s="13">
        <f>P72*15%</f>
        <v/>
      </c>
      <c r="R72" s="13">
        <f>O72-P72</f>
        <v/>
      </c>
      <c r="S72" s="26" t="inlineStr">
        <is>
          <t>Care Gap Health</t>
        </is>
      </c>
      <c r="T72" s="26" t="inlineStr">
        <is>
          <t>Care Gap Value PPO</t>
        </is>
      </c>
      <c r="U72" s="26" t="n"/>
      <c r="V72" s="26" t="inlineStr">
        <is>
          <t>Eleanor Brooks, MD</t>
        </is>
      </c>
      <c r="W72" s="26" t="inlineStr">
        <is>
          <t>Assigned Department Provider</t>
        </is>
      </c>
      <c r="X72" s="26" t="inlineStr">
        <is>
          <t>Pharmacy MAR</t>
        </is>
      </c>
      <c r="Y72" s="26" t="inlineStr">
        <is>
          <t>Medication administration</t>
        </is>
      </c>
      <c r="Z72" s="26" t="inlineStr">
        <is>
          <t>Posted</t>
        </is>
      </c>
      <c r="AA72" s="26" t="inlineStr">
        <is>
          <t>Matched</t>
        </is>
      </c>
      <c r="AB72" s="26" t="inlineStr">
        <is>
          <t>Passed</t>
        </is>
      </c>
      <c r="AC72" s="26" t="n"/>
      <c r="AD72" s="26" t="inlineStr">
        <is>
          <t>Dose/frequency</t>
        </is>
      </c>
      <c r="AE72" s="26" t="inlineStr">
        <is>
          <t>Z79.2</t>
        </is>
      </c>
      <c r="AF72" s="26" t="inlineStr">
        <is>
          <t>21</t>
        </is>
      </c>
      <c r="AG72" s="26" t="inlineStr">
        <is>
          <t>2026-09-10 16:30</t>
        </is>
      </c>
      <c r="AH72" s="26" t="inlineStr">
        <is>
          <t>Synthetic Care Gap charge; 10% below Athena allowed amount</t>
        </is>
      </c>
    </row>
    <row r="73">
      <c r="A73" s="26" t="inlineStr">
        <is>
          <t>IPD-CHG-0035-ATH</t>
        </is>
      </c>
      <c r="B73" s="26" t="inlineStr">
        <is>
          <t>HAR-202600035-ATH</t>
        </is>
      </c>
      <c r="C73" s="26" t="inlineStr">
        <is>
          <t>CSN-IPD-780035-ATH</t>
        </is>
      </c>
      <c r="D73" s="26" t="inlineStr">
        <is>
          <t>Inpatient</t>
        </is>
      </c>
      <c r="E73" s="26" t="inlineStr">
        <is>
          <t>Demo Regional Medical Center</t>
        </is>
      </c>
      <c r="F73" s="26" t="inlineStr">
        <is>
          <t>Pharmacy</t>
        </is>
      </c>
      <c r="G73" s="26" t="inlineStr">
        <is>
          <t>2026-09-11</t>
        </is>
      </c>
      <c r="H73" s="26" t="inlineStr">
        <is>
          <t>DRUG-VANC-500</t>
        </is>
      </c>
      <c r="I73" s="26" t="inlineStr">
        <is>
          <t>Vancomycin 500 mg Injection</t>
        </is>
      </c>
      <c r="J73" s="26" t="inlineStr">
        <is>
          <t>0250</t>
        </is>
      </c>
      <c r="K73" s="26" t="inlineStr">
        <is>
          <t>J3370</t>
        </is>
      </c>
      <c r="L73" s="26" t="n"/>
      <c r="M73" s="26" t="n">
        <v>2</v>
      </c>
      <c r="N73" s="13" t="n">
        <v>680</v>
      </c>
      <c r="O73" s="13">
        <f>M73*N73</f>
        <v/>
      </c>
      <c r="P73" s="13" t="n">
        <v>830.5599999999999</v>
      </c>
      <c r="Q73" s="13">
        <f>P73*20%</f>
        <v/>
      </c>
      <c r="R73" s="13">
        <f>O73-P73</f>
        <v/>
      </c>
      <c r="S73" s="26" t="inlineStr">
        <is>
          <t>Athena Health Insurance</t>
        </is>
      </c>
      <c r="T73" s="26" t="inlineStr">
        <is>
          <t>Athena PPO</t>
        </is>
      </c>
      <c r="U73" s="26" t="n"/>
      <c r="V73" s="26" t="inlineStr">
        <is>
          <t>Eleanor Brooks, MD</t>
        </is>
      </c>
      <c r="W73" s="26" t="inlineStr">
        <is>
          <t>Assigned Department Provider</t>
        </is>
      </c>
      <c r="X73" s="26" t="inlineStr">
        <is>
          <t>Pharmacy MAR</t>
        </is>
      </c>
      <c r="Y73" s="26" t="inlineStr">
        <is>
          <t>Medication administration</t>
        </is>
      </c>
      <c r="Z73" s="26" t="inlineStr">
        <is>
          <t>Posted</t>
        </is>
      </c>
      <c r="AA73" s="26" t="inlineStr">
        <is>
          <t>Matched</t>
        </is>
      </c>
      <c r="AB73" s="26" t="inlineStr">
        <is>
          <t>Passed</t>
        </is>
      </c>
      <c r="AC73" s="26" t="n"/>
      <c r="AD73" s="26" t="inlineStr">
        <is>
          <t>Dose/frequency</t>
        </is>
      </c>
      <c r="AE73" s="26" t="inlineStr">
        <is>
          <t>Z79.2</t>
        </is>
      </c>
      <c r="AF73" s="26" t="inlineStr">
        <is>
          <t>21</t>
        </is>
      </c>
      <c r="AG73" s="26" t="inlineStr">
        <is>
          <t>2026-09-11 16:30</t>
        </is>
      </c>
      <c r="AH73" s="26" t="inlineStr">
        <is>
          <t>Synthetic Athena negotiated charge</t>
        </is>
      </c>
    </row>
    <row r="74">
      <c r="A74" s="26" t="inlineStr">
        <is>
          <t>IPD-CHG-0035-CGH</t>
        </is>
      </c>
      <c r="B74" s="26" t="inlineStr">
        <is>
          <t>HAR-202600035-CGH</t>
        </is>
      </c>
      <c r="C74" s="26" t="inlineStr">
        <is>
          <t>CSN-IPD-780035-CGH</t>
        </is>
      </c>
      <c r="D74" s="26" t="inlineStr">
        <is>
          <t>Inpatient</t>
        </is>
      </c>
      <c r="E74" s="26" t="inlineStr">
        <is>
          <t>Demo Regional Medical Center</t>
        </is>
      </c>
      <c r="F74" s="26" t="inlineStr">
        <is>
          <t>Pharmacy</t>
        </is>
      </c>
      <c r="G74" s="26" t="inlineStr">
        <is>
          <t>2026-09-11</t>
        </is>
      </c>
      <c r="H74" s="26" t="inlineStr">
        <is>
          <t>DRUG-VANC-500</t>
        </is>
      </c>
      <c r="I74" s="26" t="inlineStr">
        <is>
          <t>Vancomycin 500 mg Injection</t>
        </is>
      </c>
      <c r="J74" s="26" t="inlineStr">
        <is>
          <t>0250</t>
        </is>
      </c>
      <c r="K74" s="26" t="inlineStr">
        <is>
          <t>J3370</t>
        </is>
      </c>
      <c r="L74" s="26" t="n"/>
      <c r="M74" s="26" t="n">
        <v>2</v>
      </c>
      <c r="N74" s="13" t="n">
        <v>680</v>
      </c>
      <c r="O74" s="13">
        <f>M74*N74</f>
        <v/>
      </c>
      <c r="P74" s="13" t="n">
        <v>747.5</v>
      </c>
      <c r="Q74" s="13">
        <f>P74*15%</f>
        <v/>
      </c>
      <c r="R74" s="13">
        <f>O74-P74</f>
        <v/>
      </c>
      <c r="S74" s="26" t="inlineStr">
        <is>
          <t>Care Gap Health</t>
        </is>
      </c>
      <c r="T74" s="26" t="inlineStr">
        <is>
          <t>Care Gap Value PPO</t>
        </is>
      </c>
      <c r="U74" s="26" t="n"/>
      <c r="V74" s="26" t="inlineStr">
        <is>
          <t>Eleanor Brooks, MD</t>
        </is>
      </c>
      <c r="W74" s="26" t="inlineStr">
        <is>
          <t>Assigned Department Provider</t>
        </is>
      </c>
      <c r="X74" s="26" t="inlineStr">
        <is>
          <t>Pharmacy MAR</t>
        </is>
      </c>
      <c r="Y74" s="26" t="inlineStr">
        <is>
          <t>Medication administration</t>
        </is>
      </c>
      <c r="Z74" s="26" t="inlineStr">
        <is>
          <t>Posted</t>
        </is>
      </c>
      <c r="AA74" s="26" t="inlineStr">
        <is>
          <t>Matched</t>
        </is>
      </c>
      <c r="AB74" s="26" t="inlineStr">
        <is>
          <t>Passed</t>
        </is>
      </c>
      <c r="AC74" s="26" t="n"/>
      <c r="AD74" s="26" t="inlineStr">
        <is>
          <t>Dose/frequency</t>
        </is>
      </c>
      <c r="AE74" s="26" t="inlineStr">
        <is>
          <t>Z79.2</t>
        </is>
      </c>
      <c r="AF74" s="26" t="inlineStr">
        <is>
          <t>21</t>
        </is>
      </c>
      <c r="AG74" s="26" t="inlineStr">
        <is>
          <t>2026-09-11 16:30</t>
        </is>
      </c>
      <c r="AH74" s="26" t="inlineStr">
        <is>
          <t>Synthetic Care Gap charge; 10% below Athena allowed amount</t>
        </is>
      </c>
    </row>
    <row r="75">
      <c r="A75" s="26" t="inlineStr">
        <is>
          <t>IPD-CHG-0036-ATH</t>
        </is>
      </c>
      <c r="B75" s="26" t="inlineStr">
        <is>
          <t>HAR-202600036-ATH</t>
        </is>
      </c>
      <c r="C75" s="26" t="inlineStr">
        <is>
          <t>CSN-IPD-780036-ATH</t>
        </is>
      </c>
      <c r="D75" s="26" t="inlineStr">
        <is>
          <t>Inpatient</t>
        </is>
      </c>
      <c r="E75" s="26" t="inlineStr">
        <is>
          <t>Demo Regional Medical Center</t>
        </is>
      </c>
      <c r="F75" s="26" t="inlineStr">
        <is>
          <t>Pharmacy</t>
        </is>
      </c>
      <c r="G75" s="26" t="inlineStr">
        <is>
          <t>2026-09-12</t>
        </is>
      </c>
      <c r="H75" s="26" t="inlineStr">
        <is>
          <t>IV-NS-1L</t>
        </is>
      </c>
      <c r="I75" s="26" t="inlineStr">
        <is>
          <t>Normal Saline 1,000 mL</t>
        </is>
      </c>
      <c r="J75" s="26" t="inlineStr">
        <is>
          <t>0258</t>
        </is>
      </c>
      <c r="K75" s="26" t="inlineStr">
        <is>
          <t>J7030</t>
        </is>
      </c>
      <c r="L75" s="26" t="n"/>
      <c r="M75" s="26" t="n">
        <v>2</v>
      </c>
      <c r="N75" s="13" t="n">
        <v>90</v>
      </c>
      <c r="O75" s="13">
        <f>M75*N75</f>
        <v/>
      </c>
      <c r="P75" s="13" t="n">
        <v>84.38</v>
      </c>
      <c r="Q75" s="13">
        <f>P75*20%</f>
        <v/>
      </c>
      <c r="R75" s="13">
        <f>O75-P75</f>
        <v/>
      </c>
      <c r="S75" s="26" t="inlineStr">
        <is>
          <t>Athena Health Insurance</t>
        </is>
      </c>
      <c r="T75" s="26" t="inlineStr">
        <is>
          <t>Athena PPO</t>
        </is>
      </c>
      <c r="U75" s="26" t="n"/>
      <c r="V75" s="26" t="inlineStr">
        <is>
          <t>Eleanor Brooks, MD</t>
        </is>
      </c>
      <c r="W75" s="26" t="inlineStr">
        <is>
          <t>Assigned Department Provider</t>
        </is>
      </c>
      <c r="X75" s="26" t="inlineStr">
        <is>
          <t>Pharmacy MAR</t>
        </is>
      </c>
      <c r="Y75" s="26" t="inlineStr">
        <is>
          <t>Medication administration</t>
        </is>
      </c>
      <c r="Z75" s="26" t="inlineStr">
        <is>
          <t>Posted</t>
        </is>
      </c>
      <c r="AA75" s="26" t="inlineStr">
        <is>
          <t>Matched</t>
        </is>
      </c>
      <c r="AB75" s="26" t="inlineStr">
        <is>
          <t>Passed</t>
        </is>
      </c>
      <c r="AC75" s="26" t="n"/>
      <c r="AD75" s="26" t="inlineStr">
        <is>
          <t>N/A</t>
        </is>
      </c>
      <c r="AE75" s="26" t="inlineStr">
        <is>
          <t>E86.0</t>
        </is>
      </c>
      <c r="AF75" s="26" t="inlineStr">
        <is>
          <t>21</t>
        </is>
      </c>
      <c r="AG75" s="26" t="inlineStr">
        <is>
          <t>2026-09-12 16:30</t>
        </is>
      </c>
      <c r="AH75" s="26" t="inlineStr">
        <is>
          <t>Synthetic Athena negotiated charge</t>
        </is>
      </c>
    </row>
    <row r="76">
      <c r="A76" s="26" t="inlineStr">
        <is>
          <t>IPD-CHG-0036-CGH</t>
        </is>
      </c>
      <c r="B76" s="26" t="inlineStr">
        <is>
          <t>HAR-202600036-CGH</t>
        </is>
      </c>
      <c r="C76" s="26" t="inlineStr">
        <is>
          <t>CSN-IPD-780036-CGH</t>
        </is>
      </c>
      <c r="D76" s="26" t="inlineStr">
        <is>
          <t>Inpatient</t>
        </is>
      </c>
      <c r="E76" s="26" t="inlineStr">
        <is>
          <t>Demo Regional Medical Center</t>
        </is>
      </c>
      <c r="F76" s="26" t="inlineStr">
        <is>
          <t>Pharmacy</t>
        </is>
      </c>
      <c r="G76" s="26" t="inlineStr">
        <is>
          <t>2026-09-12</t>
        </is>
      </c>
      <c r="H76" s="26" t="inlineStr">
        <is>
          <t>IV-NS-1L</t>
        </is>
      </c>
      <c r="I76" s="26" t="inlineStr">
        <is>
          <t>Normal Saline 1,000 mL</t>
        </is>
      </c>
      <c r="J76" s="26" t="inlineStr">
        <is>
          <t>0258</t>
        </is>
      </c>
      <c r="K76" s="26" t="inlineStr">
        <is>
          <t>J7030</t>
        </is>
      </c>
      <c r="L76" s="26" t="n"/>
      <c r="M76" s="26" t="n">
        <v>2</v>
      </c>
      <c r="N76" s="13" t="n">
        <v>90</v>
      </c>
      <c r="O76" s="13">
        <f>M76*N76</f>
        <v/>
      </c>
      <c r="P76" s="13" t="n">
        <v>75.94</v>
      </c>
      <c r="Q76" s="13">
        <f>P76*15%</f>
        <v/>
      </c>
      <c r="R76" s="13">
        <f>O76-P76</f>
        <v/>
      </c>
      <c r="S76" s="26" t="inlineStr">
        <is>
          <t>Care Gap Health</t>
        </is>
      </c>
      <c r="T76" s="26" t="inlineStr">
        <is>
          <t>Care Gap Value PPO</t>
        </is>
      </c>
      <c r="U76" s="26" t="n"/>
      <c r="V76" s="26" t="inlineStr">
        <is>
          <t>Eleanor Brooks, MD</t>
        </is>
      </c>
      <c r="W76" s="26" t="inlineStr">
        <is>
          <t>Assigned Department Provider</t>
        </is>
      </c>
      <c r="X76" s="26" t="inlineStr">
        <is>
          <t>Pharmacy MAR</t>
        </is>
      </c>
      <c r="Y76" s="26" t="inlineStr">
        <is>
          <t>Medication administration</t>
        </is>
      </c>
      <c r="Z76" s="26" t="inlineStr">
        <is>
          <t>Posted</t>
        </is>
      </c>
      <c r="AA76" s="26" t="inlineStr">
        <is>
          <t>Matched</t>
        </is>
      </c>
      <c r="AB76" s="26" t="inlineStr">
        <is>
          <t>Passed</t>
        </is>
      </c>
      <c r="AC76" s="26" t="n"/>
      <c r="AD76" s="26" t="inlineStr">
        <is>
          <t>N/A</t>
        </is>
      </c>
      <c r="AE76" s="26" t="inlineStr">
        <is>
          <t>E86.0</t>
        </is>
      </c>
      <c r="AF76" s="26" t="inlineStr">
        <is>
          <t>21</t>
        </is>
      </c>
      <c r="AG76" s="26" t="inlineStr">
        <is>
          <t>2026-09-12 16:30</t>
        </is>
      </c>
      <c r="AH76" s="26" t="inlineStr">
        <is>
          <t>Synthetic Care Gap charge; 10% below Athena allowed amount</t>
        </is>
      </c>
    </row>
    <row r="77">
      <c r="A77" s="26" t="inlineStr">
        <is>
          <t>IPD-CHG-0037-ATH</t>
        </is>
      </c>
      <c r="B77" s="26" t="inlineStr">
        <is>
          <t>HAR-202600037-ATH</t>
        </is>
      </c>
      <c r="C77" s="26" t="inlineStr">
        <is>
          <t>CSN-IPD-780037-ATH</t>
        </is>
      </c>
      <c r="D77" s="26" t="inlineStr">
        <is>
          <t>Inpatient</t>
        </is>
      </c>
      <c r="E77" s="26" t="inlineStr">
        <is>
          <t>Demo Regional Medical Center</t>
        </is>
      </c>
      <c r="F77" s="26" t="inlineStr">
        <is>
          <t>Laboratory</t>
        </is>
      </c>
      <c r="G77" s="26" t="inlineStr">
        <is>
          <t>2026-09-13</t>
        </is>
      </c>
      <c r="H77" s="26" t="inlineStr">
        <is>
          <t>LAB-CBC</t>
        </is>
      </c>
      <c r="I77" s="26" t="inlineStr">
        <is>
          <t>Complete Blood Count with Differential</t>
        </is>
      </c>
      <c r="J77" s="26" t="inlineStr">
        <is>
          <t>0300</t>
        </is>
      </c>
      <c r="K77" s="26" t="inlineStr">
        <is>
          <t>85025</t>
        </is>
      </c>
      <c r="L77" s="26" t="n"/>
      <c r="M77" s="26" t="n">
        <v>1</v>
      </c>
      <c r="N77" s="13" t="n">
        <v>155</v>
      </c>
      <c r="O77" s="13">
        <f>M77*N77</f>
        <v/>
      </c>
      <c r="P77" s="13" t="n">
        <v>81.62</v>
      </c>
      <c r="Q77" s="13">
        <f>P77*20%</f>
        <v/>
      </c>
      <c r="R77" s="13">
        <f>O77-P77</f>
        <v/>
      </c>
      <c r="S77" s="26" t="inlineStr">
        <is>
          <t>Athena Health Insurance</t>
        </is>
      </c>
      <c r="T77" s="26" t="inlineStr">
        <is>
          <t>Athena PPO</t>
        </is>
      </c>
      <c r="U77" s="26" t="n"/>
      <c r="V77" s="26" t="inlineStr">
        <is>
          <t>Eleanor Brooks, MD</t>
        </is>
      </c>
      <c r="W77" s="26" t="inlineStr">
        <is>
          <t>Assigned Department Provider</t>
        </is>
      </c>
      <c r="X77" s="26" t="inlineStr">
        <is>
          <t>LIS</t>
        </is>
      </c>
      <c r="Y77" s="26" t="inlineStr">
        <is>
          <t>Final result</t>
        </is>
      </c>
      <c r="Z77" s="26" t="inlineStr">
        <is>
          <t>Posted</t>
        </is>
      </c>
      <c r="AA77" s="26" t="inlineStr">
        <is>
          <t>Matched</t>
        </is>
      </c>
      <c r="AB77" s="26" t="inlineStr">
        <is>
          <t>Passed</t>
        </is>
      </c>
      <c r="AC77" s="26" t="n"/>
      <c r="AD77" s="26" t="inlineStr">
        <is>
          <t>Diagnosis/LCD</t>
        </is>
      </c>
      <c r="AE77" s="26" t="inlineStr">
        <is>
          <t>D64.9</t>
        </is>
      </c>
      <c r="AF77" s="26" t="inlineStr">
        <is>
          <t>21</t>
        </is>
      </c>
      <c r="AG77" s="26" t="inlineStr">
        <is>
          <t>2026-09-13 16:30</t>
        </is>
      </c>
      <c r="AH77" s="26" t="inlineStr">
        <is>
          <t>Synthetic Athena negotiated charge</t>
        </is>
      </c>
    </row>
    <row r="78">
      <c r="A78" s="26" t="inlineStr">
        <is>
          <t>IPD-CHG-0037-CGH</t>
        </is>
      </c>
      <c r="B78" s="26" t="inlineStr">
        <is>
          <t>HAR-202600037-CGH</t>
        </is>
      </c>
      <c r="C78" s="26" t="inlineStr">
        <is>
          <t>CSN-IPD-780037-CGH</t>
        </is>
      </c>
      <c r="D78" s="26" t="inlineStr">
        <is>
          <t>Inpatient</t>
        </is>
      </c>
      <c r="E78" s="26" t="inlineStr">
        <is>
          <t>Demo Regional Medical Center</t>
        </is>
      </c>
      <c r="F78" s="26" t="inlineStr">
        <is>
          <t>Laboratory</t>
        </is>
      </c>
      <c r="G78" s="26" t="inlineStr">
        <is>
          <t>2026-09-13</t>
        </is>
      </c>
      <c r="H78" s="26" t="inlineStr">
        <is>
          <t>LAB-CBC</t>
        </is>
      </c>
      <c r="I78" s="26" t="inlineStr">
        <is>
          <t>Complete Blood Count with Differential</t>
        </is>
      </c>
      <c r="J78" s="26" t="inlineStr">
        <is>
          <t>0300</t>
        </is>
      </c>
      <c r="K78" s="26" t="inlineStr">
        <is>
          <t>85025</t>
        </is>
      </c>
      <c r="L78" s="26" t="n"/>
      <c r="M78" s="26" t="n">
        <v>1</v>
      </c>
      <c r="N78" s="13" t="n">
        <v>155</v>
      </c>
      <c r="O78" s="13">
        <f>M78*N78</f>
        <v/>
      </c>
      <c r="P78" s="13" t="n">
        <v>73.45999999999999</v>
      </c>
      <c r="Q78" s="13">
        <f>P78*15%</f>
        <v/>
      </c>
      <c r="R78" s="13">
        <f>O78-P78</f>
        <v/>
      </c>
      <c r="S78" s="26" t="inlineStr">
        <is>
          <t>Care Gap Health</t>
        </is>
      </c>
      <c r="T78" s="26" t="inlineStr">
        <is>
          <t>Care Gap Value PPO</t>
        </is>
      </c>
      <c r="U78" s="26" t="n"/>
      <c r="V78" s="26" t="inlineStr">
        <is>
          <t>Eleanor Brooks, MD</t>
        </is>
      </c>
      <c r="W78" s="26" t="inlineStr">
        <is>
          <t>Assigned Department Provider</t>
        </is>
      </c>
      <c r="X78" s="26" t="inlineStr">
        <is>
          <t>LIS</t>
        </is>
      </c>
      <c r="Y78" s="26" t="inlineStr">
        <is>
          <t>Final result</t>
        </is>
      </c>
      <c r="Z78" s="26" t="inlineStr">
        <is>
          <t>Posted</t>
        </is>
      </c>
      <c r="AA78" s="26" t="inlineStr">
        <is>
          <t>Matched</t>
        </is>
      </c>
      <c r="AB78" s="26" t="inlineStr">
        <is>
          <t>Passed</t>
        </is>
      </c>
      <c r="AC78" s="26" t="n"/>
      <c r="AD78" s="26" t="inlineStr">
        <is>
          <t>Diagnosis/LCD</t>
        </is>
      </c>
      <c r="AE78" s="26" t="inlineStr">
        <is>
          <t>D64.9</t>
        </is>
      </c>
      <c r="AF78" s="26" t="inlineStr">
        <is>
          <t>21</t>
        </is>
      </c>
      <c r="AG78" s="26" t="inlineStr">
        <is>
          <t>2026-09-13 16:30</t>
        </is>
      </c>
      <c r="AH78" s="26" t="inlineStr">
        <is>
          <t>Synthetic Care Gap charge; 10% below Athena allowed amount</t>
        </is>
      </c>
    </row>
    <row r="79">
      <c r="A79" s="26" t="inlineStr">
        <is>
          <t>IPD-CHG-0038-ATH</t>
        </is>
      </c>
      <c r="B79" s="26" t="inlineStr">
        <is>
          <t>HAR-202600038-ATH</t>
        </is>
      </c>
      <c r="C79" s="26" t="inlineStr">
        <is>
          <t>CSN-IPD-780038-ATH</t>
        </is>
      </c>
      <c r="D79" s="26" t="inlineStr">
        <is>
          <t>Inpatient</t>
        </is>
      </c>
      <c r="E79" s="26" t="inlineStr">
        <is>
          <t>Demo Regional Medical Center</t>
        </is>
      </c>
      <c r="F79" s="26" t="inlineStr">
        <is>
          <t>Laboratory</t>
        </is>
      </c>
      <c r="G79" s="26" t="inlineStr">
        <is>
          <t>2026-09-14</t>
        </is>
      </c>
      <c r="H79" s="26" t="inlineStr">
        <is>
          <t>LAB-CMP</t>
        </is>
      </c>
      <c r="I79" s="26" t="inlineStr">
        <is>
          <t>Comprehensive Metabolic Panel</t>
        </is>
      </c>
      <c r="J79" s="26" t="inlineStr">
        <is>
          <t>0301</t>
        </is>
      </c>
      <c r="K79" s="26" t="inlineStr">
        <is>
          <t>80053</t>
        </is>
      </c>
      <c r="L79" s="26" t="n"/>
      <c r="M79" s="26" t="n">
        <v>1</v>
      </c>
      <c r="N79" s="13" t="n">
        <v>245</v>
      </c>
      <c r="O79" s="13">
        <f>M79*N79</f>
        <v/>
      </c>
      <c r="P79" s="13" t="n">
        <v>152.16</v>
      </c>
      <c r="Q79" s="13">
        <f>P79*20%</f>
        <v/>
      </c>
      <c r="R79" s="13">
        <f>O79-P79</f>
        <v/>
      </c>
      <c r="S79" s="26" t="inlineStr">
        <is>
          <t>Athena Health Insurance</t>
        </is>
      </c>
      <c r="T79" s="26" t="inlineStr">
        <is>
          <t>Athena PPO</t>
        </is>
      </c>
      <c r="U79" s="26" t="n"/>
      <c r="V79" s="26" t="inlineStr">
        <is>
          <t>Eleanor Brooks, MD</t>
        </is>
      </c>
      <c r="W79" s="26" t="inlineStr">
        <is>
          <t>Assigned Department Provider</t>
        </is>
      </c>
      <c r="X79" s="26" t="inlineStr">
        <is>
          <t>LIS</t>
        </is>
      </c>
      <c r="Y79" s="26" t="inlineStr">
        <is>
          <t>Final result</t>
        </is>
      </c>
      <c r="Z79" s="26" t="inlineStr">
        <is>
          <t>Posted</t>
        </is>
      </c>
      <c r="AA79" s="26" t="inlineStr">
        <is>
          <t>Matched</t>
        </is>
      </c>
      <c r="AB79" s="26" t="inlineStr">
        <is>
          <t>Passed</t>
        </is>
      </c>
      <c r="AC79" s="26" t="n"/>
      <c r="AD79" s="26" t="inlineStr">
        <is>
          <t>Diagnosis/LCD</t>
        </is>
      </c>
      <c r="AE79" s="26" t="inlineStr">
        <is>
          <t>E11.9</t>
        </is>
      </c>
      <c r="AF79" s="26" t="inlineStr">
        <is>
          <t>21</t>
        </is>
      </c>
      <c r="AG79" s="26" t="inlineStr">
        <is>
          <t>2026-09-14 16:30</t>
        </is>
      </c>
      <c r="AH79" s="26" t="inlineStr">
        <is>
          <t>Synthetic Athena negotiated charge</t>
        </is>
      </c>
    </row>
    <row r="80">
      <c r="A80" s="26" t="inlineStr">
        <is>
          <t>IPD-CHG-0038-CGH</t>
        </is>
      </c>
      <c r="B80" s="26" t="inlineStr">
        <is>
          <t>HAR-202600038-CGH</t>
        </is>
      </c>
      <c r="C80" s="26" t="inlineStr">
        <is>
          <t>CSN-IPD-780038-CGH</t>
        </is>
      </c>
      <c r="D80" s="26" t="inlineStr">
        <is>
          <t>Inpatient</t>
        </is>
      </c>
      <c r="E80" s="26" t="inlineStr">
        <is>
          <t>Demo Regional Medical Center</t>
        </is>
      </c>
      <c r="F80" s="26" t="inlineStr">
        <is>
          <t>Laboratory</t>
        </is>
      </c>
      <c r="G80" s="26" t="inlineStr">
        <is>
          <t>2026-09-14</t>
        </is>
      </c>
      <c r="H80" s="26" t="inlineStr">
        <is>
          <t>LAB-CMP</t>
        </is>
      </c>
      <c r="I80" s="26" t="inlineStr">
        <is>
          <t>Comprehensive Metabolic Panel</t>
        </is>
      </c>
      <c r="J80" s="26" t="inlineStr">
        <is>
          <t>0301</t>
        </is>
      </c>
      <c r="K80" s="26" t="inlineStr">
        <is>
          <t>80053</t>
        </is>
      </c>
      <c r="L80" s="26" t="n"/>
      <c r="M80" s="26" t="n">
        <v>1</v>
      </c>
      <c r="N80" s="13" t="n">
        <v>245</v>
      </c>
      <c r="O80" s="13">
        <f>M80*N80</f>
        <v/>
      </c>
      <c r="P80" s="13" t="n">
        <v>136.94</v>
      </c>
      <c r="Q80" s="13">
        <f>P80*15%</f>
        <v/>
      </c>
      <c r="R80" s="13">
        <f>O80-P80</f>
        <v/>
      </c>
      <c r="S80" s="26" t="inlineStr">
        <is>
          <t>Care Gap Health</t>
        </is>
      </c>
      <c r="T80" s="26" t="inlineStr">
        <is>
          <t>Care Gap Value PPO</t>
        </is>
      </c>
      <c r="U80" s="26" t="n"/>
      <c r="V80" s="26" t="inlineStr">
        <is>
          <t>Eleanor Brooks, MD</t>
        </is>
      </c>
      <c r="W80" s="26" t="inlineStr">
        <is>
          <t>Assigned Department Provider</t>
        </is>
      </c>
      <c r="X80" s="26" t="inlineStr">
        <is>
          <t>LIS</t>
        </is>
      </c>
      <c r="Y80" s="26" t="inlineStr">
        <is>
          <t>Final result</t>
        </is>
      </c>
      <c r="Z80" s="26" t="inlineStr">
        <is>
          <t>Posted</t>
        </is>
      </c>
      <c r="AA80" s="26" t="inlineStr">
        <is>
          <t>Matched</t>
        </is>
      </c>
      <c r="AB80" s="26" t="inlineStr">
        <is>
          <t>Passed</t>
        </is>
      </c>
      <c r="AC80" s="26" t="n"/>
      <c r="AD80" s="26" t="inlineStr">
        <is>
          <t>Diagnosis/LCD</t>
        </is>
      </c>
      <c r="AE80" s="26" t="inlineStr">
        <is>
          <t>E11.9</t>
        </is>
      </c>
      <c r="AF80" s="26" t="inlineStr">
        <is>
          <t>21</t>
        </is>
      </c>
      <c r="AG80" s="26" t="inlineStr">
        <is>
          <t>2026-09-14 16:30</t>
        </is>
      </c>
      <c r="AH80" s="26" t="inlineStr">
        <is>
          <t>Synthetic Care Gap charge; 10% below Athena allowed amount</t>
        </is>
      </c>
    </row>
    <row r="81">
      <c r="A81" s="26" t="inlineStr">
        <is>
          <t>IPD-CHG-0039-ATH</t>
        </is>
      </c>
      <c r="B81" s="26" t="inlineStr">
        <is>
          <t>HAR-202600039-ATH</t>
        </is>
      </c>
      <c r="C81" s="26" t="inlineStr">
        <is>
          <t>CSN-IPD-780039-ATH</t>
        </is>
      </c>
      <c r="D81" s="26" t="inlineStr">
        <is>
          <t>Inpatient</t>
        </is>
      </c>
      <c r="E81" s="26" t="inlineStr">
        <is>
          <t>Demo Regional Medical Center</t>
        </is>
      </c>
      <c r="F81" s="26" t="inlineStr">
        <is>
          <t>Laboratory</t>
        </is>
      </c>
      <c r="G81" s="26" t="inlineStr">
        <is>
          <t>2026-09-15</t>
        </is>
      </c>
      <c r="H81" s="26" t="inlineStr">
        <is>
          <t>LAB-PTINR</t>
        </is>
      </c>
      <c r="I81" s="26" t="inlineStr">
        <is>
          <t>Prothrombin Time / INR</t>
        </is>
      </c>
      <c r="J81" s="26" t="inlineStr">
        <is>
          <t>0305</t>
        </is>
      </c>
      <c r="K81" s="26" t="inlineStr">
        <is>
          <t>85610</t>
        </is>
      </c>
      <c r="L81" s="26" t="n"/>
      <c r="M81" s="26" t="n">
        <v>1</v>
      </c>
      <c r="N81" s="13" t="n">
        <v>125</v>
      </c>
      <c r="O81" s="13">
        <f>M81*N81</f>
        <v/>
      </c>
      <c r="P81" s="13" t="n">
        <v>78.81999999999999</v>
      </c>
      <c r="Q81" s="13">
        <f>P81*20%</f>
        <v/>
      </c>
      <c r="R81" s="13">
        <f>O81-P81</f>
        <v/>
      </c>
      <c r="S81" s="26" t="inlineStr">
        <is>
          <t>Athena Health Insurance</t>
        </is>
      </c>
      <c r="T81" s="26" t="inlineStr">
        <is>
          <t>Athena PPO</t>
        </is>
      </c>
      <c r="U81" s="26" t="n"/>
      <c r="V81" s="26" t="inlineStr">
        <is>
          <t>Eleanor Brooks, MD</t>
        </is>
      </c>
      <c r="W81" s="26" t="inlineStr">
        <is>
          <t>Assigned Department Provider</t>
        </is>
      </c>
      <c r="X81" s="26" t="inlineStr">
        <is>
          <t>LIS</t>
        </is>
      </c>
      <c r="Y81" s="26" t="inlineStr">
        <is>
          <t>Final result</t>
        </is>
      </c>
      <c r="Z81" s="26" t="inlineStr">
        <is>
          <t>Posted</t>
        </is>
      </c>
      <c r="AA81" s="26" t="inlineStr">
        <is>
          <t>Matched</t>
        </is>
      </c>
      <c r="AB81" s="26" t="inlineStr">
        <is>
          <t>Passed</t>
        </is>
      </c>
      <c r="AC81" s="26" t="n"/>
      <c r="AD81" s="26" t="inlineStr">
        <is>
          <t>Diagnosis/LCD</t>
        </is>
      </c>
      <c r="AE81" s="26" t="inlineStr">
        <is>
          <t>Z79.01</t>
        </is>
      </c>
      <c r="AF81" s="26" t="inlineStr">
        <is>
          <t>21</t>
        </is>
      </c>
      <c r="AG81" s="26" t="inlineStr">
        <is>
          <t>2026-09-15 16:30</t>
        </is>
      </c>
      <c r="AH81" s="26" t="inlineStr">
        <is>
          <t>Synthetic Athena negotiated charge</t>
        </is>
      </c>
    </row>
    <row r="82">
      <c r="A82" s="26" t="inlineStr">
        <is>
          <t>IPD-CHG-0039-CGH</t>
        </is>
      </c>
      <c r="B82" s="26" t="inlineStr">
        <is>
          <t>HAR-202600039-CGH</t>
        </is>
      </c>
      <c r="C82" s="26" t="inlineStr">
        <is>
          <t>CSN-IPD-780039-CGH</t>
        </is>
      </c>
      <c r="D82" s="26" t="inlineStr">
        <is>
          <t>Inpatient</t>
        </is>
      </c>
      <c r="E82" s="26" t="inlineStr">
        <is>
          <t>Demo Regional Medical Center</t>
        </is>
      </c>
      <c r="F82" s="26" t="inlineStr">
        <is>
          <t>Laboratory</t>
        </is>
      </c>
      <c r="G82" s="26" t="inlineStr">
        <is>
          <t>2026-09-15</t>
        </is>
      </c>
      <c r="H82" s="26" t="inlineStr">
        <is>
          <t>LAB-PTINR</t>
        </is>
      </c>
      <c r="I82" s="26" t="inlineStr">
        <is>
          <t>Prothrombin Time / INR</t>
        </is>
      </c>
      <c r="J82" s="26" t="inlineStr">
        <is>
          <t>0305</t>
        </is>
      </c>
      <c r="K82" s="26" t="inlineStr">
        <is>
          <t>85610</t>
        </is>
      </c>
      <c r="L82" s="26" t="n"/>
      <c r="M82" s="26" t="n">
        <v>1</v>
      </c>
      <c r="N82" s="13" t="n">
        <v>125</v>
      </c>
      <c r="O82" s="13">
        <f>M82*N82</f>
        <v/>
      </c>
      <c r="P82" s="13" t="n">
        <v>70.94</v>
      </c>
      <c r="Q82" s="13">
        <f>P82*15%</f>
        <v/>
      </c>
      <c r="R82" s="13">
        <f>O82-P82</f>
        <v/>
      </c>
      <c r="S82" s="26" t="inlineStr">
        <is>
          <t>Care Gap Health</t>
        </is>
      </c>
      <c r="T82" s="26" t="inlineStr">
        <is>
          <t>Care Gap Value PPO</t>
        </is>
      </c>
      <c r="U82" s="26" t="n"/>
      <c r="V82" s="26" t="inlineStr">
        <is>
          <t>Eleanor Brooks, MD</t>
        </is>
      </c>
      <c r="W82" s="26" t="inlineStr">
        <is>
          <t>Assigned Department Provider</t>
        </is>
      </c>
      <c r="X82" s="26" t="inlineStr">
        <is>
          <t>LIS</t>
        </is>
      </c>
      <c r="Y82" s="26" t="inlineStr">
        <is>
          <t>Final result</t>
        </is>
      </c>
      <c r="Z82" s="26" t="inlineStr">
        <is>
          <t>Posted</t>
        </is>
      </c>
      <c r="AA82" s="26" t="inlineStr">
        <is>
          <t>Matched</t>
        </is>
      </c>
      <c r="AB82" s="26" t="inlineStr">
        <is>
          <t>Passed</t>
        </is>
      </c>
      <c r="AC82" s="26" t="n"/>
      <c r="AD82" s="26" t="inlineStr">
        <is>
          <t>Diagnosis/LCD</t>
        </is>
      </c>
      <c r="AE82" s="26" t="inlineStr">
        <is>
          <t>Z79.01</t>
        </is>
      </c>
      <c r="AF82" s="26" t="inlineStr">
        <is>
          <t>21</t>
        </is>
      </c>
      <c r="AG82" s="26" t="inlineStr">
        <is>
          <t>2026-09-15 16:30</t>
        </is>
      </c>
      <c r="AH82" s="26" t="inlineStr">
        <is>
          <t>Synthetic Care Gap charge; 10% below Athena allowed amount</t>
        </is>
      </c>
    </row>
    <row r="83">
      <c r="A83" s="26" t="inlineStr">
        <is>
          <t>IPD-CHG-0040-ATH</t>
        </is>
      </c>
      <c r="B83" s="26" t="inlineStr">
        <is>
          <t>HAR-202600040-ATH</t>
        </is>
      </c>
      <c r="C83" s="26" t="inlineStr">
        <is>
          <t>CSN-IPD-780040-ATH</t>
        </is>
      </c>
      <c r="D83" s="26" t="inlineStr">
        <is>
          <t>Inpatient</t>
        </is>
      </c>
      <c r="E83" s="26" t="inlineStr">
        <is>
          <t>Demo Regional Medical Center</t>
        </is>
      </c>
      <c r="F83" s="26" t="inlineStr">
        <is>
          <t>Radiology</t>
        </is>
      </c>
      <c r="G83" s="26" t="inlineStr">
        <is>
          <t>2026-09-16</t>
        </is>
      </c>
      <c r="H83" s="26" t="inlineStr">
        <is>
          <t>RAD-CHEST-2V</t>
        </is>
      </c>
      <c r="I83" s="26" t="inlineStr">
        <is>
          <t>Chest X-ray, 2 Views</t>
        </is>
      </c>
      <c r="J83" s="26" t="inlineStr">
        <is>
          <t>0320</t>
        </is>
      </c>
      <c r="K83" s="26" t="inlineStr">
        <is>
          <t>71046</t>
        </is>
      </c>
      <c r="L83" s="26" t="n"/>
      <c r="M83" s="26" t="n">
        <v>1</v>
      </c>
      <c r="N83" s="13" t="n">
        <v>185</v>
      </c>
      <c r="O83" s="13">
        <f>M83*N83</f>
        <v/>
      </c>
      <c r="P83" s="13" t="n">
        <v>115.64</v>
      </c>
      <c r="Q83" s="13">
        <f>P83*20%</f>
        <v/>
      </c>
      <c r="R83" s="13">
        <f>O83-P83</f>
        <v/>
      </c>
      <c r="S83" s="26" t="inlineStr">
        <is>
          <t>Athena Health Insurance</t>
        </is>
      </c>
      <c r="T83" s="26" t="inlineStr">
        <is>
          <t>Athena PPO</t>
        </is>
      </c>
      <c r="U83" s="26" t="n"/>
      <c r="V83" s="26" t="inlineStr">
        <is>
          <t>Eleanor Brooks, MD</t>
        </is>
      </c>
      <c r="W83" s="26" t="inlineStr">
        <is>
          <t>Assigned Department Provider</t>
        </is>
      </c>
      <c r="X83" s="26" t="inlineStr">
        <is>
          <t>RIS/PACS</t>
        </is>
      </c>
      <c r="Y83" s="26" t="inlineStr">
        <is>
          <t>Exam completed</t>
        </is>
      </c>
      <c r="Z83" s="26" t="inlineStr">
        <is>
          <t>Posted</t>
        </is>
      </c>
      <c r="AA83" s="26" t="inlineStr">
        <is>
          <t>Matched</t>
        </is>
      </c>
      <c r="AB83" s="26" t="inlineStr">
        <is>
          <t>Passed</t>
        </is>
      </c>
      <c r="AC83" s="26" t="n"/>
      <c r="AD83" s="26" t="inlineStr">
        <is>
          <t>Diagnosis/LCD</t>
        </is>
      </c>
      <c r="AE83" s="26" t="inlineStr">
        <is>
          <t>R06.02</t>
        </is>
      </c>
      <c r="AF83" s="26" t="inlineStr">
        <is>
          <t>21</t>
        </is>
      </c>
      <c r="AG83" s="26" t="inlineStr">
        <is>
          <t>2026-09-16 16:30</t>
        </is>
      </c>
      <c r="AH83" s="26" t="inlineStr">
        <is>
          <t>Synthetic Athena negotiated charge</t>
        </is>
      </c>
    </row>
    <row r="84">
      <c r="A84" s="26" t="inlineStr">
        <is>
          <t>IPD-CHG-0040-CGH</t>
        </is>
      </c>
      <c r="B84" s="26" t="inlineStr">
        <is>
          <t>HAR-202600040-CGH</t>
        </is>
      </c>
      <c r="C84" s="26" t="inlineStr">
        <is>
          <t>CSN-IPD-780040-CGH</t>
        </is>
      </c>
      <c r="D84" s="26" t="inlineStr">
        <is>
          <t>Inpatient</t>
        </is>
      </c>
      <c r="E84" s="26" t="inlineStr">
        <is>
          <t>Demo Regional Medical Center</t>
        </is>
      </c>
      <c r="F84" s="26" t="inlineStr">
        <is>
          <t>Radiology</t>
        </is>
      </c>
      <c r="G84" s="26" t="inlineStr">
        <is>
          <t>2026-09-16</t>
        </is>
      </c>
      <c r="H84" s="26" t="inlineStr">
        <is>
          <t>RAD-CHEST-2V</t>
        </is>
      </c>
      <c r="I84" s="26" t="inlineStr">
        <is>
          <t>Chest X-ray, 2 Views</t>
        </is>
      </c>
      <c r="J84" s="26" t="inlineStr">
        <is>
          <t>0320</t>
        </is>
      </c>
      <c r="K84" s="26" t="inlineStr">
        <is>
          <t>71046</t>
        </is>
      </c>
      <c r="L84" s="26" t="n"/>
      <c r="M84" s="26" t="n">
        <v>1</v>
      </c>
      <c r="N84" s="13" t="n">
        <v>185</v>
      </c>
      <c r="O84" s="13">
        <f>M84*N84</f>
        <v/>
      </c>
      <c r="P84" s="13" t="n">
        <v>104.08</v>
      </c>
      <c r="Q84" s="13">
        <f>P84*15%</f>
        <v/>
      </c>
      <c r="R84" s="13">
        <f>O84-P84</f>
        <v/>
      </c>
      <c r="S84" s="26" t="inlineStr">
        <is>
          <t>Care Gap Health</t>
        </is>
      </c>
      <c r="T84" s="26" t="inlineStr">
        <is>
          <t>Care Gap Value PPO</t>
        </is>
      </c>
      <c r="U84" s="26" t="n"/>
      <c r="V84" s="26" t="inlineStr">
        <is>
          <t>Eleanor Brooks, MD</t>
        </is>
      </c>
      <c r="W84" s="26" t="inlineStr">
        <is>
          <t>Assigned Department Provider</t>
        </is>
      </c>
      <c r="X84" s="26" t="inlineStr">
        <is>
          <t>RIS/PACS</t>
        </is>
      </c>
      <c r="Y84" s="26" t="inlineStr">
        <is>
          <t>Exam completed</t>
        </is>
      </c>
      <c r="Z84" s="26" t="inlineStr">
        <is>
          <t>Posted</t>
        </is>
      </c>
      <c r="AA84" s="26" t="inlineStr">
        <is>
          <t>Matched</t>
        </is>
      </c>
      <c r="AB84" s="26" t="inlineStr">
        <is>
          <t>Passed</t>
        </is>
      </c>
      <c r="AC84" s="26" t="n"/>
      <c r="AD84" s="26" t="inlineStr">
        <is>
          <t>Diagnosis/LCD</t>
        </is>
      </c>
      <c r="AE84" s="26" t="inlineStr">
        <is>
          <t>R06.02</t>
        </is>
      </c>
      <c r="AF84" s="26" t="inlineStr">
        <is>
          <t>21</t>
        </is>
      </c>
      <c r="AG84" s="26" t="inlineStr">
        <is>
          <t>2026-09-16 16:30</t>
        </is>
      </c>
      <c r="AH84" s="26" t="inlineStr">
        <is>
          <t>Synthetic Care Gap charge; 10% below Athena allowed amount</t>
        </is>
      </c>
    </row>
    <row r="85">
      <c r="A85" s="26" t="inlineStr">
        <is>
          <t>IPD-CHG-0041-ATH</t>
        </is>
      </c>
      <c r="B85" s="26" t="inlineStr">
        <is>
          <t>HAR-202600041-ATH</t>
        </is>
      </c>
      <c r="C85" s="26" t="inlineStr">
        <is>
          <t>CSN-IPD-780041-ATH</t>
        </is>
      </c>
      <c r="D85" s="26" t="inlineStr">
        <is>
          <t>Inpatient</t>
        </is>
      </c>
      <c r="E85" s="26" t="inlineStr">
        <is>
          <t>Demo Regional Medical Center</t>
        </is>
      </c>
      <c r="F85" s="26" t="inlineStr">
        <is>
          <t>Radiology</t>
        </is>
      </c>
      <c r="G85" s="26" t="inlineStr">
        <is>
          <t>2026-09-17</t>
        </is>
      </c>
      <c r="H85" s="26" t="inlineStr">
        <is>
          <t>RAD-KNEE-2V</t>
        </is>
      </c>
      <c r="I85" s="26" t="inlineStr">
        <is>
          <t>Knee X-ray, 1-2 Views</t>
        </is>
      </c>
      <c r="J85" s="26" t="inlineStr">
        <is>
          <t>0320</t>
        </is>
      </c>
      <c r="K85" s="26" t="inlineStr">
        <is>
          <t>73560</t>
        </is>
      </c>
      <c r="L85" s="26" t="n"/>
      <c r="M85" s="26" t="n">
        <v>1</v>
      </c>
      <c r="N85" s="13" t="n">
        <v>410</v>
      </c>
      <c r="O85" s="13">
        <f>M85*N85</f>
        <v/>
      </c>
      <c r="P85" s="13" t="n">
        <v>180.98</v>
      </c>
      <c r="Q85" s="13">
        <f>P85*20%</f>
        <v/>
      </c>
      <c r="R85" s="13">
        <f>O85-P85</f>
        <v/>
      </c>
      <c r="S85" s="26" t="inlineStr">
        <is>
          <t>Athena Health Insurance</t>
        </is>
      </c>
      <c r="T85" s="26" t="inlineStr">
        <is>
          <t>Athena PPO</t>
        </is>
      </c>
      <c r="U85" s="26" t="n"/>
      <c r="V85" s="26" t="inlineStr">
        <is>
          <t>Eleanor Brooks, MD</t>
        </is>
      </c>
      <c r="W85" s="26" t="inlineStr">
        <is>
          <t>Assigned Department Provider</t>
        </is>
      </c>
      <c r="X85" s="26" t="inlineStr">
        <is>
          <t>RIS/PACS</t>
        </is>
      </c>
      <c r="Y85" s="26" t="inlineStr">
        <is>
          <t>Exam completed</t>
        </is>
      </c>
      <c r="Z85" s="26" t="inlineStr">
        <is>
          <t>Posted</t>
        </is>
      </c>
      <c r="AA85" s="26" t="inlineStr">
        <is>
          <t>Matched</t>
        </is>
      </c>
      <c r="AB85" s="26" t="inlineStr">
        <is>
          <t>Passed</t>
        </is>
      </c>
      <c r="AC85" s="26" t="n"/>
      <c r="AD85" s="26" t="inlineStr">
        <is>
          <t>Diagnosis/LCD</t>
        </is>
      </c>
      <c r="AE85" s="26" t="inlineStr">
        <is>
          <t>M25.561</t>
        </is>
      </c>
      <c r="AF85" s="26" t="inlineStr">
        <is>
          <t>21</t>
        </is>
      </c>
      <c r="AG85" s="26" t="inlineStr">
        <is>
          <t>2026-09-17 16:30</t>
        </is>
      </c>
      <c r="AH85" s="26" t="inlineStr">
        <is>
          <t>Synthetic Athena negotiated charge</t>
        </is>
      </c>
    </row>
    <row r="86">
      <c r="A86" s="26" t="inlineStr">
        <is>
          <t>IPD-CHG-0041-CGH</t>
        </is>
      </c>
      <c r="B86" s="26" t="inlineStr">
        <is>
          <t>HAR-202600041-CGH</t>
        </is>
      </c>
      <c r="C86" s="26" t="inlineStr">
        <is>
          <t>CSN-IPD-780041-CGH</t>
        </is>
      </c>
      <c r="D86" s="26" t="inlineStr">
        <is>
          <t>Inpatient</t>
        </is>
      </c>
      <c r="E86" s="26" t="inlineStr">
        <is>
          <t>Demo Regional Medical Center</t>
        </is>
      </c>
      <c r="F86" s="26" t="inlineStr">
        <is>
          <t>Radiology</t>
        </is>
      </c>
      <c r="G86" s="26" t="inlineStr">
        <is>
          <t>2026-09-17</t>
        </is>
      </c>
      <c r="H86" s="26" t="inlineStr">
        <is>
          <t>RAD-KNEE-2V</t>
        </is>
      </c>
      <c r="I86" s="26" t="inlineStr">
        <is>
          <t>Knee X-ray, 1-2 Views</t>
        </is>
      </c>
      <c r="J86" s="26" t="inlineStr">
        <is>
          <t>0320</t>
        </is>
      </c>
      <c r="K86" s="26" t="inlineStr">
        <is>
          <t>73560</t>
        </is>
      </c>
      <c r="L86" s="26" t="n"/>
      <c r="M86" s="26" t="n">
        <v>1</v>
      </c>
      <c r="N86" s="13" t="n">
        <v>410</v>
      </c>
      <c r="O86" s="13">
        <f>M86*N86</f>
        <v/>
      </c>
      <c r="P86" s="13" t="n">
        <v>162.88</v>
      </c>
      <c r="Q86" s="13">
        <f>P86*15%</f>
        <v/>
      </c>
      <c r="R86" s="13">
        <f>O86-P86</f>
        <v/>
      </c>
      <c r="S86" s="26" t="inlineStr">
        <is>
          <t>Care Gap Health</t>
        </is>
      </c>
      <c r="T86" s="26" t="inlineStr">
        <is>
          <t>Care Gap Value PPO</t>
        </is>
      </c>
      <c r="U86" s="26" t="n"/>
      <c r="V86" s="26" t="inlineStr">
        <is>
          <t>Eleanor Brooks, MD</t>
        </is>
      </c>
      <c r="W86" s="26" t="inlineStr">
        <is>
          <t>Assigned Department Provider</t>
        </is>
      </c>
      <c r="X86" s="26" t="inlineStr">
        <is>
          <t>RIS/PACS</t>
        </is>
      </c>
      <c r="Y86" s="26" t="inlineStr">
        <is>
          <t>Exam completed</t>
        </is>
      </c>
      <c r="Z86" s="26" t="inlineStr">
        <is>
          <t>Posted</t>
        </is>
      </c>
      <c r="AA86" s="26" t="inlineStr">
        <is>
          <t>Matched</t>
        </is>
      </c>
      <c r="AB86" s="26" t="inlineStr">
        <is>
          <t>Passed</t>
        </is>
      </c>
      <c r="AC86" s="26" t="n"/>
      <c r="AD86" s="26" t="inlineStr">
        <is>
          <t>Diagnosis/LCD</t>
        </is>
      </c>
      <c r="AE86" s="26" t="inlineStr">
        <is>
          <t>M25.561</t>
        </is>
      </c>
      <c r="AF86" s="26" t="inlineStr">
        <is>
          <t>21</t>
        </is>
      </c>
      <c r="AG86" s="26" t="inlineStr">
        <is>
          <t>2026-09-17 16:30</t>
        </is>
      </c>
      <c r="AH86" s="26" t="inlineStr">
        <is>
          <t>Synthetic Care Gap charge; 10% below Athena allowed amount</t>
        </is>
      </c>
    </row>
    <row r="87">
      <c r="A87" s="26" t="inlineStr">
        <is>
          <t>IPD-CHG-0042-ATH</t>
        </is>
      </c>
      <c r="B87" s="26" t="inlineStr">
        <is>
          <t>HAR-202600042-ATH</t>
        </is>
      </c>
      <c r="C87" s="26" t="inlineStr">
        <is>
          <t>CSN-IPD-780042-ATH</t>
        </is>
      </c>
      <c r="D87" s="26" t="inlineStr">
        <is>
          <t>Inpatient</t>
        </is>
      </c>
      <c r="E87" s="26" t="inlineStr">
        <is>
          <t>Demo Regional Medical Center</t>
        </is>
      </c>
      <c r="F87" s="26" t="inlineStr">
        <is>
          <t>Cardiology</t>
        </is>
      </c>
      <c r="G87" s="26" t="inlineStr">
        <is>
          <t>2026-09-18</t>
        </is>
      </c>
      <c r="H87" s="26" t="inlineStr">
        <is>
          <t>CARD-ECG12</t>
        </is>
      </c>
      <c r="I87" s="26" t="inlineStr">
        <is>
          <t>12-Lead ECG</t>
        </is>
      </c>
      <c r="J87" s="26" t="inlineStr">
        <is>
          <t>0730</t>
        </is>
      </c>
      <c r="K87" s="26" t="inlineStr">
        <is>
          <t>93005</t>
        </is>
      </c>
      <c r="L87" s="26" t="n"/>
      <c r="M87" s="26" t="n">
        <v>1</v>
      </c>
      <c r="N87" s="13" t="n">
        <v>190</v>
      </c>
      <c r="O87" s="13">
        <f>M87*N87</f>
        <v/>
      </c>
      <c r="P87" s="13" t="n">
        <v>115.99</v>
      </c>
      <c r="Q87" s="13">
        <f>P87*20%</f>
        <v/>
      </c>
      <c r="R87" s="13">
        <f>O87-P87</f>
        <v/>
      </c>
      <c r="S87" s="26" t="inlineStr">
        <is>
          <t>Athena Health Insurance</t>
        </is>
      </c>
      <c r="T87" s="26" t="inlineStr">
        <is>
          <t>Athena PPO</t>
        </is>
      </c>
      <c r="U87" s="26" t="n"/>
      <c r="V87" s="26" t="inlineStr">
        <is>
          <t>Eleanor Brooks, MD</t>
        </is>
      </c>
      <c r="W87" s="26" t="inlineStr">
        <is>
          <t>Assigned Department Provider</t>
        </is>
      </c>
      <c r="X87" s="26" t="inlineStr">
        <is>
          <t>Cardiology</t>
        </is>
      </c>
      <c r="Y87" s="26" t="inlineStr">
        <is>
          <t>Test completed</t>
        </is>
      </c>
      <c r="Z87" s="26" t="inlineStr">
        <is>
          <t>Posted</t>
        </is>
      </c>
      <c r="AA87" s="26" t="inlineStr">
        <is>
          <t>Matched</t>
        </is>
      </c>
      <c r="AB87" s="26" t="inlineStr">
        <is>
          <t>Passed</t>
        </is>
      </c>
      <c r="AC87" s="26" t="n"/>
      <c r="AD87" s="26" t="inlineStr">
        <is>
          <t>Diagnosis/LCD</t>
        </is>
      </c>
      <c r="AE87" s="26" t="inlineStr">
        <is>
          <t>R07.9</t>
        </is>
      </c>
      <c r="AF87" s="26" t="inlineStr">
        <is>
          <t>21</t>
        </is>
      </c>
      <c r="AG87" s="26" t="inlineStr">
        <is>
          <t>2026-09-18 16:30</t>
        </is>
      </c>
      <c r="AH87" s="26" t="inlineStr">
        <is>
          <t>Synthetic Athena negotiated charge</t>
        </is>
      </c>
    </row>
    <row r="88">
      <c r="A88" s="26" t="inlineStr">
        <is>
          <t>IPD-CHG-0042-CGH</t>
        </is>
      </c>
      <c r="B88" s="26" t="inlineStr">
        <is>
          <t>HAR-202600042-CGH</t>
        </is>
      </c>
      <c r="C88" s="26" t="inlineStr">
        <is>
          <t>CSN-IPD-780042-CGH</t>
        </is>
      </c>
      <c r="D88" s="26" t="inlineStr">
        <is>
          <t>Inpatient</t>
        </is>
      </c>
      <c r="E88" s="26" t="inlineStr">
        <is>
          <t>Demo Regional Medical Center</t>
        </is>
      </c>
      <c r="F88" s="26" t="inlineStr">
        <is>
          <t>Cardiology</t>
        </is>
      </c>
      <c r="G88" s="26" t="inlineStr">
        <is>
          <t>2026-09-18</t>
        </is>
      </c>
      <c r="H88" s="26" t="inlineStr">
        <is>
          <t>CARD-ECG12</t>
        </is>
      </c>
      <c r="I88" s="26" t="inlineStr">
        <is>
          <t>12-Lead ECG</t>
        </is>
      </c>
      <c r="J88" s="26" t="inlineStr">
        <is>
          <t>0730</t>
        </is>
      </c>
      <c r="K88" s="26" t="inlineStr">
        <is>
          <t>93005</t>
        </is>
      </c>
      <c r="L88" s="26" t="n"/>
      <c r="M88" s="26" t="n">
        <v>1</v>
      </c>
      <c r="N88" s="13" t="n">
        <v>190</v>
      </c>
      <c r="O88" s="13">
        <f>M88*N88</f>
        <v/>
      </c>
      <c r="P88" s="13" t="n">
        <v>104.39</v>
      </c>
      <c r="Q88" s="13">
        <f>P88*15%</f>
        <v/>
      </c>
      <c r="R88" s="13">
        <f>O88-P88</f>
        <v/>
      </c>
      <c r="S88" s="26" t="inlineStr">
        <is>
          <t>Care Gap Health</t>
        </is>
      </c>
      <c r="T88" s="26" t="inlineStr">
        <is>
          <t>Care Gap Value PPO</t>
        </is>
      </c>
      <c r="U88" s="26" t="n"/>
      <c r="V88" s="26" t="inlineStr">
        <is>
          <t>Eleanor Brooks, MD</t>
        </is>
      </c>
      <c r="W88" s="26" t="inlineStr">
        <is>
          <t>Assigned Department Provider</t>
        </is>
      </c>
      <c r="X88" s="26" t="inlineStr">
        <is>
          <t>Cardiology</t>
        </is>
      </c>
      <c r="Y88" s="26" t="inlineStr">
        <is>
          <t>Test completed</t>
        </is>
      </c>
      <c r="Z88" s="26" t="inlineStr">
        <is>
          <t>Posted</t>
        </is>
      </c>
      <c r="AA88" s="26" t="inlineStr">
        <is>
          <t>Matched</t>
        </is>
      </c>
      <c r="AB88" s="26" t="inlineStr">
        <is>
          <t>Passed</t>
        </is>
      </c>
      <c r="AC88" s="26" t="n"/>
      <c r="AD88" s="26" t="inlineStr">
        <is>
          <t>Diagnosis/LCD</t>
        </is>
      </c>
      <c r="AE88" s="26" t="inlineStr">
        <is>
          <t>R07.9</t>
        </is>
      </c>
      <c r="AF88" s="26" t="inlineStr">
        <is>
          <t>21</t>
        </is>
      </c>
      <c r="AG88" s="26" t="inlineStr">
        <is>
          <t>2026-09-18 16:30</t>
        </is>
      </c>
      <c r="AH88" s="26" t="inlineStr">
        <is>
          <t>Synthetic Care Gap charge; 10% below Athena allowed amount</t>
        </is>
      </c>
    </row>
    <row r="89">
      <c r="A89" s="26" t="inlineStr">
        <is>
          <t>IPD-CHG-0043-ATH</t>
        </is>
      </c>
      <c r="B89" s="26" t="inlineStr">
        <is>
          <t>HAR-202600043-ATH</t>
        </is>
      </c>
      <c r="C89" s="26" t="inlineStr">
        <is>
          <t>CSN-IPD-780043-ATH</t>
        </is>
      </c>
      <c r="D89" s="26" t="inlineStr">
        <is>
          <t>Inpatient</t>
        </is>
      </c>
      <c r="E89" s="26" t="inlineStr">
        <is>
          <t>Demo Regional Medical Center</t>
        </is>
      </c>
      <c r="F89" s="26" t="inlineStr">
        <is>
          <t>Respiratory</t>
        </is>
      </c>
      <c r="G89" s="26" t="inlineStr">
        <is>
          <t>2026-09-19</t>
        </is>
      </c>
      <c r="H89" s="26" t="inlineStr">
        <is>
          <t>RESP-NEB</t>
        </is>
      </c>
      <c r="I89" s="26" t="inlineStr">
        <is>
          <t>Nebulizer Treatment</t>
        </is>
      </c>
      <c r="J89" s="26" t="inlineStr">
        <is>
          <t>0410</t>
        </is>
      </c>
      <c r="K89" s="26" t="inlineStr">
        <is>
          <t>94640</t>
        </is>
      </c>
      <c r="L89" s="26" t="n"/>
      <c r="M89" s="26" t="n">
        <v>1</v>
      </c>
      <c r="N89" s="13" t="n">
        <v>245</v>
      </c>
      <c r="O89" s="13">
        <f>M89*N89</f>
        <v/>
      </c>
      <c r="P89" s="13" t="n">
        <v>142.16</v>
      </c>
      <c r="Q89" s="13">
        <f>P89*20%</f>
        <v/>
      </c>
      <c r="R89" s="13">
        <f>O89-P89</f>
        <v/>
      </c>
      <c r="S89" s="26" t="inlineStr">
        <is>
          <t>Athena Health Insurance</t>
        </is>
      </c>
      <c r="T89" s="26" t="inlineStr">
        <is>
          <t>Athena PPO</t>
        </is>
      </c>
      <c r="U89" s="26" t="n"/>
      <c r="V89" s="26" t="inlineStr">
        <is>
          <t>Eleanor Brooks, MD</t>
        </is>
      </c>
      <c r="W89" s="26" t="inlineStr">
        <is>
          <t>Assigned Department Provider</t>
        </is>
      </c>
      <c r="X89" s="26" t="inlineStr">
        <is>
          <t>Respiratory</t>
        </is>
      </c>
      <c r="Y89" s="26" t="inlineStr">
        <is>
          <t>Treatment completed</t>
        </is>
      </c>
      <c r="Z89" s="26" t="inlineStr">
        <is>
          <t>Posted</t>
        </is>
      </c>
      <c r="AA89" s="26" t="inlineStr">
        <is>
          <t>Matched</t>
        </is>
      </c>
      <c r="AB89" s="26" t="inlineStr">
        <is>
          <t>Passed</t>
        </is>
      </c>
      <c r="AC89" s="26" t="n"/>
      <c r="AD89" s="26" t="inlineStr">
        <is>
          <t>Diagnosis/LCD</t>
        </is>
      </c>
      <c r="AE89" s="26" t="inlineStr">
        <is>
          <t>J45.901</t>
        </is>
      </c>
      <c r="AF89" s="26" t="inlineStr">
        <is>
          <t>21</t>
        </is>
      </c>
      <c r="AG89" s="26" t="inlineStr">
        <is>
          <t>2026-09-19 16:30</t>
        </is>
      </c>
      <c r="AH89" s="26" t="inlineStr">
        <is>
          <t>Synthetic Athena negotiated charge</t>
        </is>
      </c>
    </row>
    <row r="90">
      <c r="A90" s="26" t="inlineStr">
        <is>
          <t>IPD-CHG-0043-CGH</t>
        </is>
      </c>
      <c r="B90" s="26" t="inlineStr">
        <is>
          <t>HAR-202600043-CGH</t>
        </is>
      </c>
      <c r="C90" s="26" t="inlineStr">
        <is>
          <t>CSN-IPD-780043-CGH</t>
        </is>
      </c>
      <c r="D90" s="26" t="inlineStr">
        <is>
          <t>Inpatient</t>
        </is>
      </c>
      <c r="E90" s="26" t="inlineStr">
        <is>
          <t>Demo Regional Medical Center</t>
        </is>
      </c>
      <c r="F90" s="26" t="inlineStr">
        <is>
          <t>Respiratory</t>
        </is>
      </c>
      <c r="G90" s="26" t="inlineStr">
        <is>
          <t>2026-09-19</t>
        </is>
      </c>
      <c r="H90" s="26" t="inlineStr">
        <is>
          <t>RESP-NEB</t>
        </is>
      </c>
      <c r="I90" s="26" t="inlineStr">
        <is>
          <t>Nebulizer Treatment</t>
        </is>
      </c>
      <c r="J90" s="26" t="inlineStr">
        <is>
          <t>0410</t>
        </is>
      </c>
      <c r="K90" s="26" t="inlineStr">
        <is>
          <t>94640</t>
        </is>
      </c>
      <c r="L90" s="26" t="n"/>
      <c r="M90" s="26" t="n">
        <v>1</v>
      </c>
      <c r="N90" s="13" t="n">
        <v>245</v>
      </c>
      <c r="O90" s="13">
        <f>M90*N90</f>
        <v/>
      </c>
      <c r="P90" s="13" t="n">
        <v>127.94</v>
      </c>
      <c r="Q90" s="13">
        <f>P90*15%</f>
        <v/>
      </c>
      <c r="R90" s="13">
        <f>O90-P90</f>
        <v/>
      </c>
      <c r="S90" s="26" t="inlineStr">
        <is>
          <t>Care Gap Health</t>
        </is>
      </c>
      <c r="T90" s="26" t="inlineStr">
        <is>
          <t>Care Gap Value PPO</t>
        </is>
      </c>
      <c r="U90" s="26" t="n"/>
      <c r="V90" s="26" t="inlineStr">
        <is>
          <t>Eleanor Brooks, MD</t>
        </is>
      </c>
      <c r="W90" s="26" t="inlineStr">
        <is>
          <t>Assigned Department Provider</t>
        </is>
      </c>
      <c r="X90" s="26" t="inlineStr">
        <is>
          <t>Respiratory</t>
        </is>
      </c>
      <c r="Y90" s="26" t="inlineStr">
        <is>
          <t>Treatment completed</t>
        </is>
      </c>
      <c r="Z90" s="26" t="inlineStr">
        <is>
          <t>Posted</t>
        </is>
      </c>
      <c r="AA90" s="26" t="inlineStr">
        <is>
          <t>Matched</t>
        </is>
      </c>
      <c r="AB90" s="26" t="inlineStr">
        <is>
          <t>Passed</t>
        </is>
      </c>
      <c r="AC90" s="26" t="n"/>
      <c r="AD90" s="26" t="inlineStr">
        <is>
          <t>Diagnosis/LCD</t>
        </is>
      </c>
      <c r="AE90" s="26" t="inlineStr">
        <is>
          <t>J45.901</t>
        </is>
      </c>
      <c r="AF90" s="26" t="inlineStr">
        <is>
          <t>21</t>
        </is>
      </c>
      <c r="AG90" s="26" t="inlineStr">
        <is>
          <t>2026-09-19 16:30</t>
        </is>
      </c>
      <c r="AH90" s="26" t="inlineStr">
        <is>
          <t>Synthetic Care Gap charge; 10% below Athena allowed amount</t>
        </is>
      </c>
    </row>
    <row r="91">
      <c r="A91" s="26" t="inlineStr">
        <is>
          <t>IPD-CHG-0044-ATH</t>
        </is>
      </c>
      <c r="B91" s="26" t="inlineStr">
        <is>
          <t>HAR-202600044-ATH</t>
        </is>
      </c>
      <c r="C91" s="26" t="inlineStr">
        <is>
          <t>CSN-IPD-780044-ATH</t>
        </is>
      </c>
      <c r="D91" s="26" t="inlineStr">
        <is>
          <t>Inpatient</t>
        </is>
      </c>
      <c r="E91" s="26" t="inlineStr">
        <is>
          <t>Demo Regional Medical Center</t>
        </is>
      </c>
      <c r="F91" s="26" t="inlineStr">
        <is>
          <t>Physical Therapy</t>
        </is>
      </c>
      <c r="G91" s="26" t="inlineStr">
        <is>
          <t>2026-09-20</t>
        </is>
      </c>
      <c r="H91" s="26" t="inlineStr">
        <is>
          <t>PT-EVAL-LOW</t>
        </is>
      </c>
      <c r="I91" s="26" t="inlineStr">
        <is>
          <t>Physical Therapy Evaluation, Low Complexity</t>
        </is>
      </c>
      <c r="J91" s="26" t="inlineStr">
        <is>
          <t>0420</t>
        </is>
      </c>
      <c r="K91" s="26" t="inlineStr">
        <is>
          <t>97161</t>
        </is>
      </c>
      <c r="L91" s="26" t="n"/>
      <c r="M91" s="26" t="n">
        <v>1</v>
      </c>
      <c r="N91" s="13" t="n">
        <v>710</v>
      </c>
      <c r="O91" s="13">
        <f>M91*N91</f>
        <v/>
      </c>
      <c r="P91" s="13" t="n">
        <v>350.34</v>
      </c>
      <c r="Q91" s="13">
        <f>P91*20%</f>
        <v/>
      </c>
      <c r="R91" s="13">
        <f>O91-P91</f>
        <v/>
      </c>
      <c r="S91" s="26" t="inlineStr">
        <is>
          <t>Athena Health Insurance</t>
        </is>
      </c>
      <c r="T91" s="26" t="inlineStr">
        <is>
          <t>Athena PPO</t>
        </is>
      </c>
      <c r="U91" s="26" t="inlineStr">
        <is>
          <t>AUTH-700044</t>
        </is>
      </c>
      <c r="V91" s="26" t="inlineStr">
        <is>
          <t>Eleanor Brooks, MD</t>
        </is>
      </c>
      <c r="W91" s="26" t="inlineStr">
        <is>
          <t>Assigned Department Provider</t>
        </is>
      </c>
      <c r="X91" s="26" t="inlineStr">
        <is>
          <t>Therapy</t>
        </is>
      </c>
      <c r="Y91" s="26" t="inlineStr">
        <is>
          <t>Note signed</t>
        </is>
      </c>
      <c r="Z91" s="26" t="inlineStr">
        <is>
          <t>Posted</t>
        </is>
      </c>
      <c r="AA91" s="26" t="inlineStr">
        <is>
          <t>Matched</t>
        </is>
      </c>
      <c r="AB91" s="26" t="inlineStr">
        <is>
          <t>Passed</t>
        </is>
      </c>
      <c r="AC91" s="26" t="n"/>
      <c r="AD91" s="26" t="inlineStr">
        <is>
          <t>Plan benefits</t>
        </is>
      </c>
      <c r="AE91" s="26" t="inlineStr">
        <is>
          <t>R26.2</t>
        </is>
      </c>
      <c r="AF91" s="26" t="inlineStr">
        <is>
          <t>21</t>
        </is>
      </c>
      <c r="AG91" s="26" t="inlineStr">
        <is>
          <t>2026-09-20 16:30</t>
        </is>
      </c>
      <c r="AH91" s="26" t="inlineStr">
        <is>
          <t>Synthetic Athena negotiated charge</t>
        </is>
      </c>
    </row>
    <row r="92">
      <c r="A92" s="26" t="inlineStr">
        <is>
          <t>IPD-CHG-0044-CGH</t>
        </is>
      </c>
      <c r="B92" s="26" t="inlineStr">
        <is>
          <t>HAR-202600044-CGH</t>
        </is>
      </c>
      <c r="C92" s="26" t="inlineStr">
        <is>
          <t>CSN-IPD-780044-CGH</t>
        </is>
      </c>
      <c r="D92" s="26" t="inlineStr">
        <is>
          <t>Inpatient</t>
        </is>
      </c>
      <c r="E92" s="26" t="inlineStr">
        <is>
          <t>Demo Regional Medical Center</t>
        </is>
      </c>
      <c r="F92" s="26" t="inlineStr">
        <is>
          <t>Physical Therapy</t>
        </is>
      </c>
      <c r="G92" s="26" t="inlineStr">
        <is>
          <t>2026-09-20</t>
        </is>
      </c>
      <c r="H92" s="26" t="inlineStr">
        <is>
          <t>PT-EVAL-LOW</t>
        </is>
      </c>
      <c r="I92" s="26" t="inlineStr">
        <is>
          <t>Physical Therapy Evaluation, Low Complexity</t>
        </is>
      </c>
      <c r="J92" s="26" t="inlineStr">
        <is>
          <t>0420</t>
        </is>
      </c>
      <c r="K92" s="26" t="inlineStr">
        <is>
          <t>97161</t>
        </is>
      </c>
      <c r="L92" s="26" t="n"/>
      <c r="M92" s="26" t="n">
        <v>1</v>
      </c>
      <c r="N92" s="13" t="n">
        <v>710</v>
      </c>
      <c r="O92" s="13">
        <f>M92*N92</f>
        <v/>
      </c>
      <c r="P92" s="13" t="n">
        <v>315.31</v>
      </c>
      <c r="Q92" s="13">
        <f>P92*15%</f>
        <v/>
      </c>
      <c r="R92" s="13">
        <f>O92-P92</f>
        <v/>
      </c>
      <c r="S92" s="26" t="inlineStr">
        <is>
          <t>Care Gap Health</t>
        </is>
      </c>
      <c r="T92" s="26" t="inlineStr">
        <is>
          <t>Care Gap Value PPO</t>
        </is>
      </c>
      <c r="U92" s="26" t="inlineStr">
        <is>
          <t>AUTH-700044</t>
        </is>
      </c>
      <c r="V92" s="26" t="inlineStr">
        <is>
          <t>Eleanor Brooks, MD</t>
        </is>
      </c>
      <c r="W92" s="26" t="inlineStr">
        <is>
          <t>Assigned Department Provider</t>
        </is>
      </c>
      <c r="X92" s="26" t="inlineStr">
        <is>
          <t>Therapy</t>
        </is>
      </c>
      <c r="Y92" s="26" t="inlineStr">
        <is>
          <t>Note signed</t>
        </is>
      </c>
      <c r="Z92" s="26" t="inlineStr">
        <is>
          <t>Posted</t>
        </is>
      </c>
      <c r="AA92" s="26" t="inlineStr">
        <is>
          <t>Matched</t>
        </is>
      </c>
      <c r="AB92" s="26" t="inlineStr">
        <is>
          <t>Passed</t>
        </is>
      </c>
      <c r="AC92" s="26" t="n"/>
      <c r="AD92" s="26" t="inlineStr">
        <is>
          <t>Plan benefits</t>
        </is>
      </c>
      <c r="AE92" s="26" t="inlineStr">
        <is>
          <t>R26.2</t>
        </is>
      </c>
      <c r="AF92" s="26" t="inlineStr">
        <is>
          <t>21</t>
        </is>
      </c>
      <c r="AG92" s="26" t="inlineStr">
        <is>
          <t>2026-09-20 16:30</t>
        </is>
      </c>
      <c r="AH92" s="26" t="inlineStr">
        <is>
          <t>Synthetic Care Gap charge; 10% below Athena allowed amount</t>
        </is>
      </c>
    </row>
    <row r="93">
      <c r="A93" s="26" t="inlineStr">
        <is>
          <t>IPD-CHG-0045-ATH</t>
        </is>
      </c>
      <c r="B93" s="26" t="inlineStr">
        <is>
          <t>HAR-202600045-ATH</t>
        </is>
      </c>
      <c r="C93" s="26" t="inlineStr">
        <is>
          <t>CSN-IPD-780045-ATH</t>
        </is>
      </c>
      <c r="D93" s="26" t="inlineStr">
        <is>
          <t>Inpatient</t>
        </is>
      </c>
      <c r="E93" s="26" t="inlineStr">
        <is>
          <t>Demo Regional Medical Center</t>
        </is>
      </c>
      <c r="F93" s="26" t="inlineStr">
        <is>
          <t>Physical Therapy</t>
        </is>
      </c>
      <c r="G93" s="26" t="inlineStr">
        <is>
          <t>2026-09-21</t>
        </is>
      </c>
      <c r="H93" s="26" t="inlineStr">
        <is>
          <t>PT-THEREX-15</t>
        </is>
      </c>
      <c r="I93" s="26" t="inlineStr">
        <is>
          <t>Therapeutic Exercise, 15 Minutes</t>
        </is>
      </c>
      <c r="J93" s="26" t="inlineStr">
        <is>
          <t>0420</t>
        </is>
      </c>
      <c r="K93" s="26" t="inlineStr">
        <is>
          <t>97110</t>
        </is>
      </c>
      <c r="L93" s="26" t="n"/>
      <c r="M93" s="26" t="n">
        <v>6</v>
      </c>
      <c r="N93" s="13" t="n">
        <v>305</v>
      </c>
      <c r="O93" s="13">
        <f>M93*N93</f>
        <v/>
      </c>
      <c r="P93" s="13" t="n">
        <v>976.92</v>
      </c>
      <c r="Q93" s="13">
        <f>P93*20%</f>
        <v/>
      </c>
      <c r="R93" s="13">
        <f>O93-P93</f>
        <v/>
      </c>
      <c r="S93" s="26" t="inlineStr">
        <is>
          <t>Athena Health Insurance</t>
        </is>
      </c>
      <c r="T93" s="26" t="inlineStr">
        <is>
          <t>Athena PPO</t>
        </is>
      </c>
      <c r="U93" s="26" t="n"/>
      <c r="V93" s="26" t="inlineStr">
        <is>
          <t>Eleanor Brooks, MD</t>
        </is>
      </c>
      <c r="W93" s="26" t="inlineStr">
        <is>
          <t>Assigned Department Provider</t>
        </is>
      </c>
      <c r="X93" s="26" t="inlineStr">
        <is>
          <t>Therapy</t>
        </is>
      </c>
      <c r="Y93" s="26" t="inlineStr">
        <is>
          <t>Note signed</t>
        </is>
      </c>
      <c r="Z93" s="26" t="inlineStr">
        <is>
          <t>Posted</t>
        </is>
      </c>
      <c r="AA93" s="26" t="inlineStr">
        <is>
          <t>Matched</t>
        </is>
      </c>
      <c r="AB93" s="26" t="inlineStr">
        <is>
          <t>Passed</t>
        </is>
      </c>
      <c r="AC93" s="26" t="n"/>
      <c r="AD93" s="26" t="inlineStr">
        <is>
          <t>Timed units</t>
        </is>
      </c>
      <c r="AE93" s="26" t="inlineStr">
        <is>
          <t>M62.81</t>
        </is>
      </c>
      <c r="AF93" s="26" t="inlineStr">
        <is>
          <t>21</t>
        </is>
      </c>
      <c r="AG93" s="26" t="inlineStr">
        <is>
          <t>2026-09-21 16:30</t>
        </is>
      </c>
      <c r="AH93" s="26" t="inlineStr">
        <is>
          <t>Synthetic Athena negotiated charge</t>
        </is>
      </c>
    </row>
    <row r="94">
      <c r="A94" s="26" t="inlineStr">
        <is>
          <t>IPD-CHG-0045-CGH</t>
        </is>
      </c>
      <c r="B94" s="26" t="inlineStr">
        <is>
          <t>HAR-202600045-CGH</t>
        </is>
      </c>
      <c r="C94" s="26" t="inlineStr">
        <is>
          <t>CSN-IPD-780045-CGH</t>
        </is>
      </c>
      <c r="D94" s="26" t="inlineStr">
        <is>
          <t>Inpatient</t>
        </is>
      </c>
      <c r="E94" s="26" t="inlineStr">
        <is>
          <t>Demo Regional Medical Center</t>
        </is>
      </c>
      <c r="F94" s="26" t="inlineStr">
        <is>
          <t>Physical Therapy</t>
        </is>
      </c>
      <c r="G94" s="26" t="inlineStr">
        <is>
          <t>2026-09-21</t>
        </is>
      </c>
      <c r="H94" s="26" t="inlineStr">
        <is>
          <t>PT-THEREX-15</t>
        </is>
      </c>
      <c r="I94" s="26" t="inlineStr">
        <is>
          <t>Therapeutic Exercise, 15 Minutes</t>
        </is>
      </c>
      <c r="J94" s="26" t="inlineStr">
        <is>
          <t>0420</t>
        </is>
      </c>
      <c r="K94" s="26" t="inlineStr">
        <is>
          <t>97110</t>
        </is>
      </c>
      <c r="L94" s="26" t="n"/>
      <c r="M94" s="26" t="n">
        <v>6</v>
      </c>
      <c r="N94" s="13" t="n">
        <v>305</v>
      </c>
      <c r="O94" s="13">
        <f>M94*N94</f>
        <v/>
      </c>
      <c r="P94" s="13" t="n">
        <v>879.23</v>
      </c>
      <c r="Q94" s="13">
        <f>P94*15%</f>
        <v/>
      </c>
      <c r="R94" s="13">
        <f>O94-P94</f>
        <v/>
      </c>
      <c r="S94" s="26" t="inlineStr">
        <is>
          <t>Care Gap Health</t>
        </is>
      </c>
      <c r="T94" s="26" t="inlineStr">
        <is>
          <t>Care Gap Value PPO</t>
        </is>
      </c>
      <c r="U94" s="26" t="n"/>
      <c r="V94" s="26" t="inlineStr">
        <is>
          <t>Eleanor Brooks, MD</t>
        </is>
      </c>
      <c r="W94" s="26" t="inlineStr">
        <is>
          <t>Assigned Department Provider</t>
        </is>
      </c>
      <c r="X94" s="26" t="inlineStr">
        <is>
          <t>Therapy</t>
        </is>
      </c>
      <c r="Y94" s="26" t="inlineStr">
        <is>
          <t>Note signed</t>
        </is>
      </c>
      <c r="Z94" s="26" t="inlineStr">
        <is>
          <t>Posted</t>
        </is>
      </c>
      <c r="AA94" s="26" t="inlineStr">
        <is>
          <t>Matched</t>
        </is>
      </c>
      <c r="AB94" s="26" t="inlineStr">
        <is>
          <t>Passed</t>
        </is>
      </c>
      <c r="AC94" s="26" t="n"/>
      <c r="AD94" s="26" t="inlineStr">
        <is>
          <t>Timed units</t>
        </is>
      </c>
      <c r="AE94" s="26" t="inlineStr">
        <is>
          <t>M62.81</t>
        </is>
      </c>
      <c r="AF94" s="26" t="inlineStr">
        <is>
          <t>21</t>
        </is>
      </c>
      <c r="AG94" s="26" t="inlineStr">
        <is>
          <t>2026-09-21 16:30</t>
        </is>
      </c>
      <c r="AH94" s="26" t="inlineStr">
        <is>
          <t>Synthetic Care Gap charge; 10% below Athena allowed amount</t>
        </is>
      </c>
    </row>
    <row r="95">
      <c r="A95" s="26" t="inlineStr">
        <is>
          <t>IPD-CHG-0046-ATH</t>
        </is>
      </c>
      <c r="B95" s="26" t="inlineStr">
        <is>
          <t>HAR-202600046-ATH</t>
        </is>
      </c>
      <c r="C95" s="26" t="inlineStr">
        <is>
          <t>CSN-IPD-780046-ATH</t>
        </is>
      </c>
      <c r="D95" s="26" t="inlineStr">
        <is>
          <t>Inpatient</t>
        </is>
      </c>
      <c r="E95" s="26" t="inlineStr">
        <is>
          <t>Demo Regional Medical Center</t>
        </is>
      </c>
      <c r="F95" s="26" t="inlineStr">
        <is>
          <t>Occupational Therapy</t>
        </is>
      </c>
      <c r="G95" s="26" t="inlineStr">
        <is>
          <t>2026-09-22</t>
        </is>
      </c>
      <c r="H95" s="26" t="inlineStr">
        <is>
          <t>OT-EVAL-LOW</t>
        </is>
      </c>
      <c r="I95" s="26" t="inlineStr">
        <is>
          <t>Occupational Therapy Evaluation, Low Complexity</t>
        </is>
      </c>
      <c r="J95" s="26" t="inlineStr">
        <is>
          <t>0430</t>
        </is>
      </c>
      <c r="K95" s="26" t="inlineStr">
        <is>
          <t>97165</t>
        </is>
      </c>
      <c r="L95" s="26" t="n"/>
      <c r="M95" s="26" t="n">
        <v>1</v>
      </c>
      <c r="N95" s="13" t="n">
        <v>725</v>
      </c>
      <c r="O95" s="13">
        <f>M95*N95</f>
        <v/>
      </c>
      <c r="P95" s="13" t="n">
        <v>519.72</v>
      </c>
      <c r="Q95" s="13">
        <f>P95*20%</f>
        <v/>
      </c>
      <c r="R95" s="13">
        <f>O95-P95</f>
        <v/>
      </c>
      <c r="S95" s="26" t="inlineStr">
        <is>
          <t>Athena Health Insurance</t>
        </is>
      </c>
      <c r="T95" s="26" t="inlineStr">
        <is>
          <t>Athena PPO</t>
        </is>
      </c>
      <c r="U95" s="26" t="inlineStr">
        <is>
          <t>AUTH-700046</t>
        </is>
      </c>
      <c r="V95" s="26" t="inlineStr">
        <is>
          <t>Eleanor Brooks, MD</t>
        </is>
      </c>
      <c r="W95" s="26" t="inlineStr">
        <is>
          <t>Assigned Department Provider</t>
        </is>
      </c>
      <c r="X95" s="26" t="inlineStr">
        <is>
          <t>Therapy</t>
        </is>
      </c>
      <c r="Y95" s="26" t="inlineStr">
        <is>
          <t>Note signed</t>
        </is>
      </c>
      <c r="Z95" s="26" t="inlineStr">
        <is>
          <t>Posted</t>
        </is>
      </c>
      <c r="AA95" s="26" t="inlineStr">
        <is>
          <t>Matched</t>
        </is>
      </c>
      <c r="AB95" s="26" t="inlineStr">
        <is>
          <t>Review</t>
        </is>
      </c>
      <c r="AC95" s="26" t="inlineStr">
        <is>
          <t>WQ-OCC-03</t>
        </is>
      </c>
      <c r="AD95" s="26" t="inlineStr">
        <is>
          <t>Plan benefits</t>
        </is>
      </c>
      <c r="AE95" s="26" t="inlineStr">
        <is>
          <t>Z74.09</t>
        </is>
      </c>
      <c r="AF95" s="26" t="inlineStr">
        <is>
          <t>21</t>
        </is>
      </c>
      <c r="AG95" s="26" t="inlineStr">
        <is>
          <t>2026-09-22 16:30</t>
        </is>
      </c>
      <c r="AH95" s="26" t="inlineStr">
        <is>
          <t>Synthetic Athena negotiated charge</t>
        </is>
      </c>
    </row>
    <row r="96">
      <c r="A96" s="26" t="inlineStr">
        <is>
          <t>IPD-CHG-0046-CGH</t>
        </is>
      </c>
      <c r="B96" s="26" t="inlineStr">
        <is>
          <t>HAR-202600046-CGH</t>
        </is>
      </c>
      <c r="C96" s="26" t="inlineStr">
        <is>
          <t>CSN-IPD-780046-CGH</t>
        </is>
      </c>
      <c r="D96" s="26" t="inlineStr">
        <is>
          <t>Inpatient</t>
        </is>
      </c>
      <c r="E96" s="26" t="inlineStr">
        <is>
          <t>Demo Regional Medical Center</t>
        </is>
      </c>
      <c r="F96" s="26" t="inlineStr">
        <is>
          <t>Occupational Therapy</t>
        </is>
      </c>
      <c r="G96" s="26" t="inlineStr">
        <is>
          <t>2026-09-22</t>
        </is>
      </c>
      <c r="H96" s="26" t="inlineStr">
        <is>
          <t>OT-EVAL-LOW</t>
        </is>
      </c>
      <c r="I96" s="26" t="inlineStr">
        <is>
          <t>Occupational Therapy Evaluation, Low Complexity</t>
        </is>
      </c>
      <c r="J96" s="26" t="inlineStr">
        <is>
          <t>0430</t>
        </is>
      </c>
      <c r="K96" s="26" t="inlineStr">
        <is>
          <t>97165</t>
        </is>
      </c>
      <c r="L96" s="26" t="n"/>
      <c r="M96" s="26" t="n">
        <v>1</v>
      </c>
      <c r="N96" s="13" t="n">
        <v>725</v>
      </c>
      <c r="O96" s="13">
        <f>M96*N96</f>
        <v/>
      </c>
      <c r="P96" s="13" t="n">
        <v>467.75</v>
      </c>
      <c r="Q96" s="13">
        <f>P96*15%</f>
        <v/>
      </c>
      <c r="R96" s="13">
        <f>O96-P96</f>
        <v/>
      </c>
      <c r="S96" s="26" t="inlineStr">
        <is>
          <t>Care Gap Health</t>
        </is>
      </c>
      <c r="T96" s="26" t="inlineStr">
        <is>
          <t>Care Gap Value PPO</t>
        </is>
      </c>
      <c r="U96" s="26" t="inlineStr">
        <is>
          <t>AUTH-700046</t>
        </is>
      </c>
      <c r="V96" s="26" t="inlineStr">
        <is>
          <t>Eleanor Brooks, MD</t>
        </is>
      </c>
      <c r="W96" s="26" t="inlineStr">
        <is>
          <t>Assigned Department Provider</t>
        </is>
      </c>
      <c r="X96" s="26" t="inlineStr">
        <is>
          <t>Therapy</t>
        </is>
      </c>
      <c r="Y96" s="26" t="inlineStr">
        <is>
          <t>Note signed</t>
        </is>
      </c>
      <c r="Z96" s="26" t="inlineStr">
        <is>
          <t>Posted</t>
        </is>
      </c>
      <c r="AA96" s="26" t="inlineStr">
        <is>
          <t>Matched</t>
        </is>
      </c>
      <c r="AB96" s="26" t="inlineStr">
        <is>
          <t>Review</t>
        </is>
      </c>
      <c r="AC96" s="26" t="inlineStr">
        <is>
          <t>WQ-OCC-03</t>
        </is>
      </c>
      <c r="AD96" s="26" t="inlineStr">
        <is>
          <t>Plan benefits</t>
        </is>
      </c>
      <c r="AE96" s="26" t="inlineStr">
        <is>
          <t>Z74.09</t>
        </is>
      </c>
      <c r="AF96" s="26" t="inlineStr">
        <is>
          <t>21</t>
        </is>
      </c>
      <c r="AG96" s="26" t="inlineStr">
        <is>
          <t>2026-09-22 16:30</t>
        </is>
      </c>
      <c r="AH96" s="26" t="inlineStr">
        <is>
          <t>Synthetic Care Gap charge; 10% below Athena allowed amount</t>
        </is>
      </c>
    </row>
    <row r="97">
      <c r="A97" s="26" t="inlineStr">
        <is>
          <t>IPD-CHG-0047-ATH</t>
        </is>
      </c>
      <c r="B97" s="26" t="inlineStr">
        <is>
          <t>HAR-202600047-ATH</t>
        </is>
      </c>
      <c r="C97" s="26" t="inlineStr">
        <is>
          <t>CSN-IPD-780047-ATH</t>
        </is>
      </c>
      <c r="D97" s="26" t="inlineStr">
        <is>
          <t>Inpatient</t>
        </is>
      </c>
      <c r="E97" s="26" t="inlineStr">
        <is>
          <t>Demo Regional Medical Center</t>
        </is>
      </c>
      <c r="F97" s="26" t="inlineStr">
        <is>
          <t>Nutrition</t>
        </is>
      </c>
      <c r="G97" s="26" t="inlineStr">
        <is>
          <t>2026-09-23</t>
        </is>
      </c>
      <c r="H97" s="26" t="inlineStr">
        <is>
          <t>NUTR-ASSESS</t>
        </is>
      </c>
      <c r="I97" s="26" t="inlineStr">
        <is>
          <t>Inpatient Nutrition Assessment</t>
        </is>
      </c>
      <c r="J97" s="26" t="inlineStr">
        <is>
          <t>0942</t>
        </is>
      </c>
      <c r="K97" s="26" t="inlineStr">
        <is>
          <t>97802</t>
        </is>
      </c>
      <c r="L97" s="26" t="n"/>
      <c r="M97" s="26" t="n">
        <v>1</v>
      </c>
      <c r="N97" s="13" t="n">
        <v>325</v>
      </c>
      <c r="O97" s="13">
        <f>M97*N97</f>
        <v/>
      </c>
      <c r="P97" s="13" t="n">
        <v>198.9</v>
      </c>
      <c r="Q97" s="13">
        <f>P97*20%</f>
        <v/>
      </c>
      <c r="R97" s="13">
        <f>O97-P97</f>
        <v/>
      </c>
      <c r="S97" s="26" t="inlineStr">
        <is>
          <t>Athena Health Insurance</t>
        </is>
      </c>
      <c r="T97" s="26" t="inlineStr">
        <is>
          <t>Athena PPO</t>
        </is>
      </c>
      <c r="U97" s="26" t="n"/>
      <c r="V97" s="26" t="inlineStr">
        <is>
          <t>Eleanor Brooks, MD</t>
        </is>
      </c>
      <c r="W97" s="26" t="inlineStr">
        <is>
          <t>Assigned Department Provider</t>
        </is>
      </c>
      <c r="X97" s="26" t="inlineStr">
        <is>
          <t>Dietary</t>
        </is>
      </c>
      <c r="Y97" s="26" t="inlineStr">
        <is>
          <t>Note signed</t>
        </is>
      </c>
      <c r="Z97" s="26" t="inlineStr">
        <is>
          <t>Posted</t>
        </is>
      </c>
      <c r="AA97" s="26" t="inlineStr">
        <is>
          <t>Matched</t>
        </is>
      </c>
      <c r="AB97" s="26" t="inlineStr">
        <is>
          <t>Passed</t>
        </is>
      </c>
      <c r="AC97" s="26" t="n"/>
      <c r="AD97" s="26" t="inlineStr">
        <is>
          <t>N/A</t>
        </is>
      </c>
      <c r="AE97" s="26" t="inlineStr">
        <is>
          <t>E44.1</t>
        </is>
      </c>
      <c r="AF97" s="26" t="inlineStr">
        <is>
          <t>21</t>
        </is>
      </c>
      <c r="AG97" s="26" t="inlineStr">
        <is>
          <t>2026-09-23 16:30</t>
        </is>
      </c>
      <c r="AH97" s="26" t="inlineStr">
        <is>
          <t>Synthetic Athena negotiated charge</t>
        </is>
      </c>
    </row>
    <row r="98">
      <c r="A98" s="26" t="inlineStr">
        <is>
          <t>IPD-CHG-0047-CGH</t>
        </is>
      </c>
      <c r="B98" s="26" t="inlineStr">
        <is>
          <t>HAR-202600047-CGH</t>
        </is>
      </c>
      <c r="C98" s="26" t="inlineStr">
        <is>
          <t>CSN-IPD-780047-CGH</t>
        </is>
      </c>
      <c r="D98" s="26" t="inlineStr">
        <is>
          <t>Inpatient</t>
        </is>
      </c>
      <c r="E98" s="26" t="inlineStr">
        <is>
          <t>Demo Regional Medical Center</t>
        </is>
      </c>
      <c r="F98" s="26" t="inlineStr">
        <is>
          <t>Nutrition</t>
        </is>
      </c>
      <c r="G98" s="26" t="inlineStr">
        <is>
          <t>2026-09-23</t>
        </is>
      </c>
      <c r="H98" s="26" t="inlineStr">
        <is>
          <t>NUTR-ASSESS</t>
        </is>
      </c>
      <c r="I98" s="26" t="inlineStr">
        <is>
          <t>Inpatient Nutrition Assessment</t>
        </is>
      </c>
      <c r="J98" s="26" t="inlineStr">
        <is>
          <t>0942</t>
        </is>
      </c>
      <c r="K98" s="26" t="inlineStr">
        <is>
          <t>97802</t>
        </is>
      </c>
      <c r="L98" s="26" t="n"/>
      <c r="M98" s="26" t="n">
        <v>1</v>
      </c>
      <c r="N98" s="13" t="n">
        <v>325</v>
      </c>
      <c r="O98" s="13">
        <f>M98*N98</f>
        <v/>
      </c>
      <c r="P98" s="13" t="n">
        <v>179.01</v>
      </c>
      <c r="Q98" s="13">
        <f>P98*15%</f>
        <v/>
      </c>
      <c r="R98" s="13">
        <f>O98-P98</f>
        <v/>
      </c>
      <c r="S98" s="26" t="inlineStr">
        <is>
          <t>Care Gap Health</t>
        </is>
      </c>
      <c r="T98" s="26" t="inlineStr">
        <is>
          <t>Care Gap Value PPO</t>
        </is>
      </c>
      <c r="U98" s="26" t="n"/>
      <c r="V98" s="26" t="inlineStr">
        <is>
          <t>Eleanor Brooks, MD</t>
        </is>
      </c>
      <c r="W98" s="26" t="inlineStr">
        <is>
          <t>Assigned Department Provider</t>
        </is>
      </c>
      <c r="X98" s="26" t="inlineStr">
        <is>
          <t>Dietary</t>
        </is>
      </c>
      <c r="Y98" s="26" t="inlineStr">
        <is>
          <t>Note signed</t>
        </is>
      </c>
      <c r="Z98" s="26" t="inlineStr">
        <is>
          <t>Posted</t>
        </is>
      </c>
      <c r="AA98" s="26" t="inlineStr">
        <is>
          <t>Matched</t>
        </is>
      </c>
      <c r="AB98" s="26" t="inlineStr">
        <is>
          <t>Passed</t>
        </is>
      </c>
      <c r="AC98" s="26" t="n"/>
      <c r="AD98" s="26" t="inlineStr">
        <is>
          <t>N/A</t>
        </is>
      </c>
      <c r="AE98" s="26" t="inlineStr">
        <is>
          <t>E44.1</t>
        </is>
      </c>
      <c r="AF98" s="26" t="inlineStr">
        <is>
          <t>21</t>
        </is>
      </c>
      <c r="AG98" s="26" t="inlineStr">
        <is>
          <t>2026-09-23 16:30</t>
        </is>
      </c>
      <c r="AH98" s="26" t="inlineStr">
        <is>
          <t>Synthetic Care Gap charge; 10% below Athena allowed amount</t>
        </is>
      </c>
    </row>
    <row r="99">
      <c r="A99" s="26" t="inlineStr">
        <is>
          <t>IPD-CHG-0048-ATH</t>
        </is>
      </c>
      <c r="B99" s="26" t="inlineStr">
        <is>
          <t>HAR-202600048-ATH</t>
        </is>
      </c>
      <c r="C99" s="26" t="inlineStr">
        <is>
          <t>CSN-IPD-780048-ATH</t>
        </is>
      </c>
      <c r="D99" s="26" t="inlineStr">
        <is>
          <t>Inpatient</t>
        </is>
      </c>
      <c r="E99" s="26" t="inlineStr">
        <is>
          <t>Demo Regional Medical Center</t>
        </is>
      </c>
      <c r="F99" s="26" t="inlineStr">
        <is>
          <t>Dialysis</t>
        </is>
      </c>
      <c r="G99" s="26" t="inlineStr">
        <is>
          <t>2026-09-24</t>
        </is>
      </c>
      <c r="H99" s="26" t="inlineStr">
        <is>
          <t>DIALYSIS-IP</t>
        </is>
      </c>
      <c r="I99" s="26" t="inlineStr">
        <is>
          <t>Inpatient Hemodialysis Treatment</t>
        </is>
      </c>
      <c r="J99" s="26" t="inlineStr">
        <is>
          <t>0801</t>
        </is>
      </c>
      <c r="K99" s="26" t="inlineStr">
        <is>
          <t>90935</t>
        </is>
      </c>
      <c r="L99" s="26" t="n"/>
      <c r="M99" s="26" t="n">
        <v>1</v>
      </c>
      <c r="N99" s="13" t="n">
        <v>1600</v>
      </c>
      <c r="O99" s="13">
        <f>M99*N99</f>
        <v/>
      </c>
      <c r="P99" s="13" t="n">
        <v>939.34</v>
      </c>
      <c r="Q99" s="13">
        <f>P99*20%</f>
        <v/>
      </c>
      <c r="R99" s="13">
        <f>O99-P99</f>
        <v/>
      </c>
      <c r="S99" s="26" t="inlineStr">
        <is>
          <t>Athena Health Insurance</t>
        </is>
      </c>
      <c r="T99" s="26" t="inlineStr">
        <is>
          <t>Athena PPO</t>
        </is>
      </c>
      <c r="U99" s="26" t="n"/>
      <c r="V99" s="26" t="inlineStr">
        <is>
          <t>Eleanor Brooks, MD</t>
        </is>
      </c>
      <c r="W99" s="26" t="inlineStr">
        <is>
          <t>Assigned Department Provider</t>
        </is>
      </c>
      <c r="X99" s="26" t="inlineStr">
        <is>
          <t>Dialysis</t>
        </is>
      </c>
      <c r="Y99" s="26" t="inlineStr">
        <is>
          <t>Treatment completed</t>
        </is>
      </c>
      <c r="Z99" s="26" t="inlineStr">
        <is>
          <t>Posted</t>
        </is>
      </c>
      <c r="AA99" s="26" t="inlineStr">
        <is>
          <t>Matched</t>
        </is>
      </c>
      <c r="AB99" s="26" t="inlineStr">
        <is>
          <t>Passed</t>
        </is>
      </c>
      <c r="AC99" s="26" t="n"/>
      <c r="AD99" s="26" t="inlineStr">
        <is>
          <t>Diagnosis/LCD</t>
        </is>
      </c>
      <c r="AE99" s="26" t="inlineStr">
        <is>
          <t>N18.6</t>
        </is>
      </c>
      <c r="AF99" s="26" t="inlineStr">
        <is>
          <t>21</t>
        </is>
      </c>
      <c r="AG99" s="26" t="inlineStr">
        <is>
          <t>2026-09-24 16:30</t>
        </is>
      </c>
      <c r="AH99" s="26" t="inlineStr">
        <is>
          <t>Synthetic Athena negotiated charge</t>
        </is>
      </c>
    </row>
    <row r="100">
      <c r="A100" s="26" t="inlineStr">
        <is>
          <t>IPD-CHG-0048-CGH</t>
        </is>
      </c>
      <c r="B100" s="26" t="inlineStr">
        <is>
          <t>HAR-202600048-CGH</t>
        </is>
      </c>
      <c r="C100" s="26" t="inlineStr">
        <is>
          <t>CSN-IPD-780048-CGH</t>
        </is>
      </c>
      <c r="D100" s="26" t="inlineStr">
        <is>
          <t>Inpatient</t>
        </is>
      </c>
      <c r="E100" s="26" t="inlineStr">
        <is>
          <t>Demo Regional Medical Center</t>
        </is>
      </c>
      <c r="F100" s="26" t="inlineStr">
        <is>
          <t>Dialysis</t>
        </is>
      </c>
      <c r="G100" s="26" t="inlineStr">
        <is>
          <t>2026-09-24</t>
        </is>
      </c>
      <c r="H100" s="26" t="inlineStr">
        <is>
          <t>DIALYSIS-IP</t>
        </is>
      </c>
      <c r="I100" s="26" t="inlineStr">
        <is>
          <t>Inpatient Hemodialysis Treatment</t>
        </is>
      </c>
      <c r="J100" s="26" t="inlineStr">
        <is>
          <t>0801</t>
        </is>
      </c>
      <c r="K100" s="26" t="inlineStr">
        <is>
          <t>90935</t>
        </is>
      </c>
      <c r="L100" s="26" t="n"/>
      <c r="M100" s="26" t="n">
        <v>1</v>
      </c>
      <c r="N100" s="13" t="n">
        <v>1600</v>
      </c>
      <c r="O100" s="13">
        <f>M100*N100</f>
        <v/>
      </c>
      <c r="P100" s="13" t="n">
        <v>845.41</v>
      </c>
      <c r="Q100" s="13">
        <f>P100*15%</f>
        <v/>
      </c>
      <c r="R100" s="13">
        <f>O100-P100</f>
        <v/>
      </c>
      <c r="S100" s="26" t="inlineStr">
        <is>
          <t>Care Gap Health</t>
        </is>
      </c>
      <c r="T100" s="26" t="inlineStr">
        <is>
          <t>Care Gap Value PPO</t>
        </is>
      </c>
      <c r="U100" s="26" t="n"/>
      <c r="V100" s="26" t="inlineStr">
        <is>
          <t>Eleanor Brooks, MD</t>
        </is>
      </c>
      <c r="W100" s="26" t="inlineStr">
        <is>
          <t>Assigned Department Provider</t>
        </is>
      </c>
      <c r="X100" s="26" t="inlineStr">
        <is>
          <t>Dialysis</t>
        </is>
      </c>
      <c r="Y100" s="26" t="inlineStr">
        <is>
          <t>Treatment completed</t>
        </is>
      </c>
      <c r="Z100" s="26" t="inlineStr">
        <is>
          <t>Posted</t>
        </is>
      </c>
      <c r="AA100" s="26" t="inlineStr">
        <is>
          <t>Matched</t>
        </is>
      </c>
      <c r="AB100" s="26" t="inlineStr">
        <is>
          <t>Passed</t>
        </is>
      </c>
      <c r="AC100" s="26" t="n"/>
      <c r="AD100" s="26" t="inlineStr">
        <is>
          <t>Diagnosis/LCD</t>
        </is>
      </c>
      <c r="AE100" s="26" t="inlineStr">
        <is>
          <t>N18.6</t>
        </is>
      </c>
      <c r="AF100" s="26" t="inlineStr">
        <is>
          <t>21</t>
        </is>
      </c>
      <c r="AG100" s="26" t="inlineStr">
        <is>
          <t>2026-09-24 16:30</t>
        </is>
      </c>
      <c r="AH100" s="26" t="inlineStr">
        <is>
          <t>Synthetic Care Gap charge; 10% below Athena allowed amount</t>
        </is>
      </c>
    </row>
    <row r="101">
      <c r="A101" s="26" t="inlineStr">
        <is>
          <t>IPD-CHG-0049-ATH</t>
        </is>
      </c>
      <c r="B101" s="26" t="inlineStr">
        <is>
          <t>HAR-202600049-ATH</t>
        </is>
      </c>
      <c r="C101" s="26" t="inlineStr">
        <is>
          <t>CSN-IPD-780049-ATH</t>
        </is>
      </c>
      <c r="D101" s="26" t="inlineStr">
        <is>
          <t>Inpatient</t>
        </is>
      </c>
      <c r="E101" s="26" t="inlineStr">
        <is>
          <t>Demo Regional Medical Center</t>
        </is>
      </c>
      <c r="F101" s="26" t="inlineStr">
        <is>
          <t>Accommodation</t>
        </is>
      </c>
      <c r="G101" s="26" t="inlineStr">
        <is>
          <t>2026-09-25</t>
        </is>
      </c>
      <c r="H101" s="26" t="inlineStr">
        <is>
          <t>RM-SEMI-DAY</t>
        </is>
      </c>
      <c r="I101" s="26" t="inlineStr">
        <is>
          <t>Semiprivate Medical/Surgical Room</t>
        </is>
      </c>
      <c r="J101" s="26" t="inlineStr">
        <is>
          <t>0120</t>
        </is>
      </c>
      <c r="K101" s="26" t="n"/>
      <c r="L101" s="26" t="n"/>
      <c r="M101" s="26" t="n">
        <v>3</v>
      </c>
      <c r="N101" s="13" t="n">
        <v>3500</v>
      </c>
      <c r="O101" s="13">
        <f>M101*N101</f>
        <v/>
      </c>
      <c r="P101" s="13" t="n">
        <v>7064.98</v>
      </c>
      <c r="Q101" s="13">
        <f>P101*20%</f>
        <v/>
      </c>
      <c r="R101" s="13">
        <f>O101-P101</f>
        <v/>
      </c>
      <c r="S101" s="26" t="inlineStr">
        <is>
          <t>Athena Health Insurance</t>
        </is>
      </c>
      <c r="T101" s="26" t="inlineStr">
        <is>
          <t>Athena PPO</t>
        </is>
      </c>
      <c r="U101" s="26" t="n"/>
      <c r="V101" s="26" t="inlineStr">
        <is>
          <t>Eleanor Brooks, MD</t>
        </is>
      </c>
      <c r="W101" s="26" t="inlineStr">
        <is>
          <t>Assigned Department Provider</t>
        </is>
      </c>
      <c r="X101" s="26" t="inlineStr">
        <is>
          <t>ADT</t>
        </is>
      </c>
      <c r="Y101" s="26" t="inlineStr">
        <is>
          <t>Midnight census</t>
        </is>
      </c>
      <c r="Z101" s="26" t="inlineStr">
        <is>
          <t>Posted</t>
        </is>
      </c>
      <c r="AA101" s="26" t="inlineStr">
        <is>
          <t>Matched</t>
        </is>
      </c>
      <c r="AB101" s="26" t="inlineStr">
        <is>
          <t>Passed</t>
        </is>
      </c>
      <c r="AC101" s="26" t="n"/>
      <c r="AD101" s="26" t="inlineStr">
        <is>
          <t>N/A</t>
        </is>
      </c>
      <c r="AE101" s="26" t="inlineStr">
        <is>
          <t>M17.11</t>
        </is>
      </c>
      <c r="AF101" s="26" t="inlineStr">
        <is>
          <t>21</t>
        </is>
      </c>
      <c r="AG101" s="26" t="inlineStr">
        <is>
          <t>2026-09-25 16:30</t>
        </is>
      </c>
      <c r="AH101" s="26" t="inlineStr">
        <is>
          <t>Synthetic Athena negotiated charge</t>
        </is>
      </c>
    </row>
    <row r="102">
      <c r="A102" s="26" t="inlineStr">
        <is>
          <t>IPD-CHG-0049-CGH</t>
        </is>
      </c>
      <c r="B102" s="26" t="inlineStr">
        <is>
          <t>HAR-202600049-CGH</t>
        </is>
      </c>
      <c r="C102" s="26" t="inlineStr">
        <is>
          <t>CSN-IPD-780049-CGH</t>
        </is>
      </c>
      <c r="D102" s="26" t="inlineStr">
        <is>
          <t>Inpatient</t>
        </is>
      </c>
      <c r="E102" s="26" t="inlineStr">
        <is>
          <t>Demo Regional Medical Center</t>
        </is>
      </c>
      <c r="F102" s="26" t="inlineStr">
        <is>
          <t>Accommodation</t>
        </is>
      </c>
      <c r="G102" s="26" t="inlineStr">
        <is>
          <t>2026-09-25</t>
        </is>
      </c>
      <c r="H102" s="26" t="inlineStr">
        <is>
          <t>RM-SEMI-DAY</t>
        </is>
      </c>
      <c r="I102" s="26" t="inlineStr">
        <is>
          <t>Semiprivate Medical/Surgical Room</t>
        </is>
      </c>
      <c r="J102" s="26" t="inlineStr">
        <is>
          <t>0120</t>
        </is>
      </c>
      <c r="K102" s="26" t="n"/>
      <c r="L102" s="26" t="n"/>
      <c r="M102" s="26" t="n">
        <v>3</v>
      </c>
      <c r="N102" s="13" t="n">
        <v>3500</v>
      </c>
      <c r="O102" s="13">
        <f>M102*N102</f>
        <v/>
      </c>
      <c r="P102" s="13" t="n">
        <v>6358.48</v>
      </c>
      <c r="Q102" s="13">
        <f>P102*15%</f>
        <v/>
      </c>
      <c r="R102" s="13">
        <f>O102-P102</f>
        <v/>
      </c>
      <c r="S102" s="26" t="inlineStr">
        <is>
          <t>Care Gap Health</t>
        </is>
      </c>
      <c r="T102" s="26" t="inlineStr">
        <is>
          <t>Care Gap Value PPO</t>
        </is>
      </c>
      <c r="U102" s="26" t="n"/>
      <c r="V102" s="26" t="inlineStr">
        <is>
          <t>Eleanor Brooks, MD</t>
        </is>
      </c>
      <c r="W102" s="26" t="inlineStr">
        <is>
          <t>Assigned Department Provider</t>
        </is>
      </c>
      <c r="X102" s="26" t="inlineStr">
        <is>
          <t>ADT</t>
        </is>
      </c>
      <c r="Y102" s="26" t="inlineStr">
        <is>
          <t>Midnight census</t>
        </is>
      </c>
      <c r="Z102" s="26" t="inlineStr">
        <is>
          <t>Posted</t>
        </is>
      </c>
      <c r="AA102" s="26" t="inlineStr">
        <is>
          <t>Matched</t>
        </is>
      </c>
      <c r="AB102" s="26" t="inlineStr">
        <is>
          <t>Passed</t>
        </is>
      </c>
      <c r="AC102" s="26" t="n"/>
      <c r="AD102" s="26" t="inlineStr">
        <is>
          <t>N/A</t>
        </is>
      </c>
      <c r="AE102" s="26" t="inlineStr">
        <is>
          <t>M17.11</t>
        </is>
      </c>
      <c r="AF102" s="26" t="inlineStr">
        <is>
          <t>21</t>
        </is>
      </c>
      <c r="AG102" s="26" t="inlineStr">
        <is>
          <t>2026-09-25 16:30</t>
        </is>
      </c>
      <c r="AH102" s="26" t="inlineStr">
        <is>
          <t>Synthetic Care Gap charge; 10% below Athena allowed amount</t>
        </is>
      </c>
    </row>
    <row r="103">
      <c r="A103" s="26" t="inlineStr">
        <is>
          <t>IPD-CHG-0050-ATH</t>
        </is>
      </c>
      <c r="B103" s="26" t="inlineStr">
        <is>
          <t>HAR-202600050-ATH</t>
        </is>
      </c>
      <c r="C103" s="26" t="inlineStr">
        <is>
          <t>CSN-IPD-780050-ATH</t>
        </is>
      </c>
      <c r="D103" s="26" t="inlineStr">
        <is>
          <t>Inpatient</t>
        </is>
      </c>
      <c r="E103" s="26" t="inlineStr">
        <is>
          <t>Demo Regional Medical Center</t>
        </is>
      </c>
      <c r="F103" s="26" t="inlineStr">
        <is>
          <t>Accommodation</t>
        </is>
      </c>
      <c r="G103" s="26" t="inlineStr">
        <is>
          <t>2026-09-01</t>
        </is>
      </c>
      <c r="H103" s="26" t="inlineStr">
        <is>
          <t>RM-PRIV-DAY</t>
        </is>
      </c>
      <c r="I103" s="26" t="inlineStr">
        <is>
          <t>Private Medical/Surgical Room</t>
        </is>
      </c>
      <c r="J103" s="26" t="inlineStr">
        <is>
          <t>0110</t>
        </is>
      </c>
      <c r="K103" s="26" t="n"/>
      <c r="L103" s="26" t="n"/>
      <c r="M103" s="26" t="n">
        <v>1</v>
      </c>
      <c r="N103" s="13" t="n">
        <v>4600</v>
      </c>
      <c r="O103" s="13">
        <f>M103*N103</f>
        <v/>
      </c>
      <c r="P103" s="13" t="n">
        <v>2248.09</v>
      </c>
      <c r="Q103" s="13">
        <f>P103*20%</f>
        <v/>
      </c>
      <c r="R103" s="13">
        <f>O103-P103</f>
        <v/>
      </c>
      <c r="S103" s="26" t="inlineStr">
        <is>
          <t>Athena Health Insurance</t>
        </is>
      </c>
      <c r="T103" s="26" t="inlineStr">
        <is>
          <t>Athena PPO</t>
        </is>
      </c>
      <c r="U103" s="26" t="n"/>
      <c r="V103" s="26" t="inlineStr">
        <is>
          <t>Eleanor Brooks, MD</t>
        </is>
      </c>
      <c r="W103" s="26" t="inlineStr">
        <is>
          <t>Assigned Department Provider</t>
        </is>
      </c>
      <c r="X103" s="26" t="inlineStr">
        <is>
          <t>ADT</t>
        </is>
      </c>
      <c r="Y103" s="26" t="inlineStr">
        <is>
          <t>Midnight census</t>
        </is>
      </c>
      <c r="Z103" s="26" t="inlineStr">
        <is>
          <t>Posted</t>
        </is>
      </c>
      <c r="AA103" s="26" t="inlineStr">
        <is>
          <t>Matched</t>
        </is>
      </c>
      <c r="AB103" s="26" t="inlineStr">
        <is>
          <t>Passed</t>
        </is>
      </c>
      <c r="AC103" s="26" t="n"/>
      <c r="AD103" s="26" t="inlineStr">
        <is>
          <t>N/A</t>
        </is>
      </c>
      <c r="AE103" s="26" t="inlineStr">
        <is>
          <t>M17.11</t>
        </is>
      </c>
      <c r="AF103" s="26" t="inlineStr">
        <is>
          <t>21</t>
        </is>
      </c>
      <c r="AG103" s="26" t="inlineStr">
        <is>
          <t>2026-09-01 16:30</t>
        </is>
      </c>
      <c r="AH103" s="26" t="inlineStr">
        <is>
          <t>Synthetic Athena negotiated charge</t>
        </is>
      </c>
    </row>
    <row r="104">
      <c r="A104" s="26" t="inlineStr">
        <is>
          <t>IPD-CHG-0050-CGH</t>
        </is>
      </c>
      <c r="B104" s="26" t="inlineStr">
        <is>
          <t>HAR-202600050-CGH</t>
        </is>
      </c>
      <c r="C104" s="26" t="inlineStr">
        <is>
          <t>CSN-IPD-780050-CGH</t>
        </is>
      </c>
      <c r="D104" s="26" t="inlineStr">
        <is>
          <t>Inpatient</t>
        </is>
      </c>
      <c r="E104" s="26" t="inlineStr">
        <is>
          <t>Demo Regional Medical Center</t>
        </is>
      </c>
      <c r="F104" s="26" t="inlineStr">
        <is>
          <t>Accommodation</t>
        </is>
      </c>
      <c r="G104" s="26" t="inlineStr">
        <is>
          <t>2026-09-01</t>
        </is>
      </c>
      <c r="H104" s="26" t="inlineStr">
        <is>
          <t>RM-PRIV-DAY</t>
        </is>
      </c>
      <c r="I104" s="26" t="inlineStr">
        <is>
          <t>Private Medical/Surgical Room</t>
        </is>
      </c>
      <c r="J104" s="26" t="inlineStr">
        <is>
          <t>0110</t>
        </is>
      </c>
      <c r="K104" s="26" t="n"/>
      <c r="L104" s="26" t="n"/>
      <c r="M104" s="26" t="n">
        <v>1</v>
      </c>
      <c r="N104" s="13" t="n">
        <v>4600</v>
      </c>
      <c r="O104" s="13">
        <f>M104*N104</f>
        <v/>
      </c>
      <c r="P104" s="13" t="n">
        <v>2023.28</v>
      </c>
      <c r="Q104" s="13">
        <f>P104*15%</f>
        <v/>
      </c>
      <c r="R104" s="13">
        <f>O104-P104</f>
        <v/>
      </c>
      <c r="S104" s="26" t="inlineStr">
        <is>
          <t>Care Gap Health</t>
        </is>
      </c>
      <c r="T104" s="26" t="inlineStr">
        <is>
          <t>Care Gap Value PPO</t>
        </is>
      </c>
      <c r="U104" s="26" t="n"/>
      <c r="V104" s="26" t="inlineStr">
        <is>
          <t>Eleanor Brooks, MD</t>
        </is>
      </c>
      <c r="W104" s="26" t="inlineStr">
        <is>
          <t>Assigned Department Provider</t>
        </is>
      </c>
      <c r="X104" s="26" t="inlineStr">
        <is>
          <t>ADT</t>
        </is>
      </c>
      <c r="Y104" s="26" t="inlineStr">
        <is>
          <t>Midnight census</t>
        </is>
      </c>
      <c r="Z104" s="26" t="inlineStr">
        <is>
          <t>Posted</t>
        </is>
      </c>
      <c r="AA104" s="26" t="inlineStr">
        <is>
          <t>Matched</t>
        </is>
      </c>
      <c r="AB104" s="26" t="inlineStr">
        <is>
          <t>Passed</t>
        </is>
      </c>
      <c r="AC104" s="26" t="n"/>
      <c r="AD104" s="26" t="inlineStr">
        <is>
          <t>N/A</t>
        </is>
      </c>
      <c r="AE104" s="26" t="inlineStr">
        <is>
          <t>M17.11</t>
        </is>
      </c>
      <c r="AF104" s="26" t="inlineStr">
        <is>
          <t>21</t>
        </is>
      </c>
      <c r="AG104" s="26" t="inlineStr">
        <is>
          <t>2026-09-01 16:30</t>
        </is>
      </c>
      <c r="AH104" s="26" t="inlineStr">
        <is>
          <t>Synthetic Care Gap charge; 10% below Athena allowed amount</t>
        </is>
      </c>
    </row>
    <row r="105">
      <c r="A105" s="26" t="inlineStr">
        <is>
          <t>IPD-CHG-0051-ATH</t>
        </is>
      </c>
      <c r="B105" s="26" t="inlineStr">
        <is>
          <t>HAR-202600051-ATH</t>
        </is>
      </c>
      <c r="C105" s="26" t="inlineStr">
        <is>
          <t>CSN-IPD-780051-ATH</t>
        </is>
      </c>
      <c r="D105" s="26" t="inlineStr">
        <is>
          <t>Inpatient</t>
        </is>
      </c>
      <c r="E105" s="26" t="inlineStr">
        <is>
          <t>Demo Regional Medical Center</t>
        </is>
      </c>
      <c r="F105" s="26" t="inlineStr">
        <is>
          <t>Intensive Care</t>
        </is>
      </c>
      <c r="G105" s="26" t="inlineStr">
        <is>
          <t>2026-09-02</t>
        </is>
      </c>
      <c r="H105" s="26" t="inlineStr">
        <is>
          <t>ICU-DAY</t>
        </is>
      </c>
      <c r="I105" s="26" t="inlineStr">
        <is>
          <t>Intensive Care Unit Room</t>
        </is>
      </c>
      <c r="J105" s="26" t="inlineStr">
        <is>
          <t>0200</t>
        </is>
      </c>
      <c r="K105" s="26" t="n"/>
      <c r="L105" s="26" t="n"/>
      <c r="M105" s="26" t="n">
        <v>1</v>
      </c>
      <c r="N105" s="13" t="n">
        <v>8200</v>
      </c>
      <c r="O105" s="13">
        <f>M105*N105</f>
        <v/>
      </c>
      <c r="P105" s="13" t="n">
        <v>5424.41</v>
      </c>
      <c r="Q105" s="13">
        <f>P105*20%</f>
        <v/>
      </c>
      <c r="R105" s="13">
        <f>O105-P105</f>
        <v/>
      </c>
      <c r="S105" s="26" t="inlineStr">
        <is>
          <t>Athena Health Insurance</t>
        </is>
      </c>
      <c r="T105" s="26" t="inlineStr">
        <is>
          <t>Athena PPO</t>
        </is>
      </c>
      <c r="U105" s="26" t="n"/>
      <c r="V105" s="26" t="inlineStr">
        <is>
          <t>Eleanor Brooks, MD</t>
        </is>
      </c>
      <c r="W105" s="26" t="inlineStr">
        <is>
          <t>Assigned Department Provider</t>
        </is>
      </c>
      <c r="X105" s="26" t="inlineStr">
        <is>
          <t>ADT</t>
        </is>
      </c>
      <c r="Y105" s="26" t="inlineStr">
        <is>
          <t>Midnight census</t>
        </is>
      </c>
      <c r="Z105" s="26" t="inlineStr">
        <is>
          <t>Posted</t>
        </is>
      </c>
      <c r="AA105" s="26" t="inlineStr">
        <is>
          <t>Matched</t>
        </is>
      </c>
      <c r="AB105" s="26" t="inlineStr">
        <is>
          <t>Passed</t>
        </is>
      </c>
      <c r="AC105" s="26" t="n"/>
      <c r="AD105" s="26" t="inlineStr">
        <is>
          <t>N/A</t>
        </is>
      </c>
      <c r="AE105" s="26" t="inlineStr">
        <is>
          <t>J96.01</t>
        </is>
      </c>
      <c r="AF105" s="26" t="inlineStr">
        <is>
          <t>21</t>
        </is>
      </c>
      <c r="AG105" s="26" t="inlineStr">
        <is>
          <t>2026-09-02 16:30</t>
        </is>
      </c>
      <c r="AH105" s="26" t="inlineStr">
        <is>
          <t>Synthetic Athena negotiated charge</t>
        </is>
      </c>
    </row>
    <row r="106">
      <c r="A106" s="26" t="inlineStr">
        <is>
          <t>IPD-CHG-0051-CGH</t>
        </is>
      </c>
      <c r="B106" s="26" t="inlineStr">
        <is>
          <t>HAR-202600051-CGH</t>
        </is>
      </c>
      <c r="C106" s="26" t="inlineStr">
        <is>
          <t>CSN-IPD-780051-CGH</t>
        </is>
      </c>
      <c r="D106" s="26" t="inlineStr">
        <is>
          <t>Inpatient</t>
        </is>
      </c>
      <c r="E106" s="26" t="inlineStr">
        <is>
          <t>Demo Regional Medical Center</t>
        </is>
      </c>
      <c r="F106" s="26" t="inlineStr">
        <is>
          <t>Intensive Care</t>
        </is>
      </c>
      <c r="G106" s="26" t="inlineStr">
        <is>
          <t>2026-09-02</t>
        </is>
      </c>
      <c r="H106" s="26" t="inlineStr">
        <is>
          <t>ICU-DAY</t>
        </is>
      </c>
      <c r="I106" s="26" t="inlineStr">
        <is>
          <t>Intensive Care Unit Room</t>
        </is>
      </c>
      <c r="J106" s="26" t="inlineStr">
        <is>
          <t>0200</t>
        </is>
      </c>
      <c r="K106" s="26" t="n"/>
      <c r="L106" s="26" t="n"/>
      <c r="M106" s="26" t="n">
        <v>1</v>
      </c>
      <c r="N106" s="13" t="n">
        <v>8200</v>
      </c>
      <c r="O106" s="13">
        <f>M106*N106</f>
        <v/>
      </c>
      <c r="P106" s="13" t="n">
        <v>4881.97</v>
      </c>
      <c r="Q106" s="13">
        <f>P106*15%</f>
        <v/>
      </c>
      <c r="R106" s="13">
        <f>O106-P106</f>
        <v/>
      </c>
      <c r="S106" s="26" t="inlineStr">
        <is>
          <t>Care Gap Health</t>
        </is>
      </c>
      <c r="T106" s="26" t="inlineStr">
        <is>
          <t>Care Gap Value PPO</t>
        </is>
      </c>
      <c r="U106" s="26" t="n"/>
      <c r="V106" s="26" t="inlineStr">
        <is>
          <t>Eleanor Brooks, MD</t>
        </is>
      </c>
      <c r="W106" s="26" t="inlineStr">
        <is>
          <t>Assigned Department Provider</t>
        </is>
      </c>
      <c r="X106" s="26" t="inlineStr">
        <is>
          <t>ADT</t>
        </is>
      </c>
      <c r="Y106" s="26" t="inlineStr">
        <is>
          <t>Midnight census</t>
        </is>
      </c>
      <c r="Z106" s="26" t="inlineStr">
        <is>
          <t>Posted</t>
        </is>
      </c>
      <c r="AA106" s="26" t="inlineStr">
        <is>
          <t>Matched</t>
        </is>
      </c>
      <c r="AB106" s="26" t="inlineStr">
        <is>
          <t>Passed</t>
        </is>
      </c>
      <c r="AC106" s="26" t="n"/>
      <c r="AD106" s="26" t="inlineStr">
        <is>
          <t>N/A</t>
        </is>
      </c>
      <c r="AE106" s="26" t="inlineStr">
        <is>
          <t>J96.01</t>
        </is>
      </c>
      <c r="AF106" s="26" t="inlineStr">
        <is>
          <t>21</t>
        </is>
      </c>
      <c r="AG106" s="26" t="inlineStr">
        <is>
          <t>2026-09-02 16:30</t>
        </is>
      </c>
      <c r="AH106" s="26" t="inlineStr">
        <is>
          <t>Synthetic Care Gap charge; 10% below Athena allowed amount</t>
        </is>
      </c>
    </row>
    <row r="107">
      <c r="A107" s="26" t="inlineStr">
        <is>
          <t>IPD-CHG-0052-ATH</t>
        </is>
      </c>
      <c r="B107" s="26" t="inlineStr">
        <is>
          <t>HAR-202600052-ATH</t>
        </is>
      </c>
      <c r="C107" s="26" t="inlineStr">
        <is>
          <t>CSN-IPD-780052-ATH</t>
        </is>
      </c>
      <c r="D107" s="26" t="inlineStr">
        <is>
          <t>Inpatient</t>
        </is>
      </c>
      <c r="E107" s="26" t="inlineStr">
        <is>
          <t>Demo Regional Medical Center</t>
        </is>
      </c>
      <c r="F107" s="26" t="inlineStr">
        <is>
          <t>Operating Room</t>
        </is>
      </c>
      <c r="G107" s="26" t="inlineStr">
        <is>
          <t>2026-09-03</t>
        </is>
      </c>
      <c r="H107" s="26" t="inlineStr">
        <is>
          <t>OR-MAJOR-1H</t>
        </is>
      </c>
      <c r="I107" s="26" t="inlineStr">
        <is>
          <t>Major Operating Room, First Hour</t>
        </is>
      </c>
      <c r="J107" s="26" t="inlineStr">
        <is>
          <t>0360</t>
        </is>
      </c>
      <c r="K107" s="26" t="n"/>
      <c r="L107" s="26" t="n"/>
      <c r="M107" s="26" t="n">
        <v>4</v>
      </c>
      <c r="N107" s="13" t="n">
        <v>10250</v>
      </c>
      <c r="O107" s="13">
        <f>M107*N107</f>
        <v/>
      </c>
      <c r="P107" s="13" t="n">
        <v>20513.21</v>
      </c>
      <c r="Q107" s="13">
        <f>P107*20%</f>
        <v/>
      </c>
      <c r="R107" s="13">
        <f>O107-P107</f>
        <v/>
      </c>
      <c r="S107" s="26" t="inlineStr">
        <is>
          <t>Athena Health Insurance</t>
        </is>
      </c>
      <c r="T107" s="26" t="inlineStr">
        <is>
          <t>Athena PPO</t>
        </is>
      </c>
      <c r="U107" s="26" t="n"/>
      <c r="V107" s="26" t="inlineStr">
        <is>
          <t>Eleanor Brooks, MD</t>
        </is>
      </c>
      <c r="W107" s="26" t="inlineStr">
        <is>
          <t>Assigned Department Provider</t>
        </is>
      </c>
      <c r="X107" s="26" t="inlineStr">
        <is>
          <t>Perioperative</t>
        </is>
      </c>
      <c r="Y107" s="26" t="inlineStr">
        <is>
          <t>Procedure end</t>
        </is>
      </c>
      <c r="Z107" s="26" t="inlineStr">
        <is>
          <t>Posted</t>
        </is>
      </c>
      <c r="AA107" s="26" t="inlineStr">
        <is>
          <t>Matched</t>
        </is>
      </c>
      <c r="AB107" s="26" t="inlineStr">
        <is>
          <t>Passed</t>
        </is>
      </c>
      <c r="AC107" s="26" t="n"/>
      <c r="AD107" s="26" t="inlineStr">
        <is>
          <t>Procedure-specific</t>
        </is>
      </c>
      <c r="AE107" s="26" t="inlineStr">
        <is>
          <t>M17.11</t>
        </is>
      </c>
      <c r="AF107" s="26" t="inlineStr">
        <is>
          <t>21</t>
        </is>
      </c>
      <c r="AG107" s="26" t="inlineStr">
        <is>
          <t>2026-09-03 16:30</t>
        </is>
      </c>
      <c r="AH107" s="26" t="inlineStr">
        <is>
          <t>Synthetic Athena negotiated charge</t>
        </is>
      </c>
    </row>
    <row r="108">
      <c r="A108" s="26" t="inlineStr">
        <is>
          <t>IPD-CHG-0052-CGH</t>
        </is>
      </c>
      <c r="B108" s="26" t="inlineStr">
        <is>
          <t>HAR-202600052-CGH</t>
        </is>
      </c>
      <c r="C108" s="26" t="inlineStr">
        <is>
          <t>CSN-IPD-780052-CGH</t>
        </is>
      </c>
      <c r="D108" s="26" t="inlineStr">
        <is>
          <t>Inpatient</t>
        </is>
      </c>
      <c r="E108" s="26" t="inlineStr">
        <is>
          <t>Demo Regional Medical Center</t>
        </is>
      </c>
      <c r="F108" s="26" t="inlineStr">
        <is>
          <t>Operating Room</t>
        </is>
      </c>
      <c r="G108" s="26" t="inlineStr">
        <is>
          <t>2026-09-03</t>
        </is>
      </c>
      <c r="H108" s="26" t="inlineStr">
        <is>
          <t>OR-MAJOR-1H</t>
        </is>
      </c>
      <c r="I108" s="26" t="inlineStr">
        <is>
          <t>Major Operating Room, First Hour</t>
        </is>
      </c>
      <c r="J108" s="26" t="inlineStr">
        <is>
          <t>0360</t>
        </is>
      </c>
      <c r="K108" s="26" t="n"/>
      <c r="L108" s="26" t="n"/>
      <c r="M108" s="26" t="n">
        <v>4</v>
      </c>
      <c r="N108" s="13" t="n">
        <v>10250</v>
      </c>
      <c r="O108" s="13">
        <f>M108*N108</f>
        <v/>
      </c>
      <c r="P108" s="13" t="n">
        <v>18461.89</v>
      </c>
      <c r="Q108" s="13">
        <f>P108*15%</f>
        <v/>
      </c>
      <c r="R108" s="13">
        <f>O108-P108</f>
        <v/>
      </c>
      <c r="S108" s="26" t="inlineStr">
        <is>
          <t>Care Gap Health</t>
        </is>
      </c>
      <c r="T108" s="26" t="inlineStr">
        <is>
          <t>Care Gap Value PPO</t>
        </is>
      </c>
      <c r="U108" s="26" t="n"/>
      <c r="V108" s="26" t="inlineStr">
        <is>
          <t>Eleanor Brooks, MD</t>
        </is>
      </c>
      <c r="W108" s="26" t="inlineStr">
        <is>
          <t>Assigned Department Provider</t>
        </is>
      </c>
      <c r="X108" s="26" t="inlineStr">
        <is>
          <t>Perioperative</t>
        </is>
      </c>
      <c r="Y108" s="26" t="inlineStr">
        <is>
          <t>Procedure end</t>
        </is>
      </c>
      <c r="Z108" s="26" t="inlineStr">
        <is>
          <t>Posted</t>
        </is>
      </c>
      <c r="AA108" s="26" t="inlineStr">
        <is>
          <t>Matched</t>
        </is>
      </c>
      <c r="AB108" s="26" t="inlineStr">
        <is>
          <t>Passed</t>
        </is>
      </c>
      <c r="AC108" s="26" t="n"/>
      <c r="AD108" s="26" t="inlineStr">
        <is>
          <t>Procedure-specific</t>
        </is>
      </c>
      <c r="AE108" s="26" t="inlineStr">
        <is>
          <t>M17.11</t>
        </is>
      </c>
      <c r="AF108" s="26" t="inlineStr">
        <is>
          <t>21</t>
        </is>
      </c>
      <c r="AG108" s="26" t="inlineStr">
        <is>
          <t>2026-09-03 16:30</t>
        </is>
      </c>
      <c r="AH108" s="26" t="inlineStr">
        <is>
          <t>Synthetic Care Gap charge; 10% below Athena allowed amount</t>
        </is>
      </c>
    </row>
    <row r="109">
      <c r="A109" s="26" t="inlineStr">
        <is>
          <t>IPD-CHG-0053-ATH</t>
        </is>
      </c>
      <c r="B109" s="26" t="inlineStr">
        <is>
          <t>HAR-202600053-ATH</t>
        </is>
      </c>
      <c r="C109" s="26" t="inlineStr">
        <is>
          <t>CSN-IPD-780053-ATH</t>
        </is>
      </c>
      <c r="D109" s="26" t="inlineStr">
        <is>
          <t>Inpatient</t>
        </is>
      </c>
      <c r="E109" s="26" t="inlineStr">
        <is>
          <t>Demo Regional Medical Center</t>
        </is>
      </c>
      <c r="F109" s="26" t="inlineStr">
        <is>
          <t>Operating Room</t>
        </is>
      </c>
      <c r="G109" s="26" t="inlineStr">
        <is>
          <t>2026-09-04</t>
        </is>
      </c>
      <c r="H109" s="26" t="inlineStr">
        <is>
          <t>OR-ADD-15</t>
        </is>
      </c>
      <c r="I109" s="26" t="inlineStr">
        <is>
          <t>Operating Room, Additional 15 Minutes</t>
        </is>
      </c>
      <c r="J109" s="26" t="inlineStr">
        <is>
          <t>0360</t>
        </is>
      </c>
      <c r="K109" s="26" t="n"/>
      <c r="L109" s="26" t="n"/>
      <c r="M109" s="26" t="n">
        <v>3</v>
      </c>
      <c r="N109" s="13" t="n">
        <v>1280</v>
      </c>
      <c r="O109" s="13">
        <f>M109*N109</f>
        <v/>
      </c>
      <c r="P109" s="13" t="n">
        <v>2664.73</v>
      </c>
      <c r="Q109" s="13">
        <f>P109*20%</f>
        <v/>
      </c>
      <c r="R109" s="13">
        <f>O109-P109</f>
        <v/>
      </c>
      <c r="S109" s="26" t="inlineStr">
        <is>
          <t>Athena Health Insurance</t>
        </is>
      </c>
      <c r="T109" s="26" t="inlineStr">
        <is>
          <t>Athena PPO</t>
        </is>
      </c>
      <c r="U109" s="26" t="n"/>
      <c r="V109" s="26" t="inlineStr">
        <is>
          <t>Eleanor Brooks, MD</t>
        </is>
      </c>
      <c r="W109" s="26" t="inlineStr">
        <is>
          <t>Assigned Department Provider</t>
        </is>
      </c>
      <c r="X109" s="26" t="inlineStr">
        <is>
          <t>Perioperative</t>
        </is>
      </c>
      <c r="Y109" s="26" t="inlineStr">
        <is>
          <t>Procedure end</t>
        </is>
      </c>
      <c r="Z109" s="26" t="inlineStr">
        <is>
          <t>Posted</t>
        </is>
      </c>
      <c r="AA109" s="26" t="inlineStr">
        <is>
          <t>Matched</t>
        </is>
      </c>
      <c r="AB109" s="26" t="inlineStr">
        <is>
          <t>Passed</t>
        </is>
      </c>
      <c r="AC109" s="26" t="n"/>
      <c r="AD109" s="26" t="inlineStr">
        <is>
          <t>Procedure-specific</t>
        </is>
      </c>
      <c r="AE109" s="26" t="inlineStr">
        <is>
          <t>M17.11</t>
        </is>
      </c>
      <c r="AF109" s="26" t="inlineStr">
        <is>
          <t>21</t>
        </is>
      </c>
      <c r="AG109" s="26" t="inlineStr">
        <is>
          <t>2026-09-04 16:30</t>
        </is>
      </c>
      <c r="AH109" s="26" t="inlineStr">
        <is>
          <t>Synthetic Athena negotiated charge</t>
        </is>
      </c>
    </row>
    <row r="110">
      <c r="A110" s="26" t="inlineStr">
        <is>
          <t>IPD-CHG-0053-CGH</t>
        </is>
      </c>
      <c r="B110" s="26" t="inlineStr">
        <is>
          <t>HAR-202600053-CGH</t>
        </is>
      </c>
      <c r="C110" s="26" t="inlineStr">
        <is>
          <t>CSN-IPD-780053-CGH</t>
        </is>
      </c>
      <c r="D110" s="26" t="inlineStr">
        <is>
          <t>Inpatient</t>
        </is>
      </c>
      <c r="E110" s="26" t="inlineStr">
        <is>
          <t>Demo Regional Medical Center</t>
        </is>
      </c>
      <c r="F110" s="26" t="inlineStr">
        <is>
          <t>Operating Room</t>
        </is>
      </c>
      <c r="G110" s="26" t="inlineStr">
        <is>
          <t>2026-09-04</t>
        </is>
      </c>
      <c r="H110" s="26" t="inlineStr">
        <is>
          <t>OR-ADD-15</t>
        </is>
      </c>
      <c r="I110" s="26" t="inlineStr">
        <is>
          <t>Operating Room, Additional 15 Minutes</t>
        </is>
      </c>
      <c r="J110" s="26" t="inlineStr">
        <is>
          <t>0360</t>
        </is>
      </c>
      <c r="K110" s="26" t="n"/>
      <c r="L110" s="26" t="n"/>
      <c r="M110" s="26" t="n">
        <v>3</v>
      </c>
      <c r="N110" s="13" t="n">
        <v>1280</v>
      </c>
      <c r="O110" s="13">
        <f>M110*N110</f>
        <v/>
      </c>
      <c r="P110" s="13" t="n">
        <v>2398.26</v>
      </c>
      <c r="Q110" s="13">
        <f>P110*15%</f>
        <v/>
      </c>
      <c r="R110" s="13">
        <f>O110-P110</f>
        <v/>
      </c>
      <c r="S110" s="26" t="inlineStr">
        <is>
          <t>Care Gap Health</t>
        </is>
      </c>
      <c r="T110" s="26" t="inlineStr">
        <is>
          <t>Care Gap Value PPO</t>
        </is>
      </c>
      <c r="U110" s="26" t="n"/>
      <c r="V110" s="26" t="inlineStr">
        <is>
          <t>Eleanor Brooks, MD</t>
        </is>
      </c>
      <c r="W110" s="26" t="inlineStr">
        <is>
          <t>Assigned Department Provider</t>
        </is>
      </c>
      <c r="X110" s="26" t="inlineStr">
        <is>
          <t>Perioperative</t>
        </is>
      </c>
      <c r="Y110" s="26" t="inlineStr">
        <is>
          <t>Procedure end</t>
        </is>
      </c>
      <c r="Z110" s="26" t="inlineStr">
        <is>
          <t>Posted</t>
        </is>
      </c>
      <c r="AA110" s="26" t="inlineStr">
        <is>
          <t>Matched</t>
        </is>
      </c>
      <c r="AB110" s="26" t="inlineStr">
        <is>
          <t>Passed</t>
        </is>
      </c>
      <c r="AC110" s="26" t="n"/>
      <c r="AD110" s="26" t="inlineStr">
        <is>
          <t>Procedure-specific</t>
        </is>
      </c>
      <c r="AE110" s="26" t="inlineStr">
        <is>
          <t>M17.11</t>
        </is>
      </c>
      <c r="AF110" s="26" t="inlineStr">
        <is>
          <t>21</t>
        </is>
      </c>
      <c r="AG110" s="26" t="inlineStr">
        <is>
          <t>2026-09-04 16:30</t>
        </is>
      </c>
      <c r="AH110" s="26" t="inlineStr">
        <is>
          <t>Synthetic Care Gap charge; 10% below Athena allowed amount</t>
        </is>
      </c>
    </row>
    <row r="111">
      <c r="A111" s="26" t="inlineStr">
        <is>
          <t>IPD-CHG-0054-ATH</t>
        </is>
      </c>
      <c r="B111" s="26" t="inlineStr">
        <is>
          <t>HAR-202600054-ATH</t>
        </is>
      </c>
      <c r="C111" s="26" t="inlineStr">
        <is>
          <t>CSN-IPD-780054-ATH</t>
        </is>
      </c>
      <c r="D111" s="26" t="inlineStr">
        <is>
          <t>Inpatient</t>
        </is>
      </c>
      <c r="E111" s="26" t="inlineStr">
        <is>
          <t>Demo Regional Medical Center</t>
        </is>
      </c>
      <c r="F111" s="26" t="inlineStr">
        <is>
          <t>Recovery Room</t>
        </is>
      </c>
      <c r="G111" s="26" t="inlineStr">
        <is>
          <t>2026-09-05</t>
        </is>
      </c>
      <c r="H111" s="26" t="inlineStr">
        <is>
          <t>PACU-1H</t>
        </is>
      </c>
      <c r="I111" s="26" t="inlineStr">
        <is>
          <t>Post-Anesthesia Care, First Hour</t>
        </is>
      </c>
      <c r="J111" s="26" t="inlineStr">
        <is>
          <t>0710</t>
        </is>
      </c>
      <c r="K111" s="26" t="n"/>
      <c r="L111" s="26" t="n"/>
      <c r="M111" s="26" t="n">
        <v>1</v>
      </c>
      <c r="N111" s="13" t="n">
        <v>2100</v>
      </c>
      <c r="O111" s="13">
        <f>M111*N111</f>
        <v/>
      </c>
      <c r="P111" s="13" t="n">
        <v>1239.32</v>
      </c>
      <c r="Q111" s="13">
        <f>P111*20%</f>
        <v/>
      </c>
      <c r="R111" s="13">
        <f>O111-P111</f>
        <v/>
      </c>
      <c r="S111" s="26" t="inlineStr">
        <is>
          <t>Athena Health Insurance</t>
        </is>
      </c>
      <c r="T111" s="26" t="inlineStr">
        <is>
          <t>Athena PPO</t>
        </is>
      </c>
      <c r="U111" s="26" t="n"/>
      <c r="V111" s="26" t="inlineStr">
        <is>
          <t>Eleanor Brooks, MD</t>
        </is>
      </c>
      <c r="W111" s="26" t="inlineStr">
        <is>
          <t>Assigned Department Provider</t>
        </is>
      </c>
      <c r="X111" s="26" t="inlineStr">
        <is>
          <t>Perioperative</t>
        </is>
      </c>
      <c r="Y111" s="26" t="inlineStr">
        <is>
          <t>PACU discharge</t>
        </is>
      </c>
      <c r="Z111" s="26" t="inlineStr">
        <is>
          <t>Posted</t>
        </is>
      </c>
      <c r="AA111" s="26" t="inlineStr">
        <is>
          <t>Matched</t>
        </is>
      </c>
      <c r="AB111" s="26" t="inlineStr">
        <is>
          <t>Passed</t>
        </is>
      </c>
      <c r="AC111" s="26" t="n"/>
      <c r="AD111" s="26" t="inlineStr">
        <is>
          <t>N/A</t>
        </is>
      </c>
      <c r="AE111" s="26" t="inlineStr">
        <is>
          <t>Z47.1</t>
        </is>
      </c>
      <c r="AF111" s="26" t="inlineStr">
        <is>
          <t>21</t>
        </is>
      </c>
      <c r="AG111" s="26" t="inlineStr">
        <is>
          <t>2026-09-05 16:30</t>
        </is>
      </c>
      <c r="AH111" s="26" t="inlineStr">
        <is>
          <t>Synthetic Athena negotiated charge</t>
        </is>
      </c>
    </row>
    <row r="112">
      <c r="A112" s="26" t="inlineStr">
        <is>
          <t>IPD-CHG-0054-CGH</t>
        </is>
      </c>
      <c r="B112" s="26" t="inlineStr">
        <is>
          <t>HAR-202600054-CGH</t>
        </is>
      </c>
      <c r="C112" s="26" t="inlineStr">
        <is>
          <t>CSN-IPD-780054-CGH</t>
        </is>
      </c>
      <c r="D112" s="26" t="inlineStr">
        <is>
          <t>Inpatient</t>
        </is>
      </c>
      <c r="E112" s="26" t="inlineStr">
        <is>
          <t>Demo Regional Medical Center</t>
        </is>
      </c>
      <c r="F112" s="26" t="inlineStr">
        <is>
          <t>Recovery Room</t>
        </is>
      </c>
      <c r="G112" s="26" t="inlineStr">
        <is>
          <t>2026-09-05</t>
        </is>
      </c>
      <c r="H112" s="26" t="inlineStr">
        <is>
          <t>PACU-1H</t>
        </is>
      </c>
      <c r="I112" s="26" t="inlineStr">
        <is>
          <t>Post-Anesthesia Care, First Hour</t>
        </is>
      </c>
      <c r="J112" s="26" t="inlineStr">
        <is>
          <t>0710</t>
        </is>
      </c>
      <c r="K112" s="26" t="n"/>
      <c r="L112" s="26" t="n"/>
      <c r="M112" s="26" t="n">
        <v>1</v>
      </c>
      <c r="N112" s="13" t="n">
        <v>2100</v>
      </c>
      <c r="O112" s="13">
        <f>M112*N112</f>
        <v/>
      </c>
      <c r="P112" s="13" t="n">
        <v>1115.39</v>
      </c>
      <c r="Q112" s="13">
        <f>P112*15%</f>
        <v/>
      </c>
      <c r="R112" s="13">
        <f>O112-P112</f>
        <v/>
      </c>
      <c r="S112" s="26" t="inlineStr">
        <is>
          <t>Care Gap Health</t>
        </is>
      </c>
      <c r="T112" s="26" t="inlineStr">
        <is>
          <t>Care Gap Value PPO</t>
        </is>
      </c>
      <c r="U112" s="26" t="n"/>
      <c r="V112" s="26" t="inlineStr">
        <is>
          <t>Eleanor Brooks, MD</t>
        </is>
      </c>
      <c r="W112" s="26" t="inlineStr">
        <is>
          <t>Assigned Department Provider</t>
        </is>
      </c>
      <c r="X112" s="26" t="inlineStr">
        <is>
          <t>Perioperative</t>
        </is>
      </c>
      <c r="Y112" s="26" t="inlineStr">
        <is>
          <t>PACU discharge</t>
        </is>
      </c>
      <c r="Z112" s="26" t="inlineStr">
        <is>
          <t>Posted</t>
        </is>
      </c>
      <c r="AA112" s="26" t="inlineStr">
        <is>
          <t>Matched</t>
        </is>
      </c>
      <c r="AB112" s="26" t="inlineStr">
        <is>
          <t>Passed</t>
        </is>
      </c>
      <c r="AC112" s="26" t="n"/>
      <c r="AD112" s="26" t="inlineStr">
        <is>
          <t>N/A</t>
        </is>
      </c>
      <c r="AE112" s="26" t="inlineStr">
        <is>
          <t>Z47.1</t>
        </is>
      </c>
      <c r="AF112" s="26" t="inlineStr">
        <is>
          <t>21</t>
        </is>
      </c>
      <c r="AG112" s="26" t="inlineStr">
        <is>
          <t>2026-09-05 16:30</t>
        </is>
      </c>
      <c r="AH112" s="26" t="inlineStr">
        <is>
          <t>Synthetic Care Gap charge; 10% below Athena allowed amount</t>
        </is>
      </c>
    </row>
    <row r="113">
      <c r="A113" s="26" t="inlineStr">
        <is>
          <t>IPD-CHG-0055-ATH</t>
        </is>
      </c>
      <c r="B113" s="26" t="inlineStr">
        <is>
          <t>HAR-202600055-ATH</t>
        </is>
      </c>
      <c r="C113" s="26" t="inlineStr">
        <is>
          <t>CSN-IPD-780055-ATH</t>
        </is>
      </c>
      <c r="D113" s="26" t="inlineStr">
        <is>
          <t>Inpatient</t>
        </is>
      </c>
      <c r="E113" s="26" t="inlineStr">
        <is>
          <t>Demo Regional Medical Center</t>
        </is>
      </c>
      <c r="F113" s="26" t="inlineStr">
        <is>
          <t>Surgical Supplies</t>
        </is>
      </c>
      <c r="G113" s="26" t="inlineStr">
        <is>
          <t>2026-09-06</t>
        </is>
      </c>
      <c r="H113" s="26" t="inlineStr">
        <is>
          <t>SUP-MAJOR-PACK</t>
        </is>
      </c>
      <c r="I113" s="26" t="inlineStr">
        <is>
          <t>Major Surgery Disposable Supply Pack</t>
        </is>
      </c>
      <c r="J113" s="26" t="inlineStr">
        <is>
          <t>0270</t>
        </is>
      </c>
      <c r="K113" s="26" t="n"/>
      <c r="L113" s="26" t="n"/>
      <c r="M113" s="26" t="n">
        <v>1</v>
      </c>
      <c r="N113" s="13" t="n">
        <v>4200</v>
      </c>
      <c r="O113" s="13">
        <f>M113*N113</f>
        <v/>
      </c>
      <c r="P113" s="13" t="n">
        <v>2668.57</v>
      </c>
      <c r="Q113" s="13">
        <f>P113*20%</f>
        <v/>
      </c>
      <c r="R113" s="13">
        <f>O113-P113</f>
        <v/>
      </c>
      <c r="S113" s="26" t="inlineStr">
        <is>
          <t>Athena Health Insurance</t>
        </is>
      </c>
      <c r="T113" s="26" t="inlineStr">
        <is>
          <t>Athena PPO</t>
        </is>
      </c>
      <c r="U113" s="26" t="n"/>
      <c r="V113" s="26" t="inlineStr">
        <is>
          <t>Eleanor Brooks, MD</t>
        </is>
      </c>
      <c r="W113" s="26" t="inlineStr">
        <is>
          <t>Assigned Department Provider</t>
        </is>
      </c>
      <c r="X113" s="26" t="inlineStr">
        <is>
          <t>Inventory</t>
        </is>
      </c>
      <c r="Y113" s="26" t="inlineStr">
        <is>
          <t>Supply issue</t>
        </is>
      </c>
      <c r="Z113" s="26" t="inlineStr">
        <is>
          <t>Posted</t>
        </is>
      </c>
      <c r="AA113" s="26" t="inlineStr">
        <is>
          <t>Matched</t>
        </is>
      </c>
      <c r="AB113" s="26" t="inlineStr">
        <is>
          <t>Passed</t>
        </is>
      </c>
      <c r="AC113" s="26" t="n"/>
      <c r="AD113" s="26" t="inlineStr">
        <is>
          <t>Contract rule</t>
        </is>
      </c>
      <c r="AE113" s="26" t="inlineStr">
        <is>
          <t>Z47.1</t>
        </is>
      </c>
      <c r="AF113" s="26" t="inlineStr">
        <is>
          <t>21</t>
        </is>
      </c>
      <c r="AG113" s="26" t="inlineStr">
        <is>
          <t>2026-09-06 16:30</t>
        </is>
      </c>
      <c r="AH113" s="26" t="inlineStr">
        <is>
          <t>Synthetic Athena negotiated charge</t>
        </is>
      </c>
    </row>
    <row r="114">
      <c r="A114" s="26" t="inlineStr">
        <is>
          <t>IPD-CHG-0055-CGH</t>
        </is>
      </c>
      <c r="B114" s="26" t="inlineStr">
        <is>
          <t>HAR-202600055-CGH</t>
        </is>
      </c>
      <c r="C114" s="26" t="inlineStr">
        <is>
          <t>CSN-IPD-780055-CGH</t>
        </is>
      </c>
      <c r="D114" s="26" t="inlineStr">
        <is>
          <t>Inpatient</t>
        </is>
      </c>
      <c r="E114" s="26" t="inlineStr">
        <is>
          <t>Demo Regional Medical Center</t>
        </is>
      </c>
      <c r="F114" s="26" t="inlineStr">
        <is>
          <t>Surgical Supplies</t>
        </is>
      </c>
      <c r="G114" s="26" t="inlineStr">
        <is>
          <t>2026-09-06</t>
        </is>
      </c>
      <c r="H114" s="26" t="inlineStr">
        <is>
          <t>SUP-MAJOR-PACK</t>
        </is>
      </c>
      <c r="I114" s="26" t="inlineStr">
        <is>
          <t>Major Surgery Disposable Supply Pack</t>
        </is>
      </c>
      <c r="J114" s="26" t="inlineStr">
        <is>
          <t>0270</t>
        </is>
      </c>
      <c r="K114" s="26" t="n"/>
      <c r="L114" s="26" t="n"/>
      <c r="M114" s="26" t="n">
        <v>1</v>
      </c>
      <c r="N114" s="13" t="n">
        <v>4200</v>
      </c>
      <c r="O114" s="13">
        <f>M114*N114</f>
        <v/>
      </c>
      <c r="P114" s="13" t="n">
        <v>2401.71</v>
      </c>
      <c r="Q114" s="13">
        <f>P114*15%</f>
        <v/>
      </c>
      <c r="R114" s="13">
        <f>O114-P114</f>
        <v/>
      </c>
      <c r="S114" s="26" t="inlineStr">
        <is>
          <t>Care Gap Health</t>
        </is>
      </c>
      <c r="T114" s="26" t="inlineStr">
        <is>
          <t>Care Gap Value PPO</t>
        </is>
      </c>
      <c r="U114" s="26" t="n"/>
      <c r="V114" s="26" t="inlineStr">
        <is>
          <t>Eleanor Brooks, MD</t>
        </is>
      </c>
      <c r="W114" s="26" t="inlineStr">
        <is>
          <t>Assigned Department Provider</t>
        </is>
      </c>
      <c r="X114" s="26" t="inlineStr">
        <is>
          <t>Inventory</t>
        </is>
      </c>
      <c r="Y114" s="26" t="inlineStr">
        <is>
          <t>Supply issue</t>
        </is>
      </c>
      <c r="Z114" s="26" t="inlineStr">
        <is>
          <t>Posted</t>
        </is>
      </c>
      <c r="AA114" s="26" t="inlineStr">
        <is>
          <t>Matched</t>
        </is>
      </c>
      <c r="AB114" s="26" t="inlineStr">
        <is>
          <t>Passed</t>
        </is>
      </c>
      <c r="AC114" s="26" t="n"/>
      <c r="AD114" s="26" t="inlineStr">
        <is>
          <t>Contract rule</t>
        </is>
      </c>
      <c r="AE114" s="26" t="inlineStr">
        <is>
          <t>Z47.1</t>
        </is>
      </c>
      <c r="AF114" s="26" t="inlineStr">
        <is>
          <t>21</t>
        </is>
      </c>
      <c r="AG114" s="26" t="inlineStr">
        <is>
          <t>2026-09-06 16:30</t>
        </is>
      </c>
      <c r="AH114" s="26" t="inlineStr">
        <is>
          <t>Synthetic Care Gap charge; 10% below Athena allowed amount</t>
        </is>
      </c>
    </row>
    <row r="115">
      <c r="A115" s="26" t="inlineStr">
        <is>
          <t>IPD-CHG-0056-ATH</t>
        </is>
      </c>
      <c r="B115" s="26" t="inlineStr">
        <is>
          <t>HAR-202600056-ATH</t>
        </is>
      </c>
      <c r="C115" s="26" t="inlineStr">
        <is>
          <t>CSN-IPD-780056-ATH</t>
        </is>
      </c>
      <c r="D115" s="26" t="inlineStr">
        <is>
          <t>Inpatient</t>
        </is>
      </c>
      <c r="E115" s="26" t="inlineStr">
        <is>
          <t>Demo Regional Medical Center</t>
        </is>
      </c>
      <c r="F115" s="26" t="inlineStr">
        <is>
          <t>Implants</t>
        </is>
      </c>
      <c r="G115" s="26" t="inlineStr">
        <is>
          <t>2026-09-07</t>
        </is>
      </c>
      <c r="H115" s="26" t="inlineStr">
        <is>
          <t>IMP-KNEE-CEM</t>
        </is>
      </c>
      <c r="I115" s="26" t="inlineStr">
        <is>
          <t>Cemented Knee Implant System</t>
        </is>
      </c>
      <c r="J115" s="26" t="inlineStr">
        <is>
          <t>0278</t>
        </is>
      </c>
      <c r="K115" s="26" t="n"/>
      <c r="L115" s="26" t="n"/>
      <c r="M115" s="26" t="n">
        <v>1</v>
      </c>
      <c r="N115" s="13" t="n">
        <v>20500</v>
      </c>
      <c r="O115" s="13">
        <f>M115*N115</f>
        <v/>
      </c>
      <c r="P115" s="13" t="n">
        <v>9917.65</v>
      </c>
      <c r="Q115" s="13">
        <f>P115*20%</f>
        <v/>
      </c>
      <c r="R115" s="13">
        <f>O115-P115</f>
        <v/>
      </c>
      <c r="S115" s="26" t="inlineStr">
        <is>
          <t>Athena Health Insurance</t>
        </is>
      </c>
      <c r="T115" s="26" t="inlineStr">
        <is>
          <t>Athena PPO</t>
        </is>
      </c>
      <c r="U115" s="26" t="n"/>
      <c r="V115" s="26" t="inlineStr">
        <is>
          <t>Eleanor Brooks, MD</t>
        </is>
      </c>
      <c r="W115" s="26" t="inlineStr">
        <is>
          <t>Assigned Department Provider</t>
        </is>
      </c>
      <c r="X115" s="26" t="inlineStr">
        <is>
          <t>Inventory</t>
        </is>
      </c>
      <c r="Y115" s="26" t="inlineStr">
        <is>
          <t>Implant scan</t>
        </is>
      </c>
      <c r="Z115" s="26" t="inlineStr">
        <is>
          <t>Posted</t>
        </is>
      </c>
      <c r="AA115" s="26" t="inlineStr">
        <is>
          <t>Matched</t>
        </is>
      </c>
      <c r="AB115" s="26" t="inlineStr">
        <is>
          <t>Passed</t>
        </is>
      </c>
      <c r="AC115" s="26" t="n"/>
      <c r="AD115" s="26" t="inlineStr">
        <is>
          <t>Contract rule</t>
        </is>
      </c>
      <c r="AE115" s="26" t="inlineStr">
        <is>
          <t>M17.11</t>
        </is>
      </c>
      <c r="AF115" s="26" t="inlineStr">
        <is>
          <t>21</t>
        </is>
      </c>
      <c r="AG115" s="26" t="inlineStr">
        <is>
          <t>2026-09-07 16:30</t>
        </is>
      </c>
      <c r="AH115" s="26" t="inlineStr">
        <is>
          <t>Synthetic Athena negotiated charge</t>
        </is>
      </c>
    </row>
    <row r="116">
      <c r="A116" s="26" t="inlineStr">
        <is>
          <t>IPD-CHG-0056-CGH</t>
        </is>
      </c>
      <c r="B116" s="26" t="inlineStr">
        <is>
          <t>HAR-202600056-CGH</t>
        </is>
      </c>
      <c r="C116" s="26" t="inlineStr">
        <is>
          <t>CSN-IPD-780056-CGH</t>
        </is>
      </c>
      <c r="D116" s="26" t="inlineStr">
        <is>
          <t>Inpatient</t>
        </is>
      </c>
      <c r="E116" s="26" t="inlineStr">
        <is>
          <t>Demo Regional Medical Center</t>
        </is>
      </c>
      <c r="F116" s="26" t="inlineStr">
        <is>
          <t>Implants</t>
        </is>
      </c>
      <c r="G116" s="26" t="inlineStr">
        <is>
          <t>2026-09-07</t>
        </is>
      </c>
      <c r="H116" s="26" t="inlineStr">
        <is>
          <t>IMP-KNEE-CEM</t>
        </is>
      </c>
      <c r="I116" s="26" t="inlineStr">
        <is>
          <t>Cemented Knee Implant System</t>
        </is>
      </c>
      <c r="J116" s="26" t="inlineStr">
        <is>
          <t>0278</t>
        </is>
      </c>
      <c r="K116" s="26" t="n"/>
      <c r="L116" s="26" t="n"/>
      <c r="M116" s="26" t="n">
        <v>1</v>
      </c>
      <c r="N116" s="13" t="n">
        <v>20500</v>
      </c>
      <c r="O116" s="13">
        <f>M116*N116</f>
        <v/>
      </c>
      <c r="P116" s="13" t="n">
        <v>8925.889999999999</v>
      </c>
      <c r="Q116" s="13">
        <f>P116*15%</f>
        <v/>
      </c>
      <c r="R116" s="13">
        <f>O116-P116</f>
        <v/>
      </c>
      <c r="S116" s="26" t="inlineStr">
        <is>
          <t>Care Gap Health</t>
        </is>
      </c>
      <c r="T116" s="26" t="inlineStr">
        <is>
          <t>Care Gap Value PPO</t>
        </is>
      </c>
      <c r="U116" s="26" t="n"/>
      <c r="V116" s="26" t="inlineStr">
        <is>
          <t>Eleanor Brooks, MD</t>
        </is>
      </c>
      <c r="W116" s="26" t="inlineStr">
        <is>
          <t>Assigned Department Provider</t>
        </is>
      </c>
      <c r="X116" s="26" t="inlineStr">
        <is>
          <t>Inventory</t>
        </is>
      </c>
      <c r="Y116" s="26" t="inlineStr">
        <is>
          <t>Implant scan</t>
        </is>
      </c>
      <c r="Z116" s="26" t="inlineStr">
        <is>
          <t>Posted</t>
        </is>
      </c>
      <c r="AA116" s="26" t="inlineStr">
        <is>
          <t>Matched</t>
        </is>
      </c>
      <c r="AB116" s="26" t="inlineStr">
        <is>
          <t>Passed</t>
        </is>
      </c>
      <c r="AC116" s="26" t="n"/>
      <c r="AD116" s="26" t="inlineStr">
        <is>
          <t>Contract rule</t>
        </is>
      </c>
      <c r="AE116" s="26" t="inlineStr">
        <is>
          <t>M17.11</t>
        </is>
      </c>
      <c r="AF116" s="26" t="inlineStr">
        <is>
          <t>21</t>
        </is>
      </c>
      <c r="AG116" s="26" t="inlineStr">
        <is>
          <t>2026-09-07 16:30</t>
        </is>
      </c>
      <c r="AH116" s="26" t="inlineStr">
        <is>
          <t>Synthetic Care Gap charge; 10% below Athena allowed amount</t>
        </is>
      </c>
    </row>
    <row r="117">
      <c r="A117" s="26" t="inlineStr">
        <is>
          <t>IPD-CHG-0057-ATH</t>
        </is>
      </c>
      <c r="B117" s="26" t="inlineStr">
        <is>
          <t>HAR-202600057-ATH</t>
        </is>
      </c>
      <c r="C117" s="26" t="inlineStr">
        <is>
          <t>CSN-IPD-780057-ATH</t>
        </is>
      </c>
      <c r="D117" s="26" t="inlineStr">
        <is>
          <t>Inpatient</t>
        </is>
      </c>
      <c r="E117" s="26" t="inlineStr">
        <is>
          <t>Demo Regional Medical Center</t>
        </is>
      </c>
      <c r="F117" s="26" t="inlineStr">
        <is>
          <t>Implants</t>
        </is>
      </c>
      <c r="G117" s="26" t="inlineStr">
        <is>
          <t>2026-09-08</t>
        </is>
      </c>
      <c r="H117" s="26" t="inlineStr">
        <is>
          <t>IMP-SCREW</t>
        </is>
      </c>
      <c r="I117" s="26" t="inlineStr">
        <is>
          <t>Orthopedic Fixation Screw</t>
        </is>
      </c>
      <c r="J117" s="26" t="inlineStr">
        <is>
          <t>0278</t>
        </is>
      </c>
      <c r="K117" s="26" t="inlineStr">
        <is>
          <t>C1713</t>
        </is>
      </c>
      <c r="L117" s="26" t="n"/>
      <c r="M117" s="26" t="n">
        <v>1</v>
      </c>
      <c r="N117" s="13" t="n">
        <v>950</v>
      </c>
      <c r="O117" s="13">
        <f>M117*N117</f>
        <v/>
      </c>
      <c r="P117" s="13" t="n">
        <v>541.28</v>
      </c>
      <c r="Q117" s="13">
        <f>P117*20%</f>
        <v/>
      </c>
      <c r="R117" s="13">
        <f>O117-P117</f>
        <v/>
      </c>
      <c r="S117" s="26" t="inlineStr">
        <is>
          <t>Athena Health Insurance</t>
        </is>
      </c>
      <c r="T117" s="26" t="inlineStr">
        <is>
          <t>Athena PPO</t>
        </is>
      </c>
      <c r="U117" s="26" t="n"/>
      <c r="V117" s="26" t="inlineStr">
        <is>
          <t>Eleanor Brooks, MD</t>
        </is>
      </c>
      <c r="W117" s="26" t="inlineStr">
        <is>
          <t>Assigned Department Provider</t>
        </is>
      </c>
      <c r="X117" s="26" t="inlineStr">
        <is>
          <t>Inventory</t>
        </is>
      </c>
      <c r="Y117" s="26" t="inlineStr">
        <is>
          <t>Implant scan</t>
        </is>
      </c>
      <c r="Z117" s="26" t="inlineStr">
        <is>
          <t>Posted</t>
        </is>
      </c>
      <c r="AA117" s="26" t="inlineStr">
        <is>
          <t>Matched</t>
        </is>
      </c>
      <c r="AB117" s="26" t="inlineStr">
        <is>
          <t>Passed</t>
        </is>
      </c>
      <c r="AC117" s="26" t="n"/>
      <c r="AD117" s="26" t="inlineStr">
        <is>
          <t>Contract rule</t>
        </is>
      </c>
      <c r="AE117" s="26" t="inlineStr">
        <is>
          <t>M17.11</t>
        </is>
      </c>
      <c r="AF117" s="26" t="inlineStr">
        <is>
          <t>21</t>
        </is>
      </c>
      <c r="AG117" s="26" t="inlineStr">
        <is>
          <t>2026-09-08 16:30</t>
        </is>
      </c>
      <c r="AH117" s="26" t="inlineStr">
        <is>
          <t>Synthetic Athena negotiated charge</t>
        </is>
      </c>
    </row>
    <row r="118">
      <c r="A118" s="26" t="inlineStr">
        <is>
          <t>IPD-CHG-0057-CGH</t>
        </is>
      </c>
      <c r="B118" s="26" t="inlineStr">
        <is>
          <t>HAR-202600057-CGH</t>
        </is>
      </c>
      <c r="C118" s="26" t="inlineStr">
        <is>
          <t>CSN-IPD-780057-CGH</t>
        </is>
      </c>
      <c r="D118" s="26" t="inlineStr">
        <is>
          <t>Inpatient</t>
        </is>
      </c>
      <c r="E118" s="26" t="inlineStr">
        <is>
          <t>Demo Regional Medical Center</t>
        </is>
      </c>
      <c r="F118" s="26" t="inlineStr">
        <is>
          <t>Implants</t>
        </is>
      </c>
      <c r="G118" s="26" t="inlineStr">
        <is>
          <t>2026-09-08</t>
        </is>
      </c>
      <c r="H118" s="26" t="inlineStr">
        <is>
          <t>IMP-SCREW</t>
        </is>
      </c>
      <c r="I118" s="26" t="inlineStr">
        <is>
          <t>Orthopedic Fixation Screw</t>
        </is>
      </c>
      <c r="J118" s="26" t="inlineStr">
        <is>
          <t>0278</t>
        </is>
      </c>
      <c r="K118" s="26" t="inlineStr">
        <is>
          <t>C1713</t>
        </is>
      </c>
      <c r="L118" s="26" t="n"/>
      <c r="M118" s="26" t="n">
        <v>1</v>
      </c>
      <c r="N118" s="13" t="n">
        <v>950</v>
      </c>
      <c r="O118" s="13">
        <f>M118*N118</f>
        <v/>
      </c>
      <c r="P118" s="13" t="n">
        <v>487.15</v>
      </c>
      <c r="Q118" s="13">
        <f>P118*15%</f>
        <v/>
      </c>
      <c r="R118" s="13">
        <f>O118-P118</f>
        <v/>
      </c>
      <c r="S118" s="26" t="inlineStr">
        <is>
          <t>Care Gap Health</t>
        </is>
      </c>
      <c r="T118" s="26" t="inlineStr">
        <is>
          <t>Care Gap Value PPO</t>
        </is>
      </c>
      <c r="U118" s="26" t="n"/>
      <c r="V118" s="26" t="inlineStr">
        <is>
          <t>Eleanor Brooks, MD</t>
        </is>
      </c>
      <c r="W118" s="26" t="inlineStr">
        <is>
          <t>Assigned Department Provider</t>
        </is>
      </c>
      <c r="X118" s="26" t="inlineStr">
        <is>
          <t>Inventory</t>
        </is>
      </c>
      <c r="Y118" s="26" t="inlineStr">
        <is>
          <t>Implant scan</t>
        </is>
      </c>
      <c r="Z118" s="26" t="inlineStr">
        <is>
          <t>Posted</t>
        </is>
      </c>
      <c r="AA118" s="26" t="inlineStr">
        <is>
          <t>Matched</t>
        </is>
      </c>
      <c r="AB118" s="26" t="inlineStr">
        <is>
          <t>Passed</t>
        </is>
      </c>
      <c r="AC118" s="26" t="n"/>
      <c r="AD118" s="26" t="inlineStr">
        <is>
          <t>Contract rule</t>
        </is>
      </c>
      <c r="AE118" s="26" t="inlineStr">
        <is>
          <t>M17.11</t>
        </is>
      </c>
      <c r="AF118" s="26" t="inlineStr">
        <is>
          <t>21</t>
        </is>
      </c>
      <c r="AG118" s="26" t="inlineStr">
        <is>
          <t>2026-09-08 16:30</t>
        </is>
      </c>
      <c r="AH118" s="26" t="inlineStr">
        <is>
          <t>Synthetic Care Gap charge; 10% below Athena allowed amount</t>
        </is>
      </c>
    </row>
    <row r="119">
      <c r="A119" s="26" t="inlineStr">
        <is>
          <t>IPD-CHG-0058-ATH</t>
        </is>
      </c>
      <c r="B119" s="26" t="inlineStr">
        <is>
          <t>HAR-202600058-ATH</t>
        </is>
      </c>
      <c r="C119" s="26" t="inlineStr">
        <is>
          <t>CSN-IPD-780058-ATH</t>
        </is>
      </c>
      <c r="D119" s="26" t="inlineStr">
        <is>
          <t>Inpatient</t>
        </is>
      </c>
      <c r="E119" s="26" t="inlineStr">
        <is>
          <t>Demo Regional Medical Center</t>
        </is>
      </c>
      <c r="F119" s="26" t="inlineStr">
        <is>
          <t>Pharmacy</t>
        </is>
      </c>
      <c r="G119" s="26" t="inlineStr">
        <is>
          <t>2026-09-09</t>
        </is>
      </c>
      <c r="H119" s="26" t="inlineStr">
        <is>
          <t>DRUG-CEFA-1G</t>
        </is>
      </c>
      <c r="I119" s="26" t="inlineStr">
        <is>
          <t>Cefazolin 1 g Injection</t>
        </is>
      </c>
      <c r="J119" s="26" t="inlineStr">
        <is>
          <t>0250</t>
        </is>
      </c>
      <c r="K119" s="26" t="inlineStr">
        <is>
          <t>J0690</t>
        </is>
      </c>
      <c r="L119" s="26" t="n"/>
      <c r="M119" s="26" t="n">
        <v>3</v>
      </c>
      <c r="N119" s="13" t="n">
        <v>500</v>
      </c>
      <c r="O119" s="13">
        <f>M119*N119</f>
        <v/>
      </c>
      <c r="P119" s="13" t="n">
        <v>836.48</v>
      </c>
      <c r="Q119" s="13">
        <f>P119*20%</f>
        <v/>
      </c>
      <c r="R119" s="13">
        <f>O119-P119</f>
        <v/>
      </c>
      <c r="S119" s="26" t="inlineStr">
        <is>
          <t>Athena Health Insurance</t>
        </is>
      </c>
      <c r="T119" s="26" t="inlineStr">
        <is>
          <t>Athena PPO</t>
        </is>
      </c>
      <c r="U119" s="26" t="n"/>
      <c r="V119" s="26" t="inlineStr">
        <is>
          <t>Eleanor Brooks, MD</t>
        </is>
      </c>
      <c r="W119" s="26" t="inlineStr">
        <is>
          <t>Assigned Department Provider</t>
        </is>
      </c>
      <c r="X119" s="26" t="inlineStr">
        <is>
          <t>Pharmacy MAR</t>
        </is>
      </c>
      <c r="Y119" s="26" t="inlineStr">
        <is>
          <t>Medication administration</t>
        </is>
      </c>
      <c r="Z119" s="26" t="inlineStr">
        <is>
          <t>Hold</t>
        </is>
      </c>
      <c r="AA119" s="26" t="inlineStr">
        <is>
          <t>Exception</t>
        </is>
      </c>
      <c r="AB119" s="26" t="inlineStr">
        <is>
          <t>Review</t>
        </is>
      </c>
      <c r="AC119" s="26" t="inlineStr">
        <is>
          <t>WQ-PHA-03</t>
        </is>
      </c>
      <c r="AD119" s="26" t="inlineStr">
        <is>
          <t>Dose/frequency</t>
        </is>
      </c>
      <c r="AE119" s="26" t="inlineStr">
        <is>
          <t>Z79.2</t>
        </is>
      </c>
      <c r="AF119" s="26" t="inlineStr">
        <is>
          <t>21</t>
        </is>
      </c>
      <c r="AG119" s="26" t="inlineStr">
        <is>
          <t>2026-09-09 16:30</t>
        </is>
      </c>
      <c r="AH119" s="26" t="inlineStr">
        <is>
          <t>Synthetic Athena negotiated charge</t>
        </is>
      </c>
    </row>
    <row r="120">
      <c r="A120" s="26" t="inlineStr">
        <is>
          <t>IPD-CHG-0058-CGH</t>
        </is>
      </c>
      <c r="B120" s="26" t="inlineStr">
        <is>
          <t>HAR-202600058-CGH</t>
        </is>
      </c>
      <c r="C120" s="26" t="inlineStr">
        <is>
          <t>CSN-IPD-780058-CGH</t>
        </is>
      </c>
      <c r="D120" s="26" t="inlineStr">
        <is>
          <t>Inpatient</t>
        </is>
      </c>
      <c r="E120" s="26" t="inlineStr">
        <is>
          <t>Demo Regional Medical Center</t>
        </is>
      </c>
      <c r="F120" s="26" t="inlineStr">
        <is>
          <t>Pharmacy</t>
        </is>
      </c>
      <c r="G120" s="26" t="inlineStr">
        <is>
          <t>2026-09-09</t>
        </is>
      </c>
      <c r="H120" s="26" t="inlineStr">
        <is>
          <t>DRUG-CEFA-1G</t>
        </is>
      </c>
      <c r="I120" s="26" t="inlineStr">
        <is>
          <t>Cefazolin 1 g Injection</t>
        </is>
      </c>
      <c r="J120" s="26" t="inlineStr">
        <is>
          <t>0250</t>
        </is>
      </c>
      <c r="K120" s="26" t="inlineStr">
        <is>
          <t>J0690</t>
        </is>
      </c>
      <c r="L120" s="26" t="n"/>
      <c r="M120" s="26" t="n">
        <v>3</v>
      </c>
      <c r="N120" s="13" t="n">
        <v>500</v>
      </c>
      <c r="O120" s="13">
        <f>M120*N120</f>
        <v/>
      </c>
      <c r="P120" s="13" t="n">
        <v>752.83</v>
      </c>
      <c r="Q120" s="13">
        <f>P120*15%</f>
        <v/>
      </c>
      <c r="R120" s="13">
        <f>O120-P120</f>
        <v/>
      </c>
      <c r="S120" s="26" t="inlineStr">
        <is>
          <t>Care Gap Health</t>
        </is>
      </c>
      <c r="T120" s="26" t="inlineStr">
        <is>
          <t>Care Gap Value PPO</t>
        </is>
      </c>
      <c r="U120" s="26" t="n"/>
      <c r="V120" s="26" t="inlineStr">
        <is>
          <t>Eleanor Brooks, MD</t>
        </is>
      </c>
      <c r="W120" s="26" t="inlineStr">
        <is>
          <t>Assigned Department Provider</t>
        </is>
      </c>
      <c r="X120" s="26" t="inlineStr">
        <is>
          <t>Pharmacy MAR</t>
        </is>
      </c>
      <c r="Y120" s="26" t="inlineStr">
        <is>
          <t>Medication administration</t>
        </is>
      </c>
      <c r="Z120" s="26" t="inlineStr">
        <is>
          <t>Hold</t>
        </is>
      </c>
      <c r="AA120" s="26" t="inlineStr">
        <is>
          <t>Exception</t>
        </is>
      </c>
      <c r="AB120" s="26" t="inlineStr">
        <is>
          <t>Review</t>
        </is>
      </c>
      <c r="AC120" s="26" t="inlineStr">
        <is>
          <t>WQ-PHA-03</t>
        </is>
      </c>
      <c r="AD120" s="26" t="inlineStr">
        <is>
          <t>Dose/frequency</t>
        </is>
      </c>
      <c r="AE120" s="26" t="inlineStr">
        <is>
          <t>Z79.2</t>
        </is>
      </c>
      <c r="AF120" s="26" t="inlineStr">
        <is>
          <t>21</t>
        </is>
      </c>
      <c r="AG120" s="26" t="inlineStr">
        <is>
          <t>2026-09-09 16:30</t>
        </is>
      </c>
      <c r="AH120" s="26" t="inlineStr">
        <is>
          <t>Synthetic Care Gap charge; 10% below Athena allowed amount</t>
        </is>
      </c>
    </row>
    <row r="121">
      <c r="A121" s="26" t="inlineStr">
        <is>
          <t>IPD-CHG-0059-ATH</t>
        </is>
      </c>
      <c r="B121" s="26" t="inlineStr">
        <is>
          <t>HAR-202600059-ATH</t>
        </is>
      </c>
      <c r="C121" s="26" t="inlineStr">
        <is>
          <t>CSN-IPD-780059-ATH</t>
        </is>
      </c>
      <c r="D121" s="26" t="inlineStr">
        <is>
          <t>Inpatient</t>
        </is>
      </c>
      <c r="E121" s="26" t="inlineStr">
        <is>
          <t>Demo Regional Medical Center</t>
        </is>
      </c>
      <c r="F121" s="26" t="inlineStr">
        <is>
          <t>Pharmacy</t>
        </is>
      </c>
      <c r="G121" s="26" t="inlineStr">
        <is>
          <t>2026-09-10</t>
        </is>
      </c>
      <c r="H121" s="26" t="inlineStr">
        <is>
          <t>DRUG-VANC-500</t>
        </is>
      </c>
      <c r="I121" s="26" t="inlineStr">
        <is>
          <t>Vancomycin 500 mg Injection</t>
        </is>
      </c>
      <c r="J121" s="26" t="inlineStr">
        <is>
          <t>0250</t>
        </is>
      </c>
      <c r="K121" s="26" t="inlineStr">
        <is>
          <t>J3370</t>
        </is>
      </c>
      <c r="L121" s="26" t="n"/>
      <c r="M121" s="26" t="n">
        <v>2</v>
      </c>
      <c r="N121" s="13" t="n">
        <v>680</v>
      </c>
      <c r="O121" s="13">
        <f>M121*N121</f>
        <v/>
      </c>
      <c r="P121" s="13" t="n">
        <v>628.17</v>
      </c>
      <c r="Q121" s="13">
        <f>P121*20%</f>
        <v/>
      </c>
      <c r="R121" s="13">
        <f>O121-P121</f>
        <v/>
      </c>
      <c r="S121" s="26" t="inlineStr">
        <is>
          <t>Athena Health Insurance</t>
        </is>
      </c>
      <c r="T121" s="26" t="inlineStr">
        <is>
          <t>Athena PPO</t>
        </is>
      </c>
      <c r="U121" s="26" t="n"/>
      <c r="V121" s="26" t="inlineStr">
        <is>
          <t>Eleanor Brooks, MD</t>
        </is>
      </c>
      <c r="W121" s="26" t="inlineStr">
        <is>
          <t>Assigned Department Provider</t>
        </is>
      </c>
      <c r="X121" s="26" t="inlineStr">
        <is>
          <t>Pharmacy MAR</t>
        </is>
      </c>
      <c r="Y121" s="26" t="inlineStr">
        <is>
          <t>Medication administration</t>
        </is>
      </c>
      <c r="Z121" s="26" t="inlineStr">
        <is>
          <t>Posted</t>
        </is>
      </c>
      <c r="AA121" s="26" t="inlineStr">
        <is>
          <t>Matched</t>
        </is>
      </c>
      <c r="AB121" s="26" t="inlineStr">
        <is>
          <t>Passed</t>
        </is>
      </c>
      <c r="AC121" s="26" t="n"/>
      <c r="AD121" s="26" t="inlineStr">
        <is>
          <t>Dose/frequency</t>
        </is>
      </c>
      <c r="AE121" s="26" t="inlineStr">
        <is>
          <t>Z79.2</t>
        </is>
      </c>
      <c r="AF121" s="26" t="inlineStr">
        <is>
          <t>21</t>
        </is>
      </c>
      <c r="AG121" s="26" t="inlineStr">
        <is>
          <t>2026-09-10 16:30</t>
        </is>
      </c>
      <c r="AH121" s="26" t="inlineStr">
        <is>
          <t>Synthetic Athena negotiated charge</t>
        </is>
      </c>
    </row>
    <row r="122">
      <c r="A122" s="26" t="inlineStr">
        <is>
          <t>IPD-CHG-0059-CGH</t>
        </is>
      </c>
      <c r="B122" s="26" t="inlineStr">
        <is>
          <t>HAR-202600059-CGH</t>
        </is>
      </c>
      <c r="C122" s="26" t="inlineStr">
        <is>
          <t>CSN-IPD-780059-CGH</t>
        </is>
      </c>
      <c r="D122" s="26" t="inlineStr">
        <is>
          <t>Inpatient</t>
        </is>
      </c>
      <c r="E122" s="26" t="inlineStr">
        <is>
          <t>Demo Regional Medical Center</t>
        </is>
      </c>
      <c r="F122" s="26" t="inlineStr">
        <is>
          <t>Pharmacy</t>
        </is>
      </c>
      <c r="G122" s="26" t="inlineStr">
        <is>
          <t>2026-09-10</t>
        </is>
      </c>
      <c r="H122" s="26" t="inlineStr">
        <is>
          <t>DRUG-VANC-500</t>
        </is>
      </c>
      <c r="I122" s="26" t="inlineStr">
        <is>
          <t>Vancomycin 500 mg Injection</t>
        </is>
      </c>
      <c r="J122" s="26" t="inlineStr">
        <is>
          <t>0250</t>
        </is>
      </c>
      <c r="K122" s="26" t="inlineStr">
        <is>
          <t>J3370</t>
        </is>
      </c>
      <c r="L122" s="26" t="n"/>
      <c r="M122" s="26" t="n">
        <v>2</v>
      </c>
      <c r="N122" s="13" t="n">
        <v>680</v>
      </c>
      <c r="O122" s="13">
        <f>M122*N122</f>
        <v/>
      </c>
      <c r="P122" s="13" t="n">
        <v>565.35</v>
      </c>
      <c r="Q122" s="13">
        <f>P122*15%</f>
        <v/>
      </c>
      <c r="R122" s="13">
        <f>O122-P122</f>
        <v/>
      </c>
      <c r="S122" s="26" t="inlineStr">
        <is>
          <t>Care Gap Health</t>
        </is>
      </c>
      <c r="T122" s="26" t="inlineStr">
        <is>
          <t>Care Gap Value PPO</t>
        </is>
      </c>
      <c r="U122" s="26" t="n"/>
      <c r="V122" s="26" t="inlineStr">
        <is>
          <t>Eleanor Brooks, MD</t>
        </is>
      </c>
      <c r="W122" s="26" t="inlineStr">
        <is>
          <t>Assigned Department Provider</t>
        </is>
      </c>
      <c r="X122" s="26" t="inlineStr">
        <is>
          <t>Pharmacy MAR</t>
        </is>
      </c>
      <c r="Y122" s="26" t="inlineStr">
        <is>
          <t>Medication administration</t>
        </is>
      </c>
      <c r="Z122" s="26" t="inlineStr">
        <is>
          <t>Posted</t>
        </is>
      </c>
      <c r="AA122" s="26" t="inlineStr">
        <is>
          <t>Matched</t>
        </is>
      </c>
      <c r="AB122" s="26" t="inlineStr">
        <is>
          <t>Passed</t>
        </is>
      </c>
      <c r="AC122" s="26" t="n"/>
      <c r="AD122" s="26" t="inlineStr">
        <is>
          <t>Dose/frequency</t>
        </is>
      </c>
      <c r="AE122" s="26" t="inlineStr">
        <is>
          <t>Z79.2</t>
        </is>
      </c>
      <c r="AF122" s="26" t="inlineStr">
        <is>
          <t>21</t>
        </is>
      </c>
      <c r="AG122" s="26" t="inlineStr">
        <is>
          <t>2026-09-10 16:30</t>
        </is>
      </c>
      <c r="AH122" s="26" t="inlineStr">
        <is>
          <t>Synthetic Care Gap charge; 10% below Athena allowed amount</t>
        </is>
      </c>
    </row>
    <row r="123">
      <c r="A123" s="26" t="inlineStr">
        <is>
          <t>IPD-CHG-0060-ATH</t>
        </is>
      </c>
      <c r="B123" s="26" t="inlineStr">
        <is>
          <t>HAR-202600060-ATH</t>
        </is>
      </c>
      <c r="C123" s="26" t="inlineStr">
        <is>
          <t>CSN-IPD-780060-ATH</t>
        </is>
      </c>
      <c r="D123" s="26" t="inlineStr">
        <is>
          <t>Inpatient</t>
        </is>
      </c>
      <c r="E123" s="26" t="inlineStr">
        <is>
          <t>Demo Regional Medical Center</t>
        </is>
      </c>
      <c r="F123" s="26" t="inlineStr">
        <is>
          <t>Pharmacy</t>
        </is>
      </c>
      <c r="G123" s="26" t="inlineStr">
        <is>
          <t>2026-09-11</t>
        </is>
      </c>
      <c r="H123" s="26" t="inlineStr">
        <is>
          <t>IV-NS-1L</t>
        </is>
      </c>
      <c r="I123" s="26" t="inlineStr">
        <is>
          <t>Normal Saline 1,000 mL</t>
        </is>
      </c>
      <c r="J123" s="26" t="inlineStr">
        <is>
          <t>0258</t>
        </is>
      </c>
      <c r="K123" s="26" t="inlineStr">
        <is>
          <t>J7030</t>
        </is>
      </c>
      <c r="L123" s="26" t="n"/>
      <c r="M123" s="26" t="n">
        <v>3</v>
      </c>
      <c r="N123" s="13" t="n">
        <v>90</v>
      </c>
      <c r="O123" s="13">
        <f>M123*N123</f>
        <v/>
      </c>
      <c r="P123" s="13" t="n">
        <v>158.87</v>
      </c>
      <c r="Q123" s="13">
        <f>P123*20%</f>
        <v/>
      </c>
      <c r="R123" s="13">
        <f>O123-P123</f>
        <v/>
      </c>
      <c r="S123" s="26" t="inlineStr">
        <is>
          <t>Athena Health Insurance</t>
        </is>
      </c>
      <c r="T123" s="26" t="inlineStr">
        <is>
          <t>Athena PPO</t>
        </is>
      </c>
      <c r="U123" s="26" t="n"/>
      <c r="V123" s="26" t="inlineStr">
        <is>
          <t>Eleanor Brooks, MD</t>
        </is>
      </c>
      <c r="W123" s="26" t="inlineStr">
        <is>
          <t>Assigned Department Provider</t>
        </is>
      </c>
      <c r="X123" s="26" t="inlineStr">
        <is>
          <t>Pharmacy MAR</t>
        </is>
      </c>
      <c r="Y123" s="26" t="inlineStr">
        <is>
          <t>Medication administration</t>
        </is>
      </c>
      <c r="Z123" s="26" t="inlineStr">
        <is>
          <t>Posted</t>
        </is>
      </c>
      <c r="AA123" s="26" t="inlineStr">
        <is>
          <t>Matched</t>
        </is>
      </c>
      <c r="AB123" s="26" t="inlineStr">
        <is>
          <t>Passed</t>
        </is>
      </c>
      <c r="AC123" s="26" t="n"/>
      <c r="AD123" s="26" t="inlineStr">
        <is>
          <t>N/A</t>
        </is>
      </c>
      <c r="AE123" s="26" t="inlineStr">
        <is>
          <t>E86.0</t>
        </is>
      </c>
      <c r="AF123" s="26" t="inlineStr">
        <is>
          <t>21</t>
        </is>
      </c>
      <c r="AG123" s="26" t="inlineStr">
        <is>
          <t>2026-09-11 16:30</t>
        </is>
      </c>
      <c r="AH123" s="26" t="inlineStr">
        <is>
          <t>Synthetic Athena negotiated charge</t>
        </is>
      </c>
    </row>
    <row r="124">
      <c r="A124" s="26" t="inlineStr">
        <is>
          <t>IPD-CHG-0060-CGH</t>
        </is>
      </c>
      <c r="B124" s="26" t="inlineStr">
        <is>
          <t>HAR-202600060-CGH</t>
        </is>
      </c>
      <c r="C124" s="26" t="inlineStr">
        <is>
          <t>CSN-IPD-780060-CGH</t>
        </is>
      </c>
      <c r="D124" s="26" t="inlineStr">
        <is>
          <t>Inpatient</t>
        </is>
      </c>
      <c r="E124" s="26" t="inlineStr">
        <is>
          <t>Demo Regional Medical Center</t>
        </is>
      </c>
      <c r="F124" s="26" t="inlineStr">
        <is>
          <t>Pharmacy</t>
        </is>
      </c>
      <c r="G124" s="26" t="inlineStr">
        <is>
          <t>2026-09-11</t>
        </is>
      </c>
      <c r="H124" s="26" t="inlineStr">
        <is>
          <t>IV-NS-1L</t>
        </is>
      </c>
      <c r="I124" s="26" t="inlineStr">
        <is>
          <t>Normal Saline 1,000 mL</t>
        </is>
      </c>
      <c r="J124" s="26" t="inlineStr">
        <is>
          <t>0258</t>
        </is>
      </c>
      <c r="K124" s="26" t="inlineStr">
        <is>
          <t>J7030</t>
        </is>
      </c>
      <c r="L124" s="26" t="n"/>
      <c r="M124" s="26" t="n">
        <v>3</v>
      </c>
      <c r="N124" s="13" t="n">
        <v>90</v>
      </c>
      <c r="O124" s="13">
        <f>M124*N124</f>
        <v/>
      </c>
      <c r="P124" s="13" t="n">
        <v>142.98</v>
      </c>
      <c r="Q124" s="13">
        <f>P124*15%</f>
        <v/>
      </c>
      <c r="R124" s="13">
        <f>O124-P124</f>
        <v/>
      </c>
      <c r="S124" s="26" t="inlineStr">
        <is>
          <t>Care Gap Health</t>
        </is>
      </c>
      <c r="T124" s="26" t="inlineStr">
        <is>
          <t>Care Gap Value PPO</t>
        </is>
      </c>
      <c r="U124" s="26" t="n"/>
      <c r="V124" s="26" t="inlineStr">
        <is>
          <t>Eleanor Brooks, MD</t>
        </is>
      </c>
      <c r="W124" s="26" t="inlineStr">
        <is>
          <t>Assigned Department Provider</t>
        </is>
      </c>
      <c r="X124" s="26" t="inlineStr">
        <is>
          <t>Pharmacy MAR</t>
        </is>
      </c>
      <c r="Y124" s="26" t="inlineStr">
        <is>
          <t>Medication administration</t>
        </is>
      </c>
      <c r="Z124" s="26" t="inlineStr">
        <is>
          <t>Posted</t>
        </is>
      </c>
      <c r="AA124" s="26" t="inlineStr">
        <is>
          <t>Matched</t>
        </is>
      </c>
      <c r="AB124" s="26" t="inlineStr">
        <is>
          <t>Passed</t>
        </is>
      </c>
      <c r="AC124" s="26" t="n"/>
      <c r="AD124" s="26" t="inlineStr">
        <is>
          <t>N/A</t>
        </is>
      </c>
      <c r="AE124" s="26" t="inlineStr">
        <is>
          <t>E86.0</t>
        </is>
      </c>
      <c r="AF124" s="26" t="inlineStr">
        <is>
          <t>21</t>
        </is>
      </c>
      <c r="AG124" s="26" t="inlineStr">
        <is>
          <t>2026-09-11 16:30</t>
        </is>
      </c>
      <c r="AH124" s="26" t="inlineStr">
        <is>
          <t>Synthetic Care Gap charge; 10% below Athena allowed amount</t>
        </is>
      </c>
    </row>
    <row r="125">
      <c r="A125" s="26" t="inlineStr">
        <is>
          <t>IPD-CHG-0061-ATH</t>
        </is>
      </c>
      <c r="B125" s="26" t="inlineStr">
        <is>
          <t>HAR-202600061-ATH</t>
        </is>
      </c>
      <c r="C125" s="26" t="inlineStr">
        <is>
          <t>CSN-IPD-780061-ATH</t>
        </is>
      </c>
      <c r="D125" s="26" t="inlineStr">
        <is>
          <t>Inpatient</t>
        </is>
      </c>
      <c r="E125" s="26" t="inlineStr">
        <is>
          <t>Demo Regional Medical Center</t>
        </is>
      </c>
      <c r="F125" s="26" t="inlineStr">
        <is>
          <t>Laboratory</t>
        </is>
      </c>
      <c r="G125" s="26" t="inlineStr">
        <is>
          <t>2026-09-12</t>
        </is>
      </c>
      <c r="H125" s="26" t="inlineStr">
        <is>
          <t>LAB-CBC</t>
        </is>
      </c>
      <c r="I125" s="26" t="inlineStr">
        <is>
          <t>Complete Blood Count with Differential</t>
        </is>
      </c>
      <c r="J125" s="26" t="inlineStr">
        <is>
          <t>0300</t>
        </is>
      </c>
      <c r="K125" s="26" t="inlineStr">
        <is>
          <t>85025</t>
        </is>
      </c>
      <c r="L125" s="26" t="n"/>
      <c r="M125" s="26" t="n">
        <v>1</v>
      </c>
      <c r="N125" s="13" t="n">
        <v>155</v>
      </c>
      <c r="O125" s="13">
        <f>M125*N125</f>
        <v/>
      </c>
      <c r="P125" s="13" t="n">
        <v>77.31999999999999</v>
      </c>
      <c r="Q125" s="13">
        <f>P125*20%</f>
        <v/>
      </c>
      <c r="R125" s="13">
        <f>O125-P125</f>
        <v/>
      </c>
      <c r="S125" s="26" t="inlineStr">
        <is>
          <t>Athena Health Insurance</t>
        </is>
      </c>
      <c r="T125" s="26" t="inlineStr">
        <is>
          <t>Athena PPO</t>
        </is>
      </c>
      <c r="U125" s="26" t="n"/>
      <c r="V125" s="26" t="inlineStr">
        <is>
          <t>Eleanor Brooks, MD</t>
        </is>
      </c>
      <c r="W125" s="26" t="inlineStr">
        <is>
          <t>Assigned Department Provider</t>
        </is>
      </c>
      <c r="X125" s="26" t="inlineStr">
        <is>
          <t>LIS</t>
        </is>
      </c>
      <c r="Y125" s="26" t="inlineStr">
        <is>
          <t>Final result</t>
        </is>
      </c>
      <c r="Z125" s="26" t="inlineStr">
        <is>
          <t>Posted</t>
        </is>
      </c>
      <c r="AA125" s="26" t="inlineStr">
        <is>
          <t>Matched</t>
        </is>
      </c>
      <c r="AB125" s="26" t="inlineStr">
        <is>
          <t>Passed</t>
        </is>
      </c>
      <c r="AC125" s="26" t="n"/>
      <c r="AD125" s="26" t="inlineStr">
        <is>
          <t>Diagnosis/LCD</t>
        </is>
      </c>
      <c r="AE125" s="26" t="inlineStr">
        <is>
          <t>D64.9</t>
        </is>
      </c>
      <c r="AF125" s="26" t="inlineStr">
        <is>
          <t>21</t>
        </is>
      </c>
      <c r="AG125" s="26" t="inlineStr">
        <is>
          <t>2026-09-12 16:30</t>
        </is>
      </c>
      <c r="AH125" s="26" t="inlineStr">
        <is>
          <t>Synthetic Athena negotiated charge</t>
        </is>
      </c>
    </row>
    <row r="126">
      <c r="A126" s="26" t="inlineStr">
        <is>
          <t>IPD-CHG-0061-CGH</t>
        </is>
      </c>
      <c r="B126" s="26" t="inlineStr">
        <is>
          <t>HAR-202600061-CGH</t>
        </is>
      </c>
      <c r="C126" s="26" t="inlineStr">
        <is>
          <t>CSN-IPD-780061-CGH</t>
        </is>
      </c>
      <c r="D126" s="26" t="inlineStr">
        <is>
          <t>Inpatient</t>
        </is>
      </c>
      <c r="E126" s="26" t="inlineStr">
        <is>
          <t>Demo Regional Medical Center</t>
        </is>
      </c>
      <c r="F126" s="26" t="inlineStr">
        <is>
          <t>Laboratory</t>
        </is>
      </c>
      <c r="G126" s="26" t="inlineStr">
        <is>
          <t>2026-09-12</t>
        </is>
      </c>
      <c r="H126" s="26" t="inlineStr">
        <is>
          <t>LAB-CBC</t>
        </is>
      </c>
      <c r="I126" s="26" t="inlineStr">
        <is>
          <t>Complete Blood Count with Differential</t>
        </is>
      </c>
      <c r="J126" s="26" t="inlineStr">
        <is>
          <t>0300</t>
        </is>
      </c>
      <c r="K126" s="26" t="inlineStr">
        <is>
          <t>85025</t>
        </is>
      </c>
      <c r="L126" s="26" t="n"/>
      <c r="M126" s="26" t="n">
        <v>1</v>
      </c>
      <c r="N126" s="13" t="n">
        <v>155</v>
      </c>
      <c r="O126" s="13">
        <f>M126*N126</f>
        <v/>
      </c>
      <c r="P126" s="13" t="n">
        <v>69.59</v>
      </c>
      <c r="Q126" s="13">
        <f>P126*15%</f>
        <v/>
      </c>
      <c r="R126" s="13">
        <f>O126-P126</f>
        <v/>
      </c>
      <c r="S126" s="26" t="inlineStr">
        <is>
          <t>Care Gap Health</t>
        </is>
      </c>
      <c r="T126" s="26" t="inlineStr">
        <is>
          <t>Care Gap Value PPO</t>
        </is>
      </c>
      <c r="U126" s="26" t="n"/>
      <c r="V126" s="26" t="inlineStr">
        <is>
          <t>Eleanor Brooks, MD</t>
        </is>
      </c>
      <c r="W126" s="26" t="inlineStr">
        <is>
          <t>Assigned Department Provider</t>
        </is>
      </c>
      <c r="X126" s="26" t="inlineStr">
        <is>
          <t>LIS</t>
        </is>
      </c>
      <c r="Y126" s="26" t="inlineStr">
        <is>
          <t>Final result</t>
        </is>
      </c>
      <c r="Z126" s="26" t="inlineStr">
        <is>
          <t>Posted</t>
        </is>
      </c>
      <c r="AA126" s="26" t="inlineStr">
        <is>
          <t>Matched</t>
        </is>
      </c>
      <c r="AB126" s="26" t="inlineStr">
        <is>
          <t>Passed</t>
        </is>
      </c>
      <c r="AC126" s="26" t="n"/>
      <c r="AD126" s="26" t="inlineStr">
        <is>
          <t>Diagnosis/LCD</t>
        </is>
      </c>
      <c r="AE126" s="26" t="inlineStr">
        <is>
          <t>D64.9</t>
        </is>
      </c>
      <c r="AF126" s="26" t="inlineStr">
        <is>
          <t>21</t>
        </is>
      </c>
      <c r="AG126" s="26" t="inlineStr">
        <is>
          <t>2026-09-12 16:30</t>
        </is>
      </c>
      <c r="AH126" s="26" t="inlineStr">
        <is>
          <t>Synthetic Care Gap charge; 10% below Athena allowed amount</t>
        </is>
      </c>
    </row>
    <row r="127">
      <c r="A127" s="26" t="inlineStr">
        <is>
          <t>IPD-CHG-0062-ATH</t>
        </is>
      </c>
      <c r="B127" s="26" t="inlineStr">
        <is>
          <t>HAR-202600062-ATH</t>
        </is>
      </c>
      <c r="C127" s="26" t="inlineStr">
        <is>
          <t>CSN-IPD-780062-ATH</t>
        </is>
      </c>
      <c r="D127" s="26" t="inlineStr">
        <is>
          <t>Inpatient</t>
        </is>
      </c>
      <c r="E127" s="26" t="inlineStr">
        <is>
          <t>Demo Regional Medical Center</t>
        </is>
      </c>
      <c r="F127" s="26" t="inlineStr">
        <is>
          <t>Laboratory</t>
        </is>
      </c>
      <c r="G127" s="26" t="inlineStr">
        <is>
          <t>2026-09-13</t>
        </is>
      </c>
      <c r="H127" s="26" t="inlineStr">
        <is>
          <t>LAB-CMP</t>
        </is>
      </c>
      <c r="I127" s="26" t="inlineStr">
        <is>
          <t>Comprehensive Metabolic Panel</t>
        </is>
      </c>
      <c r="J127" s="26" t="inlineStr">
        <is>
          <t>0301</t>
        </is>
      </c>
      <c r="K127" s="26" t="inlineStr">
        <is>
          <t>80053</t>
        </is>
      </c>
      <c r="L127" s="26" t="n"/>
      <c r="M127" s="26" t="n">
        <v>1</v>
      </c>
      <c r="N127" s="13" t="n">
        <v>245</v>
      </c>
      <c r="O127" s="13">
        <f>M127*N127</f>
        <v/>
      </c>
      <c r="P127" s="13" t="n">
        <v>145.87</v>
      </c>
      <c r="Q127" s="13">
        <f>P127*20%</f>
        <v/>
      </c>
      <c r="R127" s="13">
        <f>O127-P127</f>
        <v/>
      </c>
      <c r="S127" s="26" t="inlineStr">
        <is>
          <t>Athena Health Insurance</t>
        </is>
      </c>
      <c r="T127" s="26" t="inlineStr">
        <is>
          <t>Athena PPO</t>
        </is>
      </c>
      <c r="U127" s="26" t="n"/>
      <c r="V127" s="26" t="inlineStr">
        <is>
          <t>Eleanor Brooks, MD</t>
        </is>
      </c>
      <c r="W127" s="26" t="inlineStr">
        <is>
          <t>Assigned Department Provider</t>
        </is>
      </c>
      <c r="X127" s="26" t="inlineStr">
        <is>
          <t>LIS</t>
        </is>
      </c>
      <c r="Y127" s="26" t="inlineStr">
        <is>
          <t>Final result</t>
        </is>
      </c>
      <c r="Z127" s="26" t="inlineStr">
        <is>
          <t>Posted</t>
        </is>
      </c>
      <c r="AA127" s="26" t="inlineStr">
        <is>
          <t>Matched</t>
        </is>
      </c>
      <c r="AB127" s="26" t="inlineStr">
        <is>
          <t>Passed</t>
        </is>
      </c>
      <c r="AC127" s="26" t="n"/>
      <c r="AD127" s="26" t="inlineStr">
        <is>
          <t>Diagnosis/LCD</t>
        </is>
      </c>
      <c r="AE127" s="26" t="inlineStr">
        <is>
          <t>E11.9</t>
        </is>
      </c>
      <c r="AF127" s="26" t="inlineStr">
        <is>
          <t>21</t>
        </is>
      </c>
      <c r="AG127" s="26" t="inlineStr">
        <is>
          <t>2026-09-13 16:30</t>
        </is>
      </c>
      <c r="AH127" s="26" t="inlineStr">
        <is>
          <t>Synthetic Athena negotiated charge</t>
        </is>
      </c>
    </row>
    <row r="128">
      <c r="A128" s="26" t="inlineStr">
        <is>
          <t>IPD-CHG-0062-CGH</t>
        </is>
      </c>
      <c r="B128" s="26" t="inlineStr">
        <is>
          <t>HAR-202600062-CGH</t>
        </is>
      </c>
      <c r="C128" s="26" t="inlineStr">
        <is>
          <t>CSN-IPD-780062-CGH</t>
        </is>
      </c>
      <c r="D128" s="26" t="inlineStr">
        <is>
          <t>Inpatient</t>
        </is>
      </c>
      <c r="E128" s="26" t="inlineStr">
        <is>
          <t>Demo Regional Medical Center</t>
        </is>
      </c>
      <c r="F128" s="26" t="inlineStr">
        <is>
          <t>Laboratory</t>
        </is>
      </c>
      <c r="G128" s="26" t="inlineStr">
        <is>
          <t>2026-09-13</t>
        </is>
      </c>
      <c r="H128" s="26" t="inlineStr">
        <is>
          <t>LAB-CMP</t>
        </is>
      </c>
      <c r="I128" s="26" t="inlineStr">
        <is>
          <t>Comprehensive Metabolic Panel</t>
        </is>
      </c>
      <c r="J128" s="26" t="inlineStr">
        <is>
          <t>0301</t>
        </is>
      </c>
      <c r="K128" s="26" t="inlineStr">
        <is>
          <t>80053</t>
        </is>
      </c>
      <c r="L128" s="26" t="n"/>
      <c r="M128" s="26" t="n">
        <v>1</v>
      </c>
      <c r="N128" s="13" t="n">
        <v>245</v>
      </c>
      <c r="O128" s="13">
        <f>M128*N128</f>
        <v/>
      </c>
      <c r="P128" s="13" t="n">
        <v>131.28</v>
      </c>
      <c r="Q128" s="13">
        <f>P128*15%</f>
        <v/>
      </c>
      <c r="R128" s="13">
        <f>O128-P128</f>
        <v/>
      </c>
      <c r="S128" s="26" t="inlineStr">
        <is>
          <t>Care Gap Health</t>
        </is>
      </c>
      <c r="T128" s="26" t="inlineStr">
        <is>
          <t>Care Gap Value PPO</t>
        </is>
      </c>
      <c r="U128" s="26" t="n"/>
      <c r="V128" s="26" t="inlineStr">
        <is>
          <t>Eleanor Brooks, MD</t>
        </is>
      </c>
      <c r="W128" s="26" t="inlineStr">
        <is>
          <t>Assigned Department Provider</t>
        </is>
      </c>
      <c r="X128" s="26" t="inlineStr">
        <is>
          <t>LIS</t>
        </is>
      </c>
      <c r="Y128" s="26" t="inlineStr">
        <is>
          <t>Final result</t>
        </is>
      </c>
      <c r="Z128" s="26" t="inlineStr">
        <is>
          <t>Posted</t>
        </is>
      </c>
      <c r="AA128" s="26" t="inlineStr">
        <is>
          <t>Matched</t>
        </is>
      </c>
      <c r="AB128" s="26" t="inlineStr">
        <is>
          <t>Passed</t>
        </is>
      </c>
      <c r="AC128" s="26" t="n"/>
      <c r="AD128" s="26" t="inlineStr">
        <is>
          <t>Diagnosis/LCD</t>
        </is>
      </c>
      <c r="AE128" s="26" t="inlineStr">
        <is>
          <t>E11.9</t>
        </is>
      </c>
      <c r="AF128" s="26" t="inlineStr">
        <is>
          <t>21</t>
        </is>
      </c>
      <c r="AG128" s="26" t="inlineStr">
        <is>
          <t>2026-09-13 16:30</t>
        </is>
      </c>
      <c r="AH128" s="26" t="inlineStr">
        <is>
          <t>Synthetic Care Gap charge; 10% below Athena allowed amount</t>
        </is>
      </c>
    </row>
    <row r="129">
      <c r="A129" s="26" t="inlineStr">
        <is>
          <t>IPD-CHG-0063-ATH</t>
        </is>
      </c>
      <c r="B129" s="26" t="inlineStr">
        <is>
          <t>HAR-202600063-ATH</t>
        </is>
      </c>
      <c r="C129" s="26" t="inlineStr">
        <is>
          <t>CSN-IPD-780063-ATH</t>
        </is>
      </c>
      <c r="D129" s="26" t="inlineStr">
        <is>
          <t>Inpatient</t>
        </is>
      </c>
      <c r="E129" s="26" t="inlineStr">
        <is>
          <t>Demo Regional Medical Center</t>
        </is>
      </c>
      <c r="F129" s="26" t="inlineStr">
        <is>
          <t>Laboratory</t>
        </is>
      </c>
      <c r="G129" s="26" t="inlineStr">
        <is>
          <t>2026-09-14</t>
        </is>
      </c>
      <c r="H129" s="26" t="inlineStr">
        <is>
          <t>LAB-PTINR</t>
        </is>
      </c>
      <c r="I129" s="26" t="inlineStr">
        <is>
          <t>Prothrombin Time / INR</t>
        </is>
      </c>
      <c r="J129" s="26" t="inlineStr">
        <is>
          <t>0305</t>
        </is>
      </c>
      <c r="K129" s="26" t="inlineStr">
        <is>
          <t>85610</t>
        </is>
      </c>
      <c r="L129" s="26" t="n"/>
      <c r="M129" s="26" t="n">
        <v>1</v>
      </c>
      <c r="N129" s="13" t="n">
        <v>125</v>
      </c>
      <c r="O129" s="13">
        <f>M129*N129</f>
        <v/>
      </c>
      <c r="P129" s="13" t="n">
        <v>86.17</v>
      </c>
      <c r="Q129" s="13">
        <f>P129*20%</f>
        <v/>
      </c>
      <c r="R129" s="13">
        <f>O129-P129</f>
        <v/>
      </c>
      <c r="S129" s="26" t="inlineStr">
        <is>
          <t>Athena Health Insurance</t>
        </is>
      </c>
      <c r="T129" s="26" t="inlineStr">
        <is>
          <t>Athena PPO</t>
        </is>
      </c>
      <c r="U129" s="26" t="n"/>
      <c r="V129" s="26" t="inlineStr">
        <is>
          <t>Eleanor Brooks, MD</t>
        </is>
      </c>
      <c r="W129" s="26" t="inlineStr">
        <is>
          <t>Assigned Department Provider</t>
        </is>
      </c>
      <c r="X129" s="26" t="inlineStr">
        <is>
          <t>LIS</t>
        </is>
      </c>
      <c r="Y129" s="26" t="inlineStr">
        <is>
          <t>Final result</t>
        </is>
      </c>
      <c r="Z129" s="26" t="inlineStr">
        <is>
          <t>Posted</t>
        </is>
      </c>
      <c r="AA129" s="26" t="inlineStr">
        <is>
          <t>Matched</t>
        </is>
      </c>
      <c r="AB129" s="26" t="inlineStr">
        <is>
          <t>Passed</t>
        </is>
      </c>
      <c r="AC129" s="26" t="n"/>
      <c r="AD129" s="26" t="inlineStr">
        <is>
          <t>Diagnosis/LCD</t>
        </is>
      </c>
      <c r="AE129" s="26" t="inlineStr">
        <is>
          <t>Z79.01</t>
        </is>
      </c>
      <c r="AF129" s="26" t="inlineStr">
        <is>
          <t>21</t>
        </is>
      </c>
      <c r="AG129" s="26" t="inlineStr">
        <is>
          <t>2026-09-14 16:30</t>
        </is>
      </c>
      <c r="AH129" s="26" t="inlineStr">
        <is>
          <t>Synthetic Athena negotiated charge</t>
        </is>
      </c>
    </row>
    <row r="130">
      <c r="A130" s="26" t="inlineStr">
        <is>
          <t>IPD-CHG-0063-CGH</t>
        </is>
      </c>
      <c r="B130" s="26" t="inlineStr">
        <is>
          <t>HAR-202600063-CGH</t>
        </is>
      </c>
      <c r="C130" s="26" t="inlineStr">
        <is>
          <t>CSN-IPD-780063-CGH</t>
        </is>
      </c>
      <c r="D130" s="26" t="inlineStr">
        <is>
          <t>Inpatient</t>
        </is>
      </c>
      <c r="E130" s="26" t="inlineStr">
        <is>
          <t>Demo Regional Medical Center</t>
        </is>
      </c>
      <c r="F130" s="26" t="inlineStr">
        <is>
          <t>Laboratory</t>
        </is>
      </c>
      <c r="G130" s="26" t="inlineStr">
        <is>
          <t>2026-09-14</t>
        </is>
      </c>
      <c r="H130" s="26" t="inlineStr">
        <is>
          <t>LAB-PTINR</t>
        </is>
      </c>
      <c r="I130" s="26" t="inlineStr">
        <is>
          <t>Prothrombin Time / INR</t>
        </is>
      </c>
      <c r="J130" s="26" t="inlineStr">
        <is>
          <t>0305</t>
        </is>
      </c>
      <c r="K130" s="26" t="inlineStr">
        <is>
          <t>85610</t>
        </is>
      </c>
      <c r="L130" s="26" t="n"/>
      <c r="M130" s="26" t="n">
        <v>1</v>
      </c>
      <c r="N130" s="13" t="n">
        <v>125</v>
      </c>
      <c r="O130" s="13">
        <f>M130*N130</f>
        <v/>
      </c>
      <c r="P130" s="13" t="n">
        <v>77.55</v>
      </c>
      <c r="Q130" s="13">
        <f>P130*15%</f>
        <v/>
      </c>
      <c r="R130" s="13">
        <f>O130-P130</f>
        <v/>
      </c>
      <c r="S130" s="26" t="inlineStr">
        <is>
          <t>Care Gap Health</t>
        </is>
      </c>
      <c r="T130" s="26" t="inlineStr">
        <is>
          <t>Care Gap Value PPO</t>
        </is>
      </c>
      <c r="U130" s="26" t="n"/>
      <c r="V130" s="26" t="inlineStr">
        <is>
          <t>Eleanor Brooks, MD</t>
        </is>
      </c>
      <c r="W130" s="26" t="inlineStr">
        <is>
          <t>Assigned Department Provider</t>
        </is>
      </c>
      <c r="X130" s="26" t="inlineStr">
        <is>
          <t>LIS</t>
        </is>
      </c>
      <c r="Y130" s="26" t="inlineStr">
        <is>
          <t>Final result</t>
        </is>
      </c>
      <c r="Z130" s="26" t="inlineStr">
        <is>
          <t>Posted</t>
        </is>
      </c>
      <c r="AA130" s="26" t="inlineStr">
        <is>
          <t>Matched</t>
        </is>
      </c>
      <c r="AB130" s="26" t="inlineStr">
        <is>
          <t>Passed</t>
        </is>
      </c>
      <c r="AC130" s="26" t="n"/>
      <c r="AD130" s="26" t="inlineStr">
        <is>
          <t>Diagnosis/LCD</t>
        </is>
      </c>
      <c r="AE130" s="26" t="inlineStr">
        <is>
          <t>Z79.01</t>
        </is>
      </c>
      <c r="AF130" s="26" t="inlineStr">
        <is>
          <t>21</t>
        </is>
      </c>
      <c r="AG130" s="26" t="inlineStr">
        <is>
          <t>2026-09-14 16:30</t>
        </is>
      </c>
      <c r="AH130" s="26" t="inlineStr">
        <is>
          <t>Synthetic Care Gap charge; 10% below Athena allowed amount</t>
        </is>
      </c>
    </row>
    <row r="131">
      <c r="A131" s="26" t="inlineStr">
        <is>
          <t>IPD-CHG-0064-ATH</t>
        </is>
      </c>
      <c r="B131" s="26" t="inlineStr">
        <is>
          <t>HAR-202600064-ATH</t>
        </is>
      </c>
      <c r="C131" s="26" t="inlineStr">
        <is>
          <t>CSN-IPD-780064-ATH</t>
        </is>
      </c>
      <c r="D131" s="26" t="inlineStr">
        <is>
          <t>Inpatient</t>
        </is>
      </c>
      <c r="E131" s="26" t="inlineStr">
        <is>
          <t>Demo Regional Medical Center</t>
        </is>
      </c>
      <c r="F131" s="26" t="inlineStr">
        <is>
          <t>Radiology</t>
        </is>
      </c>
      <c r="G131" s="26" t="inlineStr">
        <is>
          <t>2026-09-15</t>
        </is>
      </c>
      <c r="H131" s="26" t="inlineStr">
        <is>
          <t>RAD-CHEST-2V</t>
        </is>
      </c>
      <c r="I131" s="26" t="inlineStr">
        <is>
          <t>Chest X-ray, 2 Views</t>
        </is>
      </c>
      <c r="J131" s="26" t="inlineStr">
        <is>
          <t>0320</t>
        </is>
      </c>
      <c r="K131" s="26" t="inlineStr">
        <is>
          <t>71046</t>
        </is>
      </c>
      <c r="L131" s="26" t="n"/>
      <c r="M131" s="26" t="n">
        <v>1</v>
      </c>
      <c r="N131" s="13" t="n">
        <v>185</v>
      </c>
      <c r="O131" s="13">
        <f>M131*N131</f>
        <v/>
      </c>
      <c r="P131" s="13" t="n">
        <v>99.87</v>
      </c>
      <c r="Q131" s="13">
        <f>P131*20%</f>
        <v/>
      </c>
      <c r="R131" s="13">
        <f>O131-P131</f>
        <v/>
      </c>
      <c r="S131" s="26" t="inlineStr">
        <is>
          <t>Athena Health Insurance</t>
        </is>
      </c>
      <c r="T131" s="26" t="inlineStr">
        <is>
          <t>Athena PPO</t>
        </is>
      </c>
      <c r="U131" s="26" t="n"/>
      <c r="V131" s="26" t="inlineStr">
        <is>
          <t>Eleanor Brooks, MD</t>
        </is>
      </c>
      <c r="W131" s="26" t="inlineStr">
        <is>
          <t>Assigned Department Provider</t>
        </is>
      </c>
      <c r="X131" s="26" t="inlineStr">
        <is>
          <t>RIS/PACS</t>
        </is>
      </c>
      <c r="Y131" s="26" t="inlineStr">
        <is>
          <t>Exam completed</t>
        </is>
      </c>
      <c r="Z131" s="26" t="inlineStr">
        <is>
          <t>Posted</t>
        </is>
      </c>
      <c r="AA131" s="26" t="inlineStr">
        <is>
          <t>Matched</t>
        </is>
      </c>
      <c r="AB131" s="26" t="inlineStr">
        <is>
          <t>Passed</t>
        </is>
      </c>
      <c r="AC131" s="26" t="n"/>
      <c r="AD131" s="26" t="inlineStr">
        <is>
          <t>Diagnosis/LCD</t>
        </is>
      </c>
      <c r="AE131" s="26" t="inlineStr">
        <is>
          <t>R06.02</t>
        </is>
      </c>
      <c r="AF131" s="26" t="inlineStr">
        <is>
          <t>21</t>
        </is>
      </c>
      <c r="AG131" s="26" t="inlineStr">
        <is>
          <t>2026-09-15 16:30</t>
        </is>
      </c>
      <c r="AH131" s="26" t="inlineStr">
        <is>
          <t>Synthetic Athena negotiated charge</t>
        </is>
      </c>
    </row>
    <row r="132">
      <c r="A132" s="26" t="inlineStr">
        <is>
          <t>IPD-CHG-0064-CGH</t>
        </is>
      </c>
      <c r="B132" s="26" t="inlineStr">
        <is>
          <t>HAR-202600064-CGH</t>
        </is>
      </c>
      <c r="C132" s="26" t="inlineStr">
        <is>
          <t>CSN-IPD-780064-CGH</t>
        </is>
      </c>
      <c r="D132" s="26" t="inlineStr">
        <is>
          <t>Inpatient</t>
        </is>
      </c>
      <c r="E132" s="26" t="inlineStr">
        <is>
          <t>Demo Regional Medical Center</t>
        </is>
      </c>
      <c r="F132" s="26" t="inlineStr">
        <is>
          <t>Radiology</t>
        </is>
      </c>
      <c r="G132" s="26" t="inlineStr">
        <is>
          <t>2026-09-15</t>
        </is>
      </c>
      <c r="H132" s="26" t="inlineStr">
        <is>
          <t>RAD-CHEST-2V</t>
        </is>
      </c>
      <c r="I132" s="26" t="inlineStr">
        <is>
          <t>Chest X-ray, 2 Views</t>
        </is>
      </c>
      <c r="J132" s="26" t="inlineStr">
        <is>
          <t>0320</t>
        </is>
      </c>
      <c r="K132" s="26" t="inlineStr">
        <is>
          <t>71046</t>
        </is>
      </c>
      <c r="L132" s="26" t="n"/>
      <c r="M132" s="26" t="n">
        <v>1</v>
      </c>
      <c r="N132" s="13" t="n">
        <v>185</v>
      </c>
      <c r="O132" s="13">
        <f>M132*N132</f>
        <v/>
      </c>
      <c r="P132" s="13" t="n">
        <v>89.88</v>
      </c>
      <c r="Q132" s="13">
        <f>P132*15%</f>
        <v/>
      </c>
      <c r="R132" s="13">
        <f>O132-P132</f>
        <v/>
      </c>
      <c r="S132" s="26" t="inlineStr">
        <is>
          <t>Care Gap Health</t>
        </is>
      </c>
      <c r="T132" s="26" t="inlineStr">
        <is>
          <t>Care Gap Value PPO</t>
        </is>
      </c>
      <c r="U132" s="26" t="n"/>
      <c r="V132" s="26" t="inlineStr">
        <is>
          <t>Eleanor Brooks, MD</t>
        </is>
      </c>
      <c r="W132" s="26" t="inlineStr">
        <is>
          <t>Assigned Department Provider</t>
        </is>
      </c>
      <c r="X132" s="26" t="inlineStr">
        <is>
          <t>RIS/PACS</t>
        </is>
      </c>
      <c r="Y132" s="26" t="inlineStr">
        <is>
          <t>Exam completed</t>
        </is>
      </c>
      <c r="Z132" s="26" t="inlineStr">
        <is>
          <t>Posted</t>
        </is>
      </c>
      <c r="AA132" s="26" t="inlineStr">
        <is>
          <t>Matched</t>
        </is>
      </c>
      <c r="AB132" s="26" t="inlineStr">
        <is>
          <t>Passed</t>
        </is>
      </c>
      <c r="AC132" s="26" t="n"/>
      <c r="AD132" s="26" t="inlineStr">
        <is>
          <t>Diagnosis/LCD</t>
        </is>
      </c>
      <c r="AE132" s="26" t="inlineStr">
        <is>
          <t>R06.02</t>
        </is>
      </c>
      <c r="AF132" s="26" t="inlineStr">
        <is>
          <t>21</t>
        </is>
      </c>
      <c r="AG132" s="26" t="inlineStr">
        <is>
          <t>2026-09-15 16:30</t>
        </is>
      </c>
      <c r="AH132" s="26" t="inlineStr">
        <is>
          <t>Synthetic Care Gap charge; 10% below Athena allowed amount</t>
        </is>
      </c>
    </row>
    <row r="133">
      <c r="A133" s="26" t="inlineStr">
        <is>
          <t>IPD-CHG-0065-ATH</t>
        </is>
      </c>
      <c r="B133" s="26" t="inlineStr">
        <is>
          <t>HAR-202600065-ATH</t>
        </is>
      </c>
      <c r="C133" s="26" t="inlineStr">
        <is>
          <t>CSN-IPD-780065-ATH</t>
        </is>
      </c>
      <c r="D133" s="26" t="inlineStr">
        <is>
          <t>Inpatient</t>
        </is>
      </c>
      <c r="E133" s="26" t="inlineStr">
        <is>
          <t>Demo Regional Medical Center</t>
        </is>
      </c>
      <c r="F133" s="26" t="inlineStr">
        <is>
          <t>Radiology</t>
        </is>
      </c>
      <c r="G133" s="26" t="inlineStr">
        <is>
          <t>2026-09-16</t>
        </is>
      </c>
      <c r="H133" s="26" t="inlineStr">
        <is>
          <t>RAD-KNEE-2V</t>
        </is>
      </c>
      <c r="I133" s="26" t="inlineStr">
        <is>
          <t>Knee X-ray, 1-2 Views</t>
        </is>
      </c>
      <c r="J133" s="26" t="inlineStr">
        <is>
          <t>0320</t>
        </is>
      </c>
      <c r="K133" s="26" t="inlineStr">
        <is>
          <t>73560</t>
        </is>
      </c>
      <c r="L133" s="26" t="n"/>
      <c r="M133" s="26" t="n">
        <v>1</v>
      </c>
      <c r="N133" s="13" t="n">
        <v>410</v>
      </c>
      <c r="O133" s="13">
        <f>M133*N133</f>
        <v/>
      </c>
      <c r="P133" s="13" t="n">
        <v>199.18</v>
      </c>
      <c r="Q133" s="13">
        <f>P133*20%</f>
        <v/>
      </c>
      <c r="R133" s="13">
        <f>O133-P133</f>
        <v/>
      </c>
      <c r="S133" s="26" t="inlineStr">
        <is>
          <t>Athena Health Insurance</t>
        </is>
      </c>
      <c r="T133" s="26" t="inlineStr">
        <is>
          <t>Athena PPO</t>
        </is>
      </c>
      <c r="U133" s="26" t="n"/>
      <c r="V133" s="26" t="inlineStr">
        <is>
          <t>Eleanor Brooks, MD</t>
        </is>
      </c>
      <c r="W133" s="26" t="inlineStr">
        <is>
          <t>Assigned Department Provider</t>
        </is>
      </c>
      <c r="X133" s="26" t="inlineStr">
        <is>
          <t>RIS/PACS</t>
        </is>
      </c>
      <c r="Y133" s="26" t="inlineStr">
        <is>
          <t>Exam completed</t>
        </is>
      </c>
      <c r="Z133" s="26" t="inlineStr">
        <is>
          <t>Posted</t>
        </is>
      </c>
      <c r="AA133" s="26" t="inlineStr">
        <is>
          <t>Matched</t>
        </is>
      </c>
      <c r="AB133" s="26" t="inlineStr">
        <is>
          <t>Passed</t>
        </is>
      </c>
      <c r="AC133" s="26" t="n"/>
      <c r="AD133" s="26" t="inlineStr">
        <is>
          <t>Diagnosis/LCD</t>
        </is>
      </c>
      <c r="AE133" s="26" t="inlineStr">
        <is>
          <t>M25.561</t>
        </is>
      </c>
      <c r="AF133" s="26" t="inlineStr">
        <is>
          <t>21</t>
        </is>
      </c>
      <c r="AG133" s="26" t="inlineStr">
        <is>
          <t>2026-09-16 16:30</t>
        </is>
      </c>
      <c r="AH133" s="26" t="inlineStr">
        <is>
          <t>Synthetic Athena negotiated charge</t>
        </is>
      </c>
    </row>
    <row r="134">
      <c r="A134" s="26" t="inlineStr">
        <is>
          <t>IPD-CHG-0065-CGH</t>
        </is>
      </c>
      <c r="B134" s="26" t="inlineStr">
        <is>
          <t>HAR-202600065-CGH</t>
        </is>
      </c>
      <c r="C134" s="26" t="inlineStr">
        <is>
          <t>CSN-IPD-780065-CGH</t>
        </is>
      </c>
      <c r="D134" s="26" t="inlineStr">
        <is>
          <t>Inpatient</t>
        </is>
      </c>
      <c r="E134" s="26" t="inlineStr">
        <is>
          <t>Demo Regional Medical Center</t>
        </is>
      </c>
      <c r="F134" s="26" t="inlineStr">
        <is>
          <t>Radiology</t>
        </is>
      </c>
      <c r="G134" s="26" t="inlineStr">
        <is>
          <t>2026-09-16</t>
        </is>
      </c>
      <c r="H134" s="26" t="inlineStr">
        <is>
          <t>RAD-KNEE-2V</t>
        </is>
      </c>
      <c r="I134" s="26" t="inlineStr">
        <is>
          <t>Knee X-ray, 1-2 Views</t>
        </is>
      </c>
      <c r="J134" s="26" t="inlineStr">
        <is>
          <t>0320</t>
        </is>
      </c>
      <c r="K134" s="26" t="inlineStr">
        <is>
          <t>73560</t>
        </is>
      </c>
      <c r="L134" s="26" t="n"/>
      <c r="M134" s="26" t="n">
        <v>1</v>
      </c>
      <c r="N134" s="13" t="n">
        <v>410</v>
      </c>
      <c r="O134" s="13">
        <f>M134*N134</f>
        <v/>
      </c>
      <c r="P134" s="13" t="n">
        <v>179.26</v>
      </c>
      <c r="Q134" s="13">
        <f>P134*15%</f>
        <v/>
      </c>
      <c r="R134" s="13">
        <f>O134-P134</f>
        <v/>
      </c>
      <c r="S134" s="26" t="inlineStr">
        <is>
          <t>Care Gap Health</t>
        </is>
      </c>
      <c r="T134" s="26" t="inlineStr">
        <is>
          <t>Care Gap Value PPO</t>
        </is>
      </c>
      <c r="U134" s="26" t="n"/>
      <c r="V134" s="26" t="inlineStr">
        <is>
          <t>Eleanor Brooks, MD</t>
        </is>
      </c>
      <c r="W134" s="26" t="inlineStr">
        <is>
          <t>Assigned Department Provider</t>
        </is>
      </c>
      <c r="X134" s="26" t="inlineStr">
        <is>
          <t>RIS/PACS</t>
        </is>
      </c>
      <c r="Y134" s="26" t="inlineStr">
        <is>
          <t>Exam completed</t>
        </is>
      </c>
      <c r="Z134" s="26" t="inlineStr">
        <is>
          <t>Posted</t>
        </is>
      </c>
      <c r="AA134" s="26" t="inlineStr">
        <is>
          <t>Matched</t>
        </is>
      </c>
      <c r="AB134" s="26" t="inlineStr">
        <is>
          <t>Passed</t>
        </is>
      </c>
      <c r="AC134" s="26" t="n"/>
      <c r="AD134" s="26" t="inlineStr">
        <is>
          <t>Diagnosis/LCD</t>
        </is>
      </c>
      <c r="AE134" s="26" t="inlineStr">
        <is>
          <t>M25.561</t>
        </is>
      </c>
      <c r="AF134" s="26" t="inlineStr">
        <is>
          <t>21</t>
        </is>
      </c>
      <c r="AG134" s="26" t="inlineStr">
        <is>
          <t>2026-09-16 16:30</t>
        </is>
      </c>
      <c r="AH134" s="26" t="inlineStr">
        <is>
          <t>Synthetic Care Gap charge; 10% below Athena allowed amount</t>
        </is>
      </c>
    </row>
    <row r="135">
      <c r="A135" s="26" t="inlineStr">
        <is>
          <t>IPD-CHG-0066-ATH</t>
        </is>
      </c>
      <c r="B135" s="26" t="inlineStr">
        <is>
          <t>HAR-202600066-ATH</t>
        </is>
      </c>
      <c r="C135" s="26" t="inlineStr">
        <is>
          <t>CSN-IPD-780066-ATH</t>
        </is>
      </c>
      <c r="D135" s="26" t="inlineStr">
        <is>
          <t>Inpatient</t>
        </is>
      </c>
      <c r="E135" s="26" t="inlineStr">
        <is>
          <t>Demo Regional Medical Center</t>
        </is>
      </c>
      <c r="F135" s="26" t="inlineStr">
        <is>
          <t>Cardiology</t>
        </is>
      </c>
      <c r="G135" s="26" t="inlineStr">
        <is>
          <t>2026-09-17</t>
        </is>
      </c>
      <c r="H135" s="26" t="inlineStr">
        <is>
          <t>CARD-ECG12</t>
        </is>
      </c>
      <c r="I135" s="26" t="inlineStr">
        <is>
          <t>12-Lead ECG</t>
        </is>
      </c>
      <c r="J135" s="26" t="inlineStr">
        <is>
          <t>0730</t>
        </is>
      </c>
      <c r="K135" s="26" t="inlineStr">
        <is>
          <t>93005</t>
        </is>
      </c>
      <c r="L135" s="26" t="n"/>
      <c r="M135" s="26" t="n">
        <v>1</v>
      </c>
      <c r="N135" s="13" t="n">
        <v>190</v>
      </c>
      <c r="O135" s="13">
        <f>M135*N135</f>
        <v/>
      </c>
      <c r="P135" s="13" t="n">
        <v>136.66</v>
      </c>
      <c r="Q135" s="13">
        <f>P135*20%</f>
        <v/>
      </c>
      <c r="R135" s="13">
        <f>O135-P135</f>
        <v/>
      </c>
      <c r="S135" s="26" t="inlineStr">
        <is>
          <t>Athena Health Insurance</t>
        </is>
      </c>
      <c r="T135" s="26" t="inlineStr">
        <is>
          <t>Athena PPO</t>
        </is>
      </c>
      <c r="U135" s="26" t="n"/>
      <c r="V135" s="26" t="inlineStr">
        <is>
          <t>Eleanor Brooks, MD</t>
        </is>
      </c>
      <c r="W135" s="26" t="inlineStr">
        <is>
          <t>Assigned Department Provider</t>
        </is>
      </c>
      <c r="X135" s="26" t="inlineStr">
        <is>
          <t>Cardiology</t>
        </is>
      </c>
      <c r="Y135" s="26" t="inlineStr">
        <is>
          <t>Test completed</t>
        </is>
      </c>
      <c r="Z135" s="26" t="inlineStr">
        <is>
          <t>Posted</t>
        </is>
      </c>
      <c r="AA135" s="26" t="inlineStr">
        <is>
          <t>Matched</t>
        </is>
      </c>
      <c r="AB135" s="26" t="inlineStr">
        <is>
          <t>Passed</t>
        </is>
      </c>
      <c r="AC135" s="26" t="n"/>
      <c r="AD135" s="26" t="inlineStr">
        <is>
          <t>Diagnosis/LCD</t>
        </is>
      </c>
      <c r="AE135" s="26" t="inlineStr">
        <is>
          <t>R07.9</t>
        </is>
      </c>
      <c r="AF135" s="26" t="inlineStr">
        <is>
          <t>21</t>
        </is>
      </c>
      <c r="AG135" s="26" t="inlineStr">
        <is>
          <t>2026-09-17 16:30</t>
        </is>
      </c>
      <c r="AH135" s="26" t="inlineStr">
        <is>
          <t>Synthetic Athena negotiated charge</t>
        </is>
      </c>
    </row>
    <row r="136">
      <c r="A136" s="26" t="inlineStr">
        <is>
          <t>IPD-CHG-0066-CGH</t>
        </is>
      </c>
      <c r="B136" s="26" t="inlineStr">
        <is>
          <t>HAR-202600066-CGH</t>
        </is>
      </c>
      <c r="C136" s="26" t="inlineStr">
        <is>
          <t>CSN-IPD-780066-CGH</t>
        </is>
      </c>
      <c r="D136" s="26" t="inlineStr">
        <is>
          <t>Inpatient</t>
        </is>
      </c>
      <c r="E136" s="26" t="inlineStr">
        <is>
          <t>Demo Regional Medical Center</t>
        </is>
      </c>
      <c r="F136" s="26" t="inlineStr">
        <is>
          <t>Cardiology</t>
        </is>
      </c>
      <c r="G136" s="26" t="inlineStr">
        <is>
          <t>2026-09-17</t>
        </is>
      </c>
      <c r="H136" s="26" t="inlineStr">
        <is>
          <t>CARD-ECG12</t>
        </is>
      </c>
      <c r="I136" s="26" t="inlineStr">
        <is>
          <t>12-Lead ECG</t>
        </is>
      </c>
      <c r="J136" s="26" t="inlineStr">
        <is>
          <t>0730</t>
        </is>
      </c>
      <c r="K136" s="26" t="inlineStr">
        <is>
          <t>93005</t>
        </is>
      </c>
      <c r="L136" s="26" t="n"/>
      <c r="M136" s="26" t="n">
        <v>1</v>
      </c>
      <c r="N136" s="13" t="n">
        <v>190</v>
      </c>
      <c r="O136" s="13">
        <f>M136*N136</f>
        <v/>
      </c>
      <c r="P136" s="13" t="n">
        <v>122.99</v>
      </c>
      <c r="Q136" s="13">
        <f>P136*15%</f>
        <v/>
      </c>
      <c r="R136" s="13">
        <f>O136-P136</f>
        <v/>
      </c>
      <c r="S136" s="26" t="inlineStr">
        <is>
          <t>Care Gap Health</t>
        </is>
      </c>
      <c r="T136" s="26" t="inlineStr">
        <is>
          <t>Care Gap Value PPO</t>
        </is>
      </c>
      <c r="U136" s="26" t="n"/>
      <c r="V136" s="26" t="inlineStr">
        <is>
          <t>Eleanor Brooks, MD</t>
        </is>
      </c>
      <c r="W136" s="26" t="inlineStr">
        <is>
          <t>Assigned Department Provider</t>
        </is>
      </c>
      <c r="X136" s="26" t="inlineStr">
        <is>
          <t>Cardiology</t>
        </is>
      </c>
      <c r="Y136" s="26" t="inlineStr">
        <is>
          <t>Test completed</t>
        </is>
      </c>
      <c r="Z136" s="26" t="inlineStr">
        <is>
          <t>Posted</t>
        </is>
      </c>
      <c r="AA136" s="26" t="inlineStr">
        <is>
          <t>Matched</t>
        </is>
      </c>
      <c r="AB136" s="26" t="inlineStr">
        <is>
          <t>Passed</t>
        </is>
      </c>
      <c r="AC136" s="26" t="n"/>
      <c r="AD136" s="26" t="inlineStr">
        <is>
          <t>Diagnosis/LCD</t>
        </is>
      </c>
      <c r="AE136" s="26" t="inlineStr">
        <is>
          <t>R07.9</t>
        </is>
      </c>
      <c r="AF136" s="26" t="inlineStr">
        <is>
          <t>21</t>
        </is>
      </c>
      <c r="AG136" s="26" t="inlineStr">
        <is>
          <t>2026-09-17 16:30</t>
        </is>
      </c>
      <c r="AH136" s="26" t="inlineStr">
        <is>
          <t>Synthetic Care Gap charge; 10% below Athena allowed amount</t>
        </is>
      </c>
    </row>
    <row r="137">
      <c r="A137" s="26" t="inlineStr">
        <is>
          <t>IPD-CHG-0067-ATH</t>
        </is>
      </c>
      <c r="B137" s="26" t="inlineStr">
        <is>
          <t>HAR-202600067-ATH</t>
        </is>
      </c>
      <c r="C137" s="26" t="inlineStr">
        <is>
          <t>CSN-IPD-780067-ATH</t>
        </is>
      </c>
      <c r="D137" s="26" t="inlineStr">
        <is>
          <t>Inpatient</t>
        </is>
      </c>
      <c r="E137" s="26" t="inlineStr">
        <is>
          <t>Demo Regional Medical Center</t>
        </is>
      </c>
      <c r="F137" s="26" t="inlineStr">
        <is>
          <t>Respiratory</t>
        </is>
      </c>
      <c r="G137" s="26" t="inlineStr">
        <is>
          <t>2026-09-18</t>
        </is>
      </c>
      <c r="H137" s="26" t="inlineStr">
        <is>
          <t>RESP-NEB</t>
        </is>
      </c>
      <c r="I137" s="26" t="inlineStr">
        <is>
          <t>Nebulizer Treatment</t>
        </is>
      </c>
      <c r="J137" s="26" t="inlineStr">
        <is>
          <t>0410</t>
        </is>
      </c>
      <c r="K137" s="26" t="inlineStr">
        <is>
          <t>94640</t>
        </is>
      </c>
      <c r="L137" s="26" t="n"/>
      <c r="M137" s="26" t="n">
        <v>1</v>
      </c>
      <c r="N137" s="13" t="n">
        <v>245</v>
      </c>
      <c r="O137" s="13">
        <f>M137*N137</f>
        <v/>
      </c>
      <c r="P137" s="13" t="n">
        <v>140.35</v>
      </c>
      <c r="Q137" s="13">
        <f>P137*20%</f>
        <v/>
      </c>
      <c r="R137" s="13">
        <f>O137-P137</f>
        <v/>
      </c>
      <c r="S137" s="26" t="inlineStr">
        <is>
          <t>Athena Health Insurance</t>
        </is>
      </c>
      <c r="T137" s="26" t="inlineStr">
        <is>
          <t>Athena PPO</t>
        </is>
      </c>
      <c r="U137" s="26" t="n"/>
      <c r="V137" s="26" t="inlineStr">
        <is>
          <t>Eleanor Brooks, MD</t>
        </is>
      </c>
      <c r="W137" s="26" t="inlineStr">
        <is>
          <t>Assigned Department Provider</t>
        </is>
      </c>
      <c r="X137" s="26" t="inlineStr">
        <is>
          <t>Respiratory</t>
        </is>
      </c>
      <c r="Y137" s="26" t="inlineStr">
        <is>
          <t>Treatment completed</t>
        </is>
      </c>
      <c r="Z137" s="26" t="inlineStr">
        <is>
          <t>Posted</t>
        </is>
      </c>
      <c r="AA137" s="26" t="inlineStr">
        <is>
          <t>Matched</t>
        </is>
      </c>
      <c r="AB137" s="26" t="inlineStr">
        <is>
          <t>Passed</t>
        </is>
      </c>
      <c r="AC137" s="26" t="n"/>
      <c r="AD137" s="26" t="inlineStr">
        <is>
          <t>Diagnosis/LCD</t>
        </is>
      </c>
      <c r="AE137" s="26" t="inlineStr">
        <is>
          <t>J45.901</t>
        </is>
      </c>
      <c r="AF137" s="26" t="inlineStr">
        <is>
          <t>21</t>
        </is>
      </c>
      <c r="AG137" s="26" t="inlineStr">
        <is>
          <t>2026-09-18 16:30</t>
        </is>
      </c>
      <c r="AH137" s="26" t="inlineStr">
        <is>
          <t>Synthetic Athena negotiated charge</t>
        </is>
      </c>
    </row>
    <row r="138">
      <c r="A138" s="26" t="inlineStr">
        <is>
          <t>IPD-CHG-0067-CGH</t>
        </is>
      </c>
      <c r="B138" s="26" t="inlineStr">
        <is>
          <t>HAR-202600067-CGH</t>
        </is>
      </c>
      <c r="C138" s="26" t="inlineStr">
        <is>
          <t>CSN-IPD-780067-CGH</t>
        </is>
      </c>
      <c r="D138" s="26" t="inlineStr">
        <is>
          <t>Inpatient</t>
        </is>
      </c>
      <c r="E138" s="26" t="inlineStr">
        <is>
          <t>Demo Regional Medical Center</t>
        </is>
      </c>
      <c r="F138" s="26" t="inlineStr">
        <is>
          <t>Respiratory</t>
        </is>
      </c>
      <c r="G138" s="26" t="inlineStr">
        <is>
          <t>2026-09-18</t>
        </is>
      </c>
      <c r="H138" s="26" t="inlineStr">
        <is>
          <t>RESP-NEB</t>
        </is>
      </c>
      <c r="I138" s="26" t="inlineStr">
        <is>
          <t>Nebulizer Treatment</t>
        </is>
      </c>
      <c r="J138" s="26" t="inlineStr">
        <is>
          <t>0410</t>
        </is>
      </c>
      <c r="K138" s="26" t="inlineStr">
        <is>
          <t>94640</t>
        </is>
      </c>
      <c r="L138" s="26" t="n"/>
      <c r="M138" s="26" t="n">
        <v>1</v>
      </c>
      <c r="N138" s="13" t="n">
        <v>245</v>
      </c>
      <c r="O138" s="13">
        <f>M138*N138</f>
        <v/>
      </c>
      <c r="P138" s="13" t="n">
        <v>126.31</v>
      </c>
      <c r="Q138" s="13">
        <f>P138*15%</f>
        <v/>
      </c>
      <c r="R138" s="13">
        <f>O138-P138</f>
        <v/>
      </c>
      <c r="S138" s="26" t="inlineStr">
        <is>
          <t>Care Gap Health</t>
        </is>
      </c>
      <c r="T138" s="26" t="inlineStr">
        <is>
          <t>Care Gap Value PPO</t>
        </is>
      </c>
      <c r="U138" s="26" t="n"/>
      <c r="V138" s="26" t="inlineStr">
        <is>
          <t>Eleanor Brooks, MD</t>
        </is>
      </c>
      <c r="W138" s="26" t="inlineStr">
        <is>
          <t>Assigned Department Provider</t>
        </is>
      </c>
      <c r="X138" s="26" t="inlineStr">
        <is>
          <t>Respiratory</t>
        </is>
      </c>
      <c r="Y138" s="26" t="inlineStr">
        <is>
          <t>Treatment completed</t>
        </is>
      </c>
      <c r="Z138" s="26" t="inlineStr">
        <is>
          <t>Posted</t>
        </is>
      </c>
      <c r="AA138" s="26" t="inlineStr">
        <is>
          <t>Matched</t>
        </is>
      </c>
      <c r="AB138" s="26" t="inlineStr">
        <is>
          <t>Passed</t>
        </is>
      </c>
      <c r="AC138" s="26" t="n"/>
      <c r="AD138" s="26" t="inlineStr">
        <is>
          <t>Diagnosis/LCD</t>
        </is>
      </c>
      <c r="AE138" s="26" t="inlineStr">
        <is>
          <t>J45.901</t>
        </is>
      </c>
      <c r="AF138" s="26" t="inlineStr">
        <is>
          <t>21</t>
        </is>
      </c>
      <c r="AG138" s="26" t="inlineStr">
        <is>
          <t>2026-09-18 16:30</t>
        </is>
      </c>
      <c r="AH138" s="26" t="inlineStr">
        <is>
          <t>Synthetic Care Gap charge; 10% below Athena allowed amount</t>
        </is>
      </c>
    </row>
    <row r="139">
      <c r="A139" s="26" t="inlineStr">
        <is>
          <t>IPD-CHG-0068-ATH</t>
        </is>
      </c>
      <c r="B139" s="26" t="inlineStr">
        <is>
          <t>HAR-202600068-ATH</t>
        </is>
      </c>
      <c r="C139" s="26" t="inlineStr">
        <is>
          <t>CSN-IPD-780068-ATH</t>
        </is>
      </c>
      <c r="D139" s="26" t="inlineStr">
        <is>
          <t>Inpatient</t>
        </is>
      </c>
      <c r="E139" s="26" t="inlineStr">
        <is>
          <t>Demo Regional Medical Center</t>
        </is>
      </c>
      <c r="F139" s="26" t="inlineStr">
        <is>
          <t>Physical Therapy</t>
        </is>
      </c>
      <c r="G139" s="26" t="inlineStr">
        <is>
          <t>2026-09-19</t>
        </is>
      </c>
      <c r="H139" s="26" t="inlineStr">
        <is>
          <t>PT-EVAL-LOW</t>
        </is>
      </c>
      <c r="I139" s="26" t="inlineStr">
        <is>
          <t>Physical Therapy Evaluation, Low Complexity</t>
        </is>
      </c>
      <c r="J139" s="26" t="inlineStr">
        <is>
          <t>0420</t>
        </is>
      </c>
      <c r="K139" s="26" t="inlineStr">
        <is>
          <t>97161</t>
        </is>
      </c>
      <c r="L139" s="26" t="n"/>
      <c r="M139" s="26" t="n">
        <v>1</v>
      </c>
      <c r="N139" s="13" t="n">
        <v>710</v>
      </c>
      <c r="O139" s="13">
        <f>M139*N139</f>
        <v/>
      </c>
      <c r="P139" s="13" t="n">
        <v>317.56</v>
      </c>
      <c r="Q139" s="13">
        <f>P139*20%</f>
        <v/>
      </c>
      <c r="R139" s="13">
        <f>O139-P139</f>
        <v/>
      </c>
      <c r="S139" s="26" t="inlineStr">
        <is>
          <t>Athena Health Insurance</t>
        </is>
      </c>
      <c r="T139" s="26" t="inlineStr">
        <is>
          <t>Athena PPO</t>
        </is>
      </c>
      <c r="U139" s="26" t="inlineStr">
        <is>
          <t>AUTH-700068</t>
        </is>
      </c>
      <c r="V139" s="26" t="inlineStr">
        <is>
          <t>Eleanor Brooks, MD</t>
        </is>
      </c>
      <c r="W139" s="26" t="inlineStr">
        <is>
          <t>Assigned Department Provider</t>
        </is>
      </c>
      <c r="X139" s="26" t="inlineStr">
        <is>
          <t>Therapy</t>
        </is>
      </c>
      <c r="Y139" s="26" t="inlineStr">
        <is>
          <t>Note signed</t>
        </is>
      </c>
      <c r="Z139" s="26" t="inlineStr">
        <is>
          <t>Posted</t>
        </is>
      </c>
      <c r="AA139" s="26" t="inlineStr">
        <is>
          <t>Matched</t>
        </is>
      </c>
      <c r="AB139" s="26" t="inlineStr">
        <is>
          <t>Passed</t>
        </is>
      </c>
      <c r="AC139" s="26" t="n"/>
      <c r="AD139" s="26" t="inlineStr">
        <is>
          <t>Plan benefits</t>
        </is>
      </c>
      <c r="AE139" s="26" t="inlineStr">
        <is>
          <t>R26.2</t>
        </is>
      </c>
      <c r="AF139" s="26" t="inlineStr">
        <is>
          <t>21</t>
        </is>
      </c>
      <c r="AG139" s="26" t="inlineStr">
        <is>
          <t>2026-09-19 16:30</t>
        </is>
      </c>
      <c r="AH139" s="26" t="inlineStr">
        <is>
          <t>Synthetic Athena negotiated charge</t>
        </is>
      </c>
    </row>
    <row r="140">
      <c r="A140" s="26" t="inlineStr">
        <is>
          <t>IPD-CHG-0068-CGH</t>
        </is>
      </c>
      <c r="B140" s="26" t="inlineStr">
        <is>
          <t>HAR-202600068-CGH</t>
        </is>
      </c>
      <c r="C140" s="26" t="inlineStr">
        <is>
          <t>CSN-IPD-780068-CGH</t>
        </is>
      </c>
      <c r="D140" s="26" t="inlineStr">
        <is>
          <t>Inpatient</t>
        </is>
      </c>
      <c r="E140" s="26" t="inlineStr">
        <is>
          <t>Demo Regional Medical Center</t>
        </is>
      </c>
      <c r="F140" s="26" t="inlineStr">
        <is>
          <t>Physical Therapy</t>
        </is>
      </c>
      <c r="G140" s="26" t="inlineStr">
        <is>
          <t>2026-09-19</t>
        </is>
      </c>
      <c r="H140" s="26" t="inlineStr">
        <is>
          <t>PT-EVAL-LOW</t>
        </is>
      </c>
      <c r="I140" s="26" t="inlineStr">
        <is>
          <t>Physical Therapy Evaluation, Low Complexity</t>
        </is>
      </c>
      <c r="J140" s="26" t="inlineStr">
        <is>
          <t>0420</t>
        </is>
      </c>
      <c r="K140" s="26" t="inlineStr">
        <is>
          <t>97161</t>
        </is>
      </c>
      <c r="L140" s="26" t="n"/>
      <c r="M140" s="26" t="n">
        <v>1</v>
      </c>
      <c r="N140" s="13" t="n">
        <v>710</v>
      </c>
      <c r="O140" s="13">
        <f>M140*N140</f>
        <v/>
      </c>
      <c r="P140" s="13" t="n">
        <v>285.8</v>
      </c>
      <c r="Q140" s="13">
        <f>P140*15%</f>
        <v/>
      </c>
      <c r="R140" s="13">
        <f>O140-P140</f>
        <v/>
      </c>
      <c r="S140" s="26" t="inlineStr">
        <is>
          <t>Care Gap Health</t>
        </is>
      </c>
      <c r="T140" s="26" t="inlineStr">
        <is>
          <t>Care Gap Value PPO</t>
        </is>
      </c>
      <c r="U140" s="26" t="inlineStr">
        <is>
          <t>AUTH-700068</t>
        </is>
      </c>
      <c r="V140" s="26" t="inlineStr">
        <is>
          <t>Eleanor Brooks, MD</t>
        </is>
      </c>
      <c r="W140" s="26" t="inlineStr">
        <is>
          <t>Assigned Department Provider</t>
        </is>
      </c>
      <c r="X140" s="26" t="inlineStr">
        <is>
          <t>Therapy</t>
        </is>
      </c>
      <c r="Y140" s="26" t="inlineStr">
        <is>
          <t>Note signed</t>
        </is>
      </c>
      <c r="Z140" s="26" t="inlineStr">
        <is>
          <t>Posted</t>
        </is>
      </c>
      <c r="AA140" s="26" t="inlineStr">
        <is>
          <t>Matched</t>
        </is>
      </c>
      <c r="AB140" s="26" t="inlineStr">
        <is>
          <t>Passed</t>
        </is>
      </c>
      <c r="AC140" s="26" t="n"/>
      <c r="AD140" s="26" t="inlineStr">
        <is>
          <t>Plan benefits</t>
        </is>
      </c>
      <c r="AE140" s="26" t="inlineStr">
        <is>
          <t>R26.2</t>
        </is>
      </c>
      <c r="AF140" s="26" t="inlineStr">
        <is>
          <t>21</t>
        </is>
      </c>
      <c r="AG140" s="26" t="inlineStr">
        <is>
          <t>2026-09-19 16:30</t>
        </is>
      </c>
      <c r="AH140" s="26" t="inlineStr">
        <is>
          <t>Synthetic Care Gap charge; 10% below Athena allowed amount</t>
        </is>
      </c>
    </row>
    <row r="141">
      <c r="A141" s="26" t="inlineStr">
        <is>
          <t>IPD-CHG-0069-ATH</t>
        </is>
      </c>
      <c r="B141" s="26" t="inlineStr">
        <is>
          <t>HAR-202600069-ATH</t>
        </is>
      </c>
      <c r="C141" s="26" t="inlineStr">
        <is>
          <t>CSN-IPD-780069-ATH</t>
        </is>
      </c>
      <c r="D141" s="26" t="inlineStr">
        <is>
          <t>Inpatient</t>
        </is>
      </c>
      <c r="E141" s="26" t="inlineStr">
        <is>
          <t>Demo Regional Medical Center</t>
        </is>
      </c>
      <c r="F141" s="26" t="inlineStr">
        <is>
          <t>Physical Therapy</t>
        </is>
      </c>
      <c r="G141" s="26" t="inlineStr">
        <is>
          <t>2026-09-20</t>
        </is>
      </c>
      <c r="H141" s="26" t="inlineStr">
        <is>
          <t>PT-THEREX-15</t>
        </is>
      </c>
      <c r="I141" s="26" t="inlineStr">
        <is>
          <t>Therapeutic Exercise, 15 Minutes</t>
        </is>
      </c>
      <c r="J141" s="26" t="inlineStr">
        <is>
          <t>0420</t>
        </is>
      </c>
      <c r="K141" s="26" t="inlineStr">
        <is>
          <t>97110</t>
        </is>
      </c>
      <c r="L141" s="26" t="n"/>
      <c r="M141" s="26" t="n">
        <v>2</v>
      </c>
      <c r="N141" s="13" t="n">
        <v>305</v>
      </c>
      <c r="O141" s="13">
        <f>M141*N141</f>
        <v/>
      </c>
      <c r="P141" s="13" t="n">
        <v>413.78</v>
      </c>
      <c r="Q141" s="13">
        <f>P141*20%</f>
        <v/>
      </c>
      <c r="R141" s="13">
        <f>O141-P141</f>
        <v/>
      </c>
      <c r="S141" s="26" t="inlineStr">
        <is>
          <t>Athena Health Insurance</t>
        </is>
      </c>
      <c r="T141" s="26" t="inlineStr">
        <is>
          <t>Athena PPO</t>
        </is>
      </c>
      <c r="U141" s="26" t="n"/>
      <c r="V141" s="26" t="inlineStr">
        <is>
          <t>Eleanor Brooks, MD</t>
        </is>
      </c>
      <c r="W141" s="26" t="inlineStr">
        <is>
          <t>Assigned Department Provider</t>
        </is>
      </c>
      <c r="X141" s="26" t="inlineStr">
        <is>
          <t>Therapy</t>
        </is>
      </c>
      <c r="Y141" s="26" t="inlineStr">
        <is>
          <t>Note signed</t>
        </is>
      </c>
      <c r="Z141" s="26" t="inlineStr">
        <is>
          <t>Posted</t>
        </is>
      </c>
      <c r="AA141" s="26" t="inlineStr">
        <is>
          <t>Matched</t>
        </is>
      </c>
      <c r="AB141" s="26" t="inlineStr">
        <is>
          <t>Review</t>
        </is>
      </c>
      <c r="AC141" s="26" t="inlineStr">
        <is>
          <t>WQ-PHY-02</t>
        </is>
      </c>
      <c r="AD141" s="26" t="inlineStr">
        <is>
          <t>Timed units</t>
        </is>
      </c>
      <c r="AE141" s="26" t="inlineStr">
        <is>
          <t>M62.81</t>
        </is>
      </c>
      <c r="AF141" s="26" t="inlineStr">
        <is>
          <t>21</t>
        </is>
      </c>
      <c r="AG141" s="26" t="inlineStr">
        <is>
          <t>2026-09-20 16:30</t>
        </is>
      </c>
      <c r="AH141" s="26" t="inlineStr">
        <is>
          <t>Synthetic Athena negotiated charge</t>
        </is>
      </c>
    </row>
    <row r="142">
      <c r="A142" s="26" t="inlineStr">
        <is>
          <t>IPD-CHG-0069-CGH</t>
        </is>
      </c>
      <c r="B142" s="26" t="inlineStr">
        <is>
          <t>HAR-202600069-CGH</t>
        </is>
      </c>
      <c r="C142" s="26" t="inlineStr">
        <is>
          <t>CSN-IPD-780069-CGH</t>
        </is>
      </c>
      <c r="D142" s="26" t="inlineStr">
        <is>
          <t>Inpatient</t>
        </is>
      </c>
      <c r="E142" s="26" t="inlineStr">
        <is>
          <t>Demo Regional Medical Center</t>
        </is>
      </c>
      <c r="F142" s="26" t="inlineStr">
        <is>
          <t>Physical Therapy</t>
        </is>
      </c>
      <c r="G142" s="26" t="inlineStr">
        <is>
          <t>2026-09-20</t>
        </is>
      </c>
      <c r="H142" s="26" t="inlineStr">
        <is>
          <t>PT-THEREX-15</t>
        </is>
      </c>
      <c r="I142" s="26" t="inlineStr">
        <is>
          <t>Therapeutic Exercise, 15 Minutes</t>
        </is>
      </c>
      <c r="J142" s="26" t="inlineStr">
        <is>
          <t>0420</t>
        </is>
      </c>
      <c r="K142" s="26" t="inlineStr">
        <is>
          <t>97110</t>
        </is>
      </c>
      <c r="L142" s="26" t="n"/>
      <c r="M142" s="26" t="n">
        <v>2</v>
      </c>
      <c r="N142" s="13" t="n">
        <v>305</v>
      </c>
      <c r="O142" s="13">
        <f>M142*N142</f>
        <v/>
      </c>
      <c r="P142" s="13" t="n">
        <v>372.4</v>
      </c>
      <c r="Q142" s="13">
        <f>P142*15%</f>
        <v/>
      </c>
      <c r="R142" s="13">
        <f>O142-P142</f>
        <v/>
      </c>
      <c r="S142" s="26" t="inlineStr">
        <is>
          <t>Care Gap Health</t>
        </is>
      </c>
      <c r="T142" s="26" t="inlineStr">
        <is>
          <t>Care Gap Value PPO</t>
        </is>
      </c>
      <c r="U142" s="26" t="n"/>
      <c r="V142" s="26" t="inlineStr">
        <is>
          <t>Eleanor Brooks, MD</t>
        </is>
      </c>
      <c r="W142" s="26" t="inlineStr">
        <is>
          <t>Assigned Department Provider</t>
        </is>
      </c>
      <c r="X142" s="26" t="inlineStr">
        <is>
          <t>Therapy</t>
        </is>
      </c>
      <c r="Y142" s="26" t="inlineStr">
        <is>
          <t>Note signed</t>
        </is>
      </c>
      <c r="Z142" s="26" t="inlineStr">
        <is>
          <t>Posted</t>
        </is>
      </c>
      <c r="AA142" s="26" t="inlineStr">
        <is>
          <t>Matched</t>
        </is>
      </c>
      <c r="AB142" s="26" t="inlineStr">
        <is>
          <t>Review</t>
        </is>
      </c>
      <c r="AC142" s="26" t="inlineStr">
        <is>
          <t>WQ-PHY-02</t>
        </is>
      </c>
      <c r="AD142" s="26" t="inlineStr">
        <is>
          <t>Timed units</t>
        </is>
      </c>
      <c r="AE142" s="26" t="inlineStr">
        <is>
          <t>M62.81</t>
        </is>
      </c>
      <c r="AF142" s="26" t="inlineStr">
        <is>
          <t>21</t>
        </is>
      </c>
      <c r="AG142" s="26" t="inlineStr">
        <is>
          <t>2026-09-20 16:30</t>
        </is>
      </c>
      <c r="AH142" s="26" t="inlineStr">
        <is>
          <t>Synthetic Care Gap charge; 10% below Athena allowed amount</t>
        </is>
      </c>
    </row>
    <row r="143">
      <c r="A143" s="26" t="inlineStr">
        <is>
          <t>IPD-CHG-0070-ATH</t>
        </is>
      </c>
      <c r="B143" s="26" t="inlineStr">
        <is>
          <t>HAR-202600070-ATH</t>
        </is>
      </c>
      <c r="C143" s="26" t="inlineStr">
        <is>
          <t>CSN-IPD-780070-ATH</t>
        </is>
      </c>
      <c r="D143" s="26" t="inlineStr">
        <is>
          <t>Inpatient</t>
        </is>
      </c>
      <c r="E143" s="26" t="inlineStr">
        <is>
          <t>Demo Regional Medical Center</t>
        </is>
      </c>
      <c r="F143" s="26" t="inlineStr">
        <is>
          <t>Occupational Therapy</t>
        </is>
      </c>
      <c r="G143" s="26" t="inlineStr">
        <is>
          <t>2026-09-21</t>
        </is>
      </c>
      <c r="H143" s="26" t="inlineStr">
        <is>
          <t>OT-EVAL-LOW</t>
        </is>
      </c>
      <c r="I143" s="26" t="inlineStr">
        <is>
          <t>Occupational Therapy Evaluation, Low Complexity</t>
        </is>
      </c>
      <c r="J143" s="26" t="inlineStr">
        <is>
          <t>0430</t>
        </is>
      </c>
      <c r="K143" s="26" t="inlineStr">
        <is>
          <t>97165</t>
        </is>
      </c>
      <c r="L143" s="26" t="n"/>
      <c r="M143" s="26" t="n">
        <v>1</v>
      </c>
      <c r="N143" s="13" t="n">
        <v>725</v>
      </c>
      <c r="O143" s="13">
        <f>M143*N143</f>
        <v/>
      </c>
      <c r="P143" s="13" t="n">
        <v>337.74</v>
      </c>
      <c r="Q143" s="13">
        <f>P143*20%</f>
        <v/>
      </c>
      <c r="R143" s="13">
        <f>O143-P143</f>
        <v/>
      </c>
      <c r="S143" s="26" t="inlineStr">
        <is>
          <t>Athena Health Insurance</t>
        </is>
      </c>
      <c r="T143" s="26" t="inlineStr">
        <is>
          <t>Athena PPO</t>
        </is>
      </c>
      <c r="U143" s="26" t="inlineStr">
        <is>
          <t>AUTH-700070</t>
        </is>
      </c>
      <c r="V143" s="26" t="inlineStr">
        <is>
          <t>Eleanor Brooks, MD</t>
        </is>
      </c>
      <c r="W143" s="26" t="inlineStr">
        <is>
          <t>Assigned Department Provider</t>
        </is>
      </c>
      <c r="X143" s="26" t="inlineStr">
        <is>
          <t>Therapy</t>
        </is>
      </c>
      <c r="Y143" s="26" t="inlineStr">
        <is>
          <t>Note signed</t>
        </is>
      </c>
      <c r="Z143" s="26" t="inlineStr">
        <is>
          <t>Posted</t>
        </is>
      </c>
      <c r="AA143" s="26" t="inlineStr">
        <is>
          <t>Matched</t>
        </is>
      </c>
      <c r="AB143" s="26" t="inlineStr">
        <is>
          <t>Passed</t>
        </is>
      </c>
      <c r="AC143" s="26" t="n"/>
      <c r="AD143" s="26" t="inlineStr">
        <is>
          <t>Plan benefits</t>
        </is>
      </c>
      <c r="AE143" s="26" t="inlineStr">
        <is>
          <t>Z74.09</t>
        </is>
      </c>
      <c r="AF143" s="26" t="inlineStr">
        <is>
          <t>21</t>
        </is>
      </c>
      <c r="AG143" s="26" t="inlineStr">
        <is>
          <t>2026-09-21 16:30</t>
        </is>
      </c>
      <c r="AH143" s="26" t="inlineStr">
        <is>
          <t>Synthetic Athena negotiated charge</t>
        </is>
      </c>
    </row>
    <row r="144">
      <c r="A144" s="26" t="inlineStr">
        <is>
          <t>IPD-CHG-0070-CGH</t>
        </is>
      </c>
      <c r="B144" s="26" t="inlineStr">
        <is>
          <t>HAR-202600070-CGH</t>
        </is>
      </c>
      <c r="C144" s="26" t="inlineStr">
        <is>
          <t>CSN-IPD-780070-CGH</t>
        </is>
      </c>
      <c r="D144" s="26" t="inlineStr">
        <is>
          <t>Inpatient</t>
        </is>
      </c>
      <c r="E144" s="26" t="inlineStr">
        <is>
          <t>Demo Regional Medical Center</t>
        </is>
      </c>
      <c r="F144" s="26" t="inlineStr">
        <is>
          <t>Occupational Therapy</t>
        </is>
      </c>
      <c r="G144" s="26" t="inlineStr">
        <is>
          <t>2026-09-21</t>
        </is>
      </c>
      <c r="H144" s="26" t="inlineStr">
        <is>
          <t>OT-EVAL-LOW</t>
        </is>
      </c>
      <c r="I144" s="26" t="inlineStr">
        <is>
          <t>Occupational Therapy Evaluation, Low Complexity</t>
        </is>
      </c>
      <c r="J144" s="26" t="inlineStr">
        <is>
          <t>0430</t>
        </is>
      </c>
      <c r="K144" s="26" t="inlineStr">
        <is>
          <t>97165</t>
        </is>
      </c>
      <c r="L144" s="26" t="n"/>
      <c r="M144" s="26" t="n">
        <v>1</v>
      </c>
      <c r="N144" s="13" t="n">
        <v>725</v>
      </c>
      <c r="O144" s="13">
        <f>M144*N144</f>
        <v/>
      </c>
      <c r="P144" s="13" t="n">
        <v>303.97</v>
      </c>
      <c r="Q144" s="13">
        <f>P144*15%</f>
        <v/>
      </c>
      <c r="R144" s="13">
        <f>O144-P144</f>
        <v/>
      </c>
      <c r="S144" s="26" t="inlineStr">
        <is>
          <t>Care Gap Health</t>
        </is>
      </c>
      <c r="T144" s="26" t="inlineStr">
        <is>
          <t>Care Gap Value PPO</t>
        </is>
      </c>
      <c r="U144" s="26" t="inlineStr">
        <is>
          <t>AUTH-700070</t>
        </is>
      </c>
      <c r="V144" s="26" t="inlineStr">
        <is>
          <t>Eleanor Brooks, MD</t>
        </is>
      </c>
      <c r="W144" s="26" t="inlineStr">
        <is>
          <t>Assigned Department Provider</t>
        </is>
      </c>
      <c r="X144" s="26" t="inlineStr">
        <is>
          <t>Therapy</t>
        </is>
      </c>
      <c r="Y144" s="26" t="inlineStr">
        <is>
          <t>Note signed</t>
        </is>
      </c>
      <c r="Z144" s="26" t="inlineStr">
        <is>
          <t>Posted</t>
        </is>
      </c>
      <c r="AA144" s="26" t="inlineStr">
        <is>
          <t>Matched</t>
        </is>
      </c>
      <c r="AB144" s="26" t="inlineStr">
        <is>
          <t>Passed</t>
        </is>
      </c>
      <c r="AC144" s="26" t="n"/>
      <c r="AD144" s="26" t="inlineStr">
        <is>
          <t>Plan benefits</t>
        </is>
      </c>
      <c r="AE144" s="26" t="inlineStr">
        <is>
          <t>Z74.09</t>
        </is>
      </c>
      <c r="AF144" s="26" t="inlineStr">
        <is>
          <t>21</t>
        </is>
      </c>
      <c r="AG144" s="26" t="inlineStr">
        <is>
          <t>2026-09-21 16:30</t>
        </is>
      </c>
      <c r="AH144" s="26" t="inlineStr">
        <is>
          <t>Synthetic Care Gap charge; 10% below Athena allowed amount</t>
        </is>
      </c>
    </row>
    <row r="145">
      <c r="A145" s="26" t="inlineStr">
        <is>
          <t>IPD-CHG-0071-ATH</t>
        </is>
      </c>
      <c r="B145" s="26" t="inlineStr">
        <is>
          <t>HAR-202600071-ATH</t>
        </is>
      </c>
      <c r="C145" s="26" t="inlineStr">
        <is>
          <t>CSN-IPD-780071-ATH</t>
        </is>
      </c>
      <c r="D145" s="26" t="inlineStr">
        <is>
          <t>Inpatient</t>
        </is>
      </c>
      <c r="E145" s="26" t="inlineStr">
        <is>
          <t>Demo Regional Medical Center</t>
        </is>
      </c>
      <c r="F145" s="26" t="inlineStr">
        <is>
          <t>Nutrition</t>
        </is>
      </c>
      <c r="G145" s="26" t="inlineStr">
        <is>
          <t>2026-09-22</t>
        </is>
      </c>
      <c r="H145" s="26" t="inlineStr">
        <is>
          <t>NUTR-ASSESS</t>
        </is>
      </c>
      <c r="I145" s="26" t="inlineStr">
        <is>
          <t>Inpatient Nutrition Assessment</t>
        </is>
      </c>
      <c r="J145" s="26" t="inlineStr">
        <is>
          <t>0942</t>
        </is>
      </c>
      <c r="K145" s="26" t="inlineStr">
        <is>
          <t>97802</t>
        </is>
      </c>
      <c r="L145" s="26" t="n"/>
      <c r="M145" s="26" t="n">
        <v>1</v>
      </c>
      <c r="N145" s="13" t="n">
        <v>325</v>
      </c>
      <c r="O145" s="13">
        <f>M145*N145</f>
        <v/>
      </c>
      <c r="P145" s="13" t="n">
        <v>152.1</v>
      </c>
      <c r="Q145" s="13">
        <f>P145*20%</f>
        <v/>
      </c>
      <c r="R145" s="13">
        <f>O145-P145</f>
        <v/>
      </c>
      <c r="S145" s="26" t="inlineStr">
        <is>
          <t>Athena Health Insurance</t>
        </is>
      </c>
      <c r="T145" s="26" t="inlineStr">
        <is>
          <t>Athena PPO</t>
        </is>
      </c>
      <c r="U145" s="26" t="n"/>
      <c r="V145" s="26" t="inlineStr">
        <is>
          <t>Eleanor Brooks, MD</t>
        </is>
      </c>
      <c r="W145" s="26" t="inlineStr">
        <is>
          <t>Assigned Department Provider</t>
        </is>
      </c>
      <c r="X145" s="26" t="inlineStr">
        <is>
          <t>Dietary</t>
        </is>
      </c>
      <c r="Y145" s="26" t="inlineStr">
        <is>
          <t>Note signed</t>
        </is>
      </c>
      <c r="Z145" s="26" t="inlineStr">
        <is>
          <t>Posted</t>
        </is>
      </c>
      <c r="AA145" s="26" t="inlineStr">
        <is>
          <t>Matched</t>
        </is>
      </c>
      <c r="AB145" s="26" t="inlineStr">
        <is>
          <t>Passed</t>
        </is>
      </c>
      <c r="AC145" s="26" t="n"/>
      <c r="AD145" s="26" t="inlineStr">
        <is>
          <t>N/A</t>
        </is>
      </c>
      <c r="AE145" s="26" t="inlineStr">
        <is>
          <t>E44.1</t>
        </is>
      </c>
      <c r="AF145" s="26" t="inlineStr">
        <is>
          <t>21</t>
        </is>
      </c>
      <c r="AG145" s="26" t="inlineStr">
        <is>
          <t>2026-09-22 16:30</t>
        </is>
      </c>
      <c r="AH145" s="26" t="inlineStr">
        <is>
          <t>Synthetic Athena negotiated charge</t>
        </is>
      </c>
    </row>
    <row r="146">
      <c r="A146" s="26" t="inlineStr">
        <is>
          <t>IPD-CHG-0071-CGH</t>
        </is>
      </c>
      <c r="B146" s="26" t="inlineStr">
        <is>
          <t>HAR-202600071-CGH</t>
        </is>
      </c>
      <c r="C146" s="26" t="inlineStr">
        <is>
          <t>CSN-IPD-780071-CGH</t>
        </is>
      </c>
      <c r="D146" s="26" t="inlineStr">
        <is>
          <t>Inpatient</t>
        </is>
      </c>
      <c r="E146" s="26" t="inlineStr">
        <is>
          <t>Demo Regional Medical Center</t>
        </is>
      </c>
      <c r="F146" s="26" t="inlineStr">
        <is>
          <t>Nutrition</t>
        </is>
      </c>
      <c r="G146" s="26" t="inlineStr">
        <is>
          <t>2026-09-22</t>
        </is>
      </c>
      <c r="H146" s="26" t="inlineStr">
        <is>
          <t>NUTR-ASSESS</t>
        </is>
      </c>
      <c r="I146" s="26" t="inlineStr">
        <is>
          <t>Inpatient Nutrition Assessment</t>
        </is>
      </c>
      <c r="J146" s="26" t="inlineStr">
        <is>
          <t>0942</t>
        </is>
      </c>
      <c r="K146" s="26" t="inlineStr">
        <is>
          <t>97802</t>
        </is>
      </c>
      <c r="L146" s="26" t="n"/>
      <c r="M146" s="26" t="n">
        <v>1</v>
      </c>
      <c r="N146" s="13" t="n">
        <v>325</v>
      </c>
      <c r="O146" s="13">
        <f>M146*N146</f>
        <v/>
      </c>
      <c r="P146" s="13" t="n">
        <v>136.89</v>
      </c>
      <c r="Q146" s="13">
        <f>P146*15%</f>
        <v/>
      </c>
      <c r="R146" s="13">
        <f>O146-P146</f>
        <v/>
      </c>
      <c r="S146" s="26" t="inlineStr">
        <is>
          <t>Care Gap Health</t>
        </is>
      </c>
      <c r="T146" s="26" t="inlineStr">
        <is>
          <t>Care Gap Value PPO</t>
        </is>
      </c>
      <c r="U146" s="26" t="n"/>
      <c r="V146" s="26" t="inlineStr">
        <is>
          <t>Eleanor Brooks, MD</t>
        </is>
      </c>
      <c r="W146" s="26" t="inlineStr">
        <is>
          <t>Assigned Department Provider</t>
        </is>
      </c>
      <c r="X146" s="26" t="inlineStr">
        <is>
          <t>Dietary</t>
        </is>
      </c>
      <c r="Y146" s="26" t="inlineStr">
        <is>
          <t>Note signed</t>
        </is>
      </c>
      <c r="Z146" s="26" t="inlineStr">
        <is>
          <t>Posted</t>
        </is>
      </c>
      <c r="AA146" s="26" t="inlineStr">
        <is>
          <t>Matched</t>
        </is>
      </c>
      <c r="AB146" s="26" t="inlineStr">
        <is>
          <t>Passed</t>
        </is>
      </c>
      <c r="AC146" s="26" t="n"/>
      <c r="AD146" s="26" t="inlineStr">
        <is>
          <t>N/A</t>
        </is>
      </c>
      <c r="AE146" s="26" t="inlineStr">
        <is>
          <t>E44.1</t>
        </is>
      </c>
      <c r="AF146" s="26" t="inlineStr">
        <is>
          <t>21</t>
        </is>
      </c>
      <c r="AG146" s="26" t="inlineStr">
        <is>
          <t>2026-09-22 16:30</t>
        </is>
      </c>
      <c r="AH146" s="26" t="inlineStr">
        <is>
          <t>Synthetic Care Gap charge; 10% below Athena allowed amount</t>
        </is>
      </c>
    </row>
    <row r="147">
      <c r="A147" s="26" t="inlineStr">
        <is>
          <t>IPD-CHG-0072-ATH</t>
        </is>
      </c>
      <c r="B147" s="26" t="inlineStr">
        <is>
          <t>HAR-202600072-ATH</t>
        </is>
      </c>
      <c r="C147" s="26" t="inlineStr">
        <is>
          <t>CSN-IPD-780072-ATH</t>
        </is>
      </c>
      <c r="D147" s="26" t="inlineStr">
        <is>
          <t>Inpatient</t>
        </is>
      </c>
      <c r="E147" s="26" t="inlineStr">
        <is>
          <t>Demo Regional Medical Center</t>
        </is>
      </c>
      <c r="F147" s="26" t="inlineStr">
        <is>
          <t>Dialysis</t>
        </is>
      </c>
      <c r="G147" s="26" t="inlineStr">
        <is>
          <t>2026-09-23</t>
        </is>
      </c>
      <c r="H147" s="26" t="inlineStr">
        <is>
          <t>DIALYSIS-IP</t>
        </is>
      </c>
      <c r="I147" s="26" t="inlineStr">
        <is>
          <t>Inpatient Hemodialysis Treatment</t>
        </is>
      </c>
      <c r="J147" s="26" t="inlineStr">
        <is>
          <t>0801</t>
        </is>
      </c>
      <c r="K147" s="26" t="inlineStr">
        <is>
          <t>90935</t>
        </is>
      </c>
      <c r="L147" s="26" t="n"/>
      <c r="M147" s="26" t="n">
        <v>1</v>
      </c>
      <c r="N147" s="13" t="n">
        <v>1600</v>
      </c>
      <c r="O147" s="13">
        <f>M147*N147</f>
        <v/>
      </c>
      <c r="P147" s="13" t="n">
        <v>998.63</v>
      </c>
      <c r="Q147" s="13">
        <f>P147*20%</f>
        <v/>
      </c>
      <c r="R147" s="13">
        <f>O147-P147</f>
        <v/>
      </c>
      <c r="S147" s="26" t="inlineStr">
        <is>
          <t>Athena Health Insurance</t>
        </is>
      </c>
      <c r="T147" s="26" t="inlineStr">
        <is>
          <t>Athena PPO</t>
        </is>
      </c>
      <c r="U147" s="26" t="n"/>
      <c r="V147" s="26" t="inlineStr">
        <is>
          <t>Eleanor Brooks, MD</t>
        </is>
      </c>
      <c r="W147" s="26" t="inlineStr">
        <is>
          <t>Assigned Department Provider</t>
        </is>
      </c>
      <c r="X147" s="26" t="inlineStr">
        <is>
          <t>Dialysis</t>
        </is>
      </c>
      <c r="Y147" s="26" t="inlineStr">
        <is>
          <t>Treatment completed</t>
        </is>
      </c>
      <c r="Z147" s="26" t="inlineStr">
        <is>
          <t>Posted</t>
        </is>
      </c>
      <c r="AA147" s="26" t="inlineStr">
        <is>
          <t>Matched</t>
        </is>
      </c>
      <c r="AB147" s="26" t="inlineStr">
        <is>
          <t>Passed</t>
        </is>
      </c>
      <c r="AC147" s="26" t="n"/>
      <c r="AD147" s="26" t="inlineStr">
        <is>
          <t>Diagnosis/LCD</t>
        </is>
      </c>
      <c r="AE147" s="26" t="inlineStr">
        <is>
          <t>N18.6</t>
        </is>
      </c>
      <c r="AF147" s="26" t="inlineStr">
        <is>
          <t>21</t>
        </is>
      </c>
      <c r="AG147" s="26" t="inlineStr">
        <is>
          <t>2026-09-23 16:30</t>
        </is>
      </c>
      <c r="AH147" s="26" t="inlineStr">
        <is>
          <t>Synthetic Athena negotiated charge</t>
        </is>
      </c>
    </row>
    <row r="148">
      <c r="A148" s="26" t="inlineStr">
        <is>
          <t>IPD-CHG-0072-CGH</t>
        </is>
      </c>
      <c r="B148" s="26" t="inlineStr">
        <is>
          <t>HAR-202600072-CGH</t>
        </is>
      </c>
      <c r="C148" s="26" t="inlineStr">
        <is>
          <t>CSN-IPD-780072-CGH</t>
        </is>
      </c>
      <c r="D148" s="26" t="inlineStr">
        <is>
          <t>Inpatient</t>
        </is>
      </c>
      <c r="E148" s="26" t="inlineStr">
        <is>
          <t>Demo Regional Medical Center</t>
        </is>
      </c>
      <c r="F148" s="26" t="inlineStr">
        <is>
          <t>Dialysis</t>
        </is>
      </c>
      <c r="G148" s="26" t="inlineStr">
        <is>
          <t>2026-09-23</t>
        </is>
      </c>
      <c r="H148" s="26" t="inlineStr">
        <is>
          <t>DIALYSIS-IP</t>
        </is>
      </c>
      <c r="I148" s="26" t="inlineStr">
        <is>
          <t>Inpatient Hemodialysis Treatment</t>
        </is>
      </c>
      <c r="J148" s="26" t="inlineStr">
        <is>
          <t>0801</t>
        </is>
      </c>
      <c r="K148" s="26" t="inlineStr">
        <is>
          <t>90935</t>
        </is>
      </c>
      <c r="L148" s="26" t="n"/>
      <c r="M148" s="26" t="n">
        <v>1</v>
      </c>
      <c r="N148" s="13" t="n">
        <v>1600</v>
      </c>
      <c r="O148" s="13">
        <f>M148*N148</f>
        <v/>
      </c>
      <c r="P148" s="13" t="n">
        <v>898.77</v>
      </c>
      <c r="Q148" s="13">
        <f>P148*15%</f>
        <v/>
      </c>
      <c r="R148" s="13">
        <f>O148-P148</f>
        <v/>
      </c>
      <c r="S148" s="26" t="inlineStr">
        <is>
          <t>Care Gap Health</t>
        </is>
      </c>
      <c r="T148" s="26" t="inlineStr">
        <is>
          <t>Care Gap Value PPO</t>
        </is>
      </c>
      <c r="U148" s="26" t="n"/>
      <c r="V148" s="26" t="inlineStr">
        <is>
          <t>Eleanor Brooks, MD</t>
        </is>
      </c>
      <c r="W148" s="26" t="inlineStr">
        <is>
          <t>Assigned Department Provider</t>
        </is>
      </c>
      <c r="X148" s="26" t="inlineStr">
        <is>
          <t>Dialysis</t>
        </is>
      </c>
      <c r="Y148" s="26" t="inlineStr">
        <is>
          <t>Treatment completed</t>
        </is>
      </c>
      <c r="Z148" s="26" t="inlineStr">
        <is>
          <t>Posted</t>
        </is>
      </c>
      <c r="AA148" s="26" t="inlineStr">
        <is>
          <t>Matched</t>
        </is>
      </c>
      <c r="AB148" s="26" t="inlineStr">
        <is>
          <t>Passed</t>
        </is>
      </c>
      <c r="AC148" s="26" t="n"/>
      <c r="AD148" s="26" t="inlineStr">
        <is>
          <t>Diagnosis/LCD</t>
        </is>
      </c>
      <c r="AE148" s="26" t="inlineStr">
        <is>
          <t>N18.6</t>
        </is>
      </c>
      <c r="AF148" s="26" t="inlineStr">
        <is>
          <t>21</t>
        </is>
      </c>
      <c r="AG148" s="26" t="inlineStr">
        <is>
          <t>2026-09-23 16:30</t>
        </is>
      </c>
      <c r="AH148" s="26" t="inlineStr">
        <is>
          <t>Synthetic Care Gap charge; 10% below Athena allowed amount</t>
        </is>
      </c>
    </row>
    <row r="149">
      <c r="A149" s="26" t="inlineStr">
        <is>
          <t>IPD-CHG-0073-ATH</t>
        </is>
      </c>
      <c r="B149" s="26" t="inlineStr">
        <is>
          <t>HAR-202600073-ATH</t>
        </is>
      </c>
      <c r="C149" s="26" t="inlineStr">
        <is>
          <t>CSN-IPD-780073-ATH</t>
        </is>
      </c>
      <c r="D149" s="26" t="inlineStr">
        <is>
          <t>Inpatient</t>
        </is>
      </c>
      <c r="E149" s="26" t="inlineStr">
        <is>
          <t>Demo Regional Medical Center</t>
        </is>
      </c>
      <c r="F149" s="26" t="inlineStr">
        <is>
          <t>Accommodation</t>
        </is>
      </c>
      <c r="G149" s="26" t="inlineStr">
        <is>
          <t>2026-09-24</t>
        </is>
      </c>
      <c r="H149" s="26" t="inlineStr">
        <is>
          <t>RM-SEMI-DAY</t>
        </is>
      </c>
      <c r="I149" s="26" t="inlineStr">
        <is>
          <t>Semiprivate Medical/Surgical Room</t>
        </is>
      </c>
      <c r="J149" s="26" t="inlineStr">
        <is>
          <t>0120</t>
        </is>
      </c>
      <c r="K149" s="26" t="n"/>
      <c r="L149" s="26" t="n"/>
      <c r="M149" s="26" t="n">
        <v>1</v>
      </c>
      <c r="N149" s="13" t="n">
        <v>3500</v>
      </c>
      <c r="O149" s="13">
        <f>M149*N149</f>
        <v/>
      </c>
      <c r="P149" s="13" t="n">
        <v>1874.01</v>
      </c>
      <c r="Q149" s="13">
        <f>P149*20%</f>
        <v/>
      </c>
      <c r="R149" s="13">
        <f>O149-P149</f>
        <v/>
      </c>
      <c r="S149" s="26" t="inlineStr">
        <is>
          <t>Athena Health Insurance</t>
        </is>
      </c>
      <c r="T149" s="26" t="inlineStr">
        <is>
          <t>Athena PPO</t>
        </is>
      </c>
      <c r="U149" s="26" t="n"/>
      <c r="V149" s="26" t="inlineStr">
        <is>
          <t>Eleanor Brooks, MD</t>
        </is>
      </c>
      <c r="W149" s="26" t="inlineStr">
        <is>
          <t>Assigned Department Provider</t>
        </is>
      </c>
      <c r="X149" s="26" t="inlineStr">
        <is>
          <t>ADT</t>
        </is>
      </c>
      <c r="Y149" s="26" t="inlineStr">
        <is>
          <t>Midnight census</t>
        </is>
      </c>
      <c r="Z149" s="26" t="inlineStr">
        <is>
          <t>Posted</t>
        </is>
      </c>
      <c r="AA149" s="26" t="inlineStr">
        <is>
          <t>Matched</t>
        </is>
      </c>
      <c r="AB149" s="26" t="inlineStr">
        <is>
          <t>Passed</t>
        </is>
      </c>
      <c r="AC149" s="26" t="n"/>
      <c r="AD149" s="26" t="inlineStr">
        <is>
          <t>N/A</t>
        </is>
      </c>
      <c r="AE149" s="26" t="inlineStr">
        <is>
          <t>M17.11</t>
        </is>
      </c>
      <c r="AF149" s="26" t="inlineStr">
        <is>
          <t>21</t>
        </is>
      </c>
      <c r="AG149" s="26" t="inlineStr">
        <is>
          <t>2026-09-24 16:30</t>
        </is>
      </c>
      <c r="AH149" s="26" t="inlineStr">
        <is>
          <t>Synthetic Athena negotiated charge</t>
        </is>
      </c>
    </row>
    <row r="150">
      <c r="A150" s="26" t="inlineStr">
        <is>
          <t>IPD-CHG-0073-CGH</t>
        </is>
      </c>
      <c r="B150" s="26" t="inlineStr">
        <is>
          <t>HAR-202600073-CGH</t>
        </is>
      </c>
      <c r="C150" s="26" t="inlineStr">
        <is>
          <t>CSN-IPD-780073-CGH</t>
        </is>
      </c>
      <c r="D150" s="26" t="inlineStr">
        <is>
          <t>Inpatient</t>
        </is>
      </c>
      <c r="E150" s="26" t="inlineStr">
        <is>
          <t>Demo Regional Medical Center</t>
        </is>
      </c>
      <c r="F150" s="26" t="inlineStr">
        <is>
          <t>Accommodation</t>
        </is>
      </c>
      <c r="G150" s="26" t="inlineStr">
        <is>
          <t>2026-09-24</t>
        </is>
      </c>
      <c r="H150" s="26" t="inlineStr">
        <is>
          <t>RM-SEMI-DAY</t>
        </is>
      </c>
      <c r="I150" s="26" t="inlineStr">
        <is>
          <t>Semiprivate Medical/Surgical Room</t>
        </is>
      </c>
      <c r="J150" s="26" t="inlineStr">
        <is>
          <t>0120</t>
        </is>
      </c>
      <c r="K150" s="26" t="n"/>
      <c r="L150" s="26" t="n"/>
      <c r="M150" s="26" t="n">
        <v>1</v>
      </c>
      <c r="N150" s="13" t="n">
        <v>3500</v>
      </c>
      <c r="O150" s="13">
        <f>M150*N150</f>
        <v/>
      </c>
      <c r="P150" s="13" t="n">
        <v>1686.61</v>
      </c>
      <c r="Q150" s="13">
        <f>P150*15%</f>
        <v/>
      </c>
      <c r="R150" s="13">
        <f>O150-P150</f>
        <v/>
      </c>
      <c r="S150" s="26" t="inlineStr">
        <is>
          <t>Care Gap Health</t>
        </is>
      </c>
      <c r="T150" s="26" t="inlineStr">
        <is>
          <t>Care Gap Value PPO</t>
        </is>
      </c>
      <c r="U150" s="26" t="n"/>
      <c r="V150" s="26" t="inlineStr">
        <is>
          <t>Eleanor Brooks, MD</t>
        </is>
      </c>
      <c r="W150" s="26" t="inlineStr">
        <is>
          <t>Assigned Department Provider</t>
        </is>
      </c>
      <c r="X150" s="26" t="inlineStr">
        <is>
          <t>ADT</t>
        </is>
      </c>
      <c r="Y150" s="26" t="inlineStr">
        <is>
          <t>Midnight census</t>
        </is>
      </c>
      <c r="Z150" s="26" t="inlineStr">
        <is>
          <t>Posted</t>
        </is>
      </c>
      <c r="AA150" s="26" t="inlineStr">
        <is>
          <t>Matched</t>
        </is>
      </c>
      <c r="AB150" s="26" t="inlineStr">
        <is>
          <t>Passed</t>
        </is>
      </c>
      <c r="AC150" s="26" t="n"/>
      <c r="AD150" s="26" t="inlineStr">
        <is>
          <t>N/A</t>
        </is>
      </c>
      <c r="AE150" s="26" t="inlineStr">
        <is>
          <t>M17.11</t>
        </is>
      </c>
      <c r="AF150" s="26" t="inlineStr">
        <is>
          <t>21</t>
        </is>
      </c>
      <c r="AG150" s="26" t="inlineStr">
        <is>
          <t>2026-09-24 16:30</t>
        </is>
      </c>
      <c r="AH150" s="26" t="inlineStr">
        <is>
          <t>Synthetic Care Gap charge; 10% below Athena allowed amount</t>
        </is>
      </c>
    </row>
    <row r="151">
      <c r="A151" s="26" t="inlineStr">
        <is>
          <t>IPD-CHG-0074-ATH</t>
        </is>
      </c>
      <c r="B151" s="26" t="inlineStr">
        <is>
          <t>HAR-202600074-ATH</t>
        </is>
      </c>
      <c r="C151" s="26" t="inlineStr">
        <is>
          <t>CSN-IPD-780074-ATH</t>
        </is>
      </c>
      <c r="D151" s="26" t="inlineStr">
        <is>
          <t>Inpatient</t>
        </is>
      </c>
      <c r="E151" s="26" t="inlineStr">
        <is>
          <t>Demo Regional Medical Center</t>
        </is>
      </c>
      <c r="F151" s="26" t="inlineStr">
        <is>
          <t>Accommodation</t>
        </is>
      </c>
      <c r="G151" s="26" t="inlineStr">
        <is>
          <t>2026-09-25</t>
        </is>
      </c>
      <c r="H151" s="26" t="inlineStr">
        <is>
          <t>RM-PRIV-DAY</t>
        </is>
      </c>
      <c r="I151" s="26" t="inlineStr">
        <is>
          <t>Private Medical/Surgical Room</t>
        </is>
      </c>
      <c r="J151" s="26" t="inlineStr">
        <is>
          <t>0110</t>
        </is>
      </c>
      <c r="K151" s="26" t="n"/>
      <c r="L151" s="26" t="n"/>
      <c r="M151" s="26" t="n">
        <v>4</v>
      </c>
      <c r="N151" s="13" t="n">
        <v>4600</v>
      </c>
      <c r="O151" s="13">
        <f>M151*N151</f>
        <v/>
      </c>
      <c r="P151" s="13" t="n">
        <v>10648.71</v>
      </c>
      <c r="Q151" s="13">
        <f>P151*20%</f>
        <v/>
      </c>
      <c r="R151" s="13">
        <f>O151-P151</f>
        <v/>
      </c>
      <c r="S151" s="26" t="inlineStr">
        <is>
          <t>Athena Health Insurance</t>
        </is>
      </c>
      <c r="T151" s="26" t="inlineStr">
        <is>
          <t>Athena PPO</t>
        </is>
      </c>
      <c r="U151" s="26" t="n"/>
      <c r="V151" s="26" t="inlineStr">
        <is>
          <t>Eleanor Brooks, MD</t>
        </is>
      </c>
      <c r="W151" s="26" t="inlineStr">
        <is>
          <t>Assigned Department Provider</t>
        </is>
      </c>
      <c r="X151" s="26" t="inlineStr">
        <is>
          <t>ADT</t>
        </is>
      </c>
      <c r="Y151" s="26" t="inlineStr">
        <is>
          <t>Midnight census</t>
        </is>
      </c>
      <c r="Z151" s="26" t="inlineStr">
        <is>
          <t>Posted</t>
        </is>
      </c>
      <c r="AA151" s="26" t="inlineStr">
        <is>
          <t>Matched</t>
        </is>
      </c>
      <c r="AB151" s="26" t="inlineStr">
        <is>
          <t>Passed</t>
        </is>
      </c>
      <c r="AC151" s="26" t="n"/>
      <c r="AD151" s="26" t="inlineStr">
        <is>
          <t>N/A</t>
        </is>
      </c>
      <c r="AE151" s="26" t="inlineStr">
        <is>
          <t>M17.11</t>
        </is>
      </c>
      <c r="AF151" s="26" t="inlineStr">
        <is>
          <t>21</t>
        </is>
      </c>
      <c r="AG151" s="26" t="inlineStr">
        <is>
          <t>2026-09-25 16:30</t>
        </is>
      </c>
      <c r="AH151" s="26" t="inlineStr">
        <is>
          <t>Synthetic Athena negotiated charge</t>
        </is>
      </c>
    </row>
    <row r="152">
      <c r="A152" s="26" t="inlineStr">
        <is>
          <t>IPD-CHG-0074-CGH</t>
        </is>
      </c>
      <c r="B152" s="26" t="inlineStr">
        <is>
          <t>HAR-202600074-CGH</t>
        </is>
      </c>
      <c r="C152" s="26" t="inlineStr">
        <is>
          <t>CSN-IPD-780074-CGH</t>
        </is>
      </c>
      <c r="D152" s="26" t="inlineStr">
        <is>
          <t>Inpatient</t>
        </is>
      </c>
      <c r="E152" s="26" t="inlineStr">
        <is>
          <t>Demo Regional Medical Center</t>
        </is>
      </c>
      <c r="F152" s="26" t="inlineStr">
        <is>
          <t>Accommodation</t>
        </is>
      </c>
      <c r="G152" s="26" t="inlineStr">
        <is>
          <t>2026-09-25</t>
        </is>
      </c>
      <c r="H152" s="26" t="inlineStr">
        <is>
          <t>RM-PRIV-DAY</t>
        </is>
      </c>
      <c r="I152" s="26" t="inlineStr">
        <is>
          <t>Private Medical/Surgical Room</t>
        </is>
      </c>
      <c r="J152" s="26" t="inlineStr">
        <is>
          <t>0110</t>
        </is>
      </c>
      <c r="K152" s="26" t="n"/>
      <c r="L152" s="26" t="n"/>
      <c r="M152" s="26" t="n">
        <v>4</v>
      </c>
      <c r="N152" s="13" t="n">
        <v>4600</v>
      </c>
      <c r="O152" s="13">
        <f>M152*N152</f>
        <v/>
      </c>
      <c r="P152" s="13" t="n">
        <v>9583.84</v>
      </c>
      <c r="Q152" s="13">
        <f>P152*15%</f>
        <v/>
      </c>
      <c r="R152" s="13">
        <f>O152-P152</f>
        <v/>
      </c>
      <c r="S152" s="26" t="inlineStr">
        <is>
          <t>Care Gap Health</t>
        </is>
      </c>
      <c r="T152" s="26" t="inlineStr">
        <is>
          <t>Care Gap Value PPO</t>
        </is>
      </c>
      <c r="U152" s="26" t="n"/>
      <c r="V152" s="26" t="inlineStr">
        <is>
          <t>Eleanor Brooks, MD</t>
        </is>
      </c>
      <c r="W152" s="26" t="inlineStr">
        <is>
          <t>Assigned Department Provider</t>
        </is>
      </c>
      <c r="X152" s="26" t="inlineStr">
        <is>
          <t>ADT</t>
        </is>
      </c>
      <c r="Y152" s="26" t="inlineStr">
        <is>
          <t>Midnight census</t>
        </is>
      </c>
      <c r="Z152" s="26" t="inlineStr">
        <is>
          <t>Posted</t>
        </is>
      </c>
      <c r="AA152" s="26" t="inlineStr">
        <is>
          <t>Matched</t>
        </is>
      </c>
      <c r="AB152" s="26" t="inlineStr">
        <is>
          <t>Passed</t>
        </is>
      </c>
      <c r="AC152" s="26" t="n"/>
      <c r="AD152" s="26" t="inlineStr">
        <is>
          <t>N/A</t>
        </is>
      </c>
      <c r="AE152" s="26" t="inlineStr">
        <is>
          <t>M17.11</t>
        </is>
      </c>
      <c r="AF152" s="26" t="inlineStr">
        <is>
          <t>21</t>
        </is>
      </c>
      <c r="AG152" s="26" t="inlineStr">
        <is>
          <t>2026-09-25 16:30</t>
        </is>
      </c>
      <c r="AH152" s="26" t="inlineStr">
        <is>
          <t>Synthetic Care Gap charge; 10% below Athena allowed amount</t>
        </is>
      </c>
    </row>
    <row r="153">
      <c r="A153" s="26" t="inlineStr">
        <is>
          <t>IPD-CHG-0075-ATH</t>
        </is>
      </c>
      <c r="B153" s="26" t="inlineStr">
        <is>
          <t>HAR-202600075-ATH</t>
        </is>
      </c>
      <c r="C153" s="26" t="inlineStr">
        <is>
          <t>CSN-IPD-780075-ATH</t>
        </is>
      </c>
      <c r="D153" s="26" t="inlineStr">
        <is>
          <t>Inpatient</t>
        </is>
      </c>
      <c r="E153" s="26" t="inlineStr">
        <is>
          <t>Demo Regional Medical Center</t>
        </is>
      </c>
      <c r="F153" s="26" t="inlineStr">
        <is>
          <t>Intensive Care</t>
        </is>
      </c>
      <c r="G153" s="26" t="inlineStr">
        <is>
          <t>2026-09-01</t>
        </is>
      </c>
      <c r="H153" s="26" t="inlineStr">
        <is>
          <t>ICU-DAY</t>
        </is>
      </c>
      <c r="I153" s="26" t="inlineStr">
        <is>
          <t>Intensive Care Unit Room</t>
        </is>
      </c>
      <c r="J153" s="26" t="inlineStr">
        <is>
          <t>0200</t>
        </is>
      </c>
      <c r="K153" s="26" t="n"/>
      <c r="L153" s="26" t="n"/>
      <c r="M153" s="26" t="n">
        <v>1</v>
      </c>
      <c r="N153" s="13" t="n">
        <v>8200</v>
      </c>
      <c r="O153" s="13">
        <f>M153*N153</f>
        <v/>
      </c>
      <c r="P153" s="13" t="n">
        <v>5117.5</v>
      </c>
      <c r="Q153" s="13">
        <f>P153*20%</f>
        <v/>
      </c>
      <c r="R153" s="13">
        <f>O153-P153</f>
        <v/>
      </c>
      <c r="S153" s="26" t="inlineStr">
        <is>
          <t>Athena Health Insurance</t>
        </is>
      </c>
      <c r="T153" s="26" t="inlineStr">
        <is>
          <t>Athena PPO</t>
        </is>
      </c>
      <c r="U153" s="26" t="n"/>
      <c r="V153" s="26" t="inlineStr">
        <is>
          <t>Eleanor Brooks, MD</t>
        </is>
      </c>
      <c r="W153" s="26" t="inlineStr">
        <is>
          <t>Assigned Department Provider</t>
        </is>
      </c>
      <c r="X153" s="26" t="inlineStr">
        <is>
          <t>ADT</t>
        </is>
      </c>
      <c r="Y153" s="26" t="inlineStr">
        <is>
          <t>Midnight census</t>
        </is>
      </c>
      <c r="Z153" s="26" t="inlineStr">
        <is>
          <t>Posted</t>
        </is>
      </c>
      <c r="AA153" s="26" t="inlineStr">
        <is>
          <t>Matched</t>
        </is>
      </c>
      <c r="AB153" s="26" t="inlineStr">
        <is>
          <t>Passed</t>
        </is>
      </c>
      <c r="AC153" s="26" t="n"/>
      <c r="AD153" s="26" t="inlineStr">
        <is>
          <t>N/A</t>
        </is>
      </c>
      <c r="AE153" s="26" t="inlineStr">
        <is>
          <t>J96.01</t>
        </is>
      </c>
      <c r="AF153" s="26" t="inlineStr">
        <is>
          <t>21</t>
        </is>
      </c>
      <c r="AG153" s="26" t="inlineStr">
        <is>
          <t>2026-09-01 16:30</t>
        </is>
      </c>
      <c r="AH153" s="26" t="inlineStr">
        <is>
          <t>Synthetic Athena negotiated charge</t>
        </is>
      </c>
    </row>
    <row r="154">
      <c r="A154" s="26" t="inlineStr">
        <is>
          <t>IPD-CHG-0075-CGH</t>
        </is>
      </c>
      <c r="B154" s="26" t="inlineStr">
        <is>
          <t>HAR-202600075-CGH</t>
        </is>
      </c>
      <c r="C154" s="26" t="inlineStr">
        <is>
          <t>CSN-IPD-780075-CGH</t>
        </is>
      </c>
      <c r="D154" s="26" t="inlineStr">
        <is>
          <t>Inpatient</t>
        </is>
      </c>
      <c r="E154" s="26" t="inlineStr">
        <is>
          <t>Demo Regional Medical Center</t>
        </is>
      </c>
      <c r="F154" s="26" t="inlineStr">
        <is>
          <t>Intensive Care</t>
        </is>
      </c>
      <c r="G154" s="26" t="inlineStr">
        <is>
          <t>2026-09-01</t>
        </is>
      </c>
      <c r="H154" s="26" t="inlineStr">
        <is>
          <t>ICU-DAY</t>
        </is>
      </c>
      <c r="I154" s="26" t="inlineStr">
        <is>
          <t>Intensive Care Unit Room</t>
        </is>
      </c>
      <c r="J154" s="26" t="inlineStr">
        <is>
          <t>0200</t>
        </is>
      </c>
      <c r="K154" s="26" t="n"/>
      <c r="L154" s="26" t="n"/>
      <c r="M154" s="26" t="n">
        <v>1</v>
      </c>
      <c r="N154" s="13" t="n">
        <v>8200</v>
      </c>
      <c r="O154" s="13">
        <f>M154*N154</f>
        <v/>
      </c>
      <c r="P154" s="13" t="n">
        <v>4605.75</v>
      </c>
      <c r="Q154" s="13">
        <f>P154*15%</f>
        <v/>
      </c>
      <c r="R154" s="13">
        <f>O154-P154</f>
        <v/>
      </c>
      <c r="S154" s="26" t="inlineStr">
        <is>
          <t>Care Gap Health</t>
        </is>
      </c>
      <c r="T154" s="26" t="inlineStr">
        <is>
          <t>Care Gap Value PPO</t>
        </is>
      </c>
      <c r="U154" s="26" t="n"/>
      <c r="V154" s="26" t="inlineStr">
        <is>
          <t>Eleanor Brooks, MD</t>
        </is>
      </c>
      <c r="W154" s="26" t="inlineStr">
        <is>
          <t>Assigned Department Provider</t>
        </is>
      </c>
      <c r="X154" s="26" t="inlineStr">
        <is>
          <t>ADT</t>
        </is>
      </c>
      <c r="Y154" s="26" t="inlineStr">
        <is>
          <t>Midnight census</t>
        </is>
      </c>
      <c r="Z154" s="26" t="inlineStr">
        <is>
          <t>Posted</t>
        </is>
      </c>
      <c r="AA154" s="26" t="inlineStr">
        <is>
          <t>Matched</t>
        </is>
      </c>
      <c r="AB154" s="26" t="inlineStr">
        <is>
          <t>Passed</t>
        </is>
      </c>
      <c r="AC154" s="26" t="n"/>
      <c r="AD154" s="26" t="inlineStr">
        <is>
          <t>N/A</t>
        </is>
      </c>
      <c r="AE154" s="26" t="inlineStr">
        <is>
          <t>J96.01</t>
        </is>
      </c>
      <c r="AF154" s="26" t="inlineStr">
        <is>
          <t>21</t>
        </is>
      </c>
      <c r="AG154" s="26" t="inlineStr">
        <is>
          <t>2026-09-01 16:30</t>
        </is>
      </c>
      <c r="AH154" s="26" t="inlineStr">
        <is>
          <t>Synthetic Care Gap charge; 10% below Athena allowed amount</t>
        </is>
      </c>
    </row>
    <row r="155">
      <c r="A155" s="26" t="inlineStr">
        <is>
          <t>IPD-CHG-0076-ATH</t>
        </is>
      </c>
      <c r="B155" s="26" t="inlineStr">
        <is>
          <t>HAR-202600076-ATH</t>
        </is>
      </c>
      <c r="C155" s="26" t="inlineStr">
        <is>
          <t>CSN-IPD-780076-ATH</t>
        </is>
      </c>
      <c r="D155" s="26" t="inlineStr">
        <is>
          <t>Inpatient</t>
        </is>
      </c>
      <c r="E155" s="26" t="inlineStr">
        <is>
          <t>Demo Regional Medical Center</t>
        </is>
      </c>
      <c r="F155" s="26" t="inlineStr">
        <is>
          <t>Operating Room</t>
        </is>
      </c>
      <c r="G155" s="26" t="inlineStr">
        <is>
          <t>2026-09-02</t>
        </is>
      </c>
      <c r="H155" s="26" t="inlineStr">
        <is>
          <t>OR-MAJOR-1H</t>
        </is>
      </c>
      <c r="I155" s="26" t="inlineStr">
        <is>
          <t>Major Operating Room, First Hour</t>
        </is>
      </c>
      <c r="J155" s="26" t="inlineStr">
        <is>
          <t>0360</t>
        </is>
      </c>
      <c r="K155" s="26" t="n"/>
      <c r="L155" s="26" t="n"/>
      <c r="M155" s="26" t="n">
        <v>1</v>
      </c>
      <c r="N155" s="13" t="n">
        <v>10250</v>
      </c>
      <c r="O155" s="13">
        <f>M155*N155</f>
        <v/>
      </c>
      <c r="P155" s="13" t="n">
        <v>6401.26</v>
      </c>
      <c r="Q155" s="13">
        <f>P155*20%</f>
        <v/>
      </c>
      <c r="R155" s="13">
        <f>O155-P155</f>
        <v/>
      </c>
      <c r="S155" s="26" t="inlineStr">
        <is>
          <t>Athena Health Insurance</t>
        </is>
      </c>
      <c r="T155" s="26" t="inlineStr">
        <is>
          <t>Athena PPO</t>
        </is>
      </c>
      <c r="U155" s="26" t="n"/>
      <c r="V155" s="26" t="inlineStr">
        <is>
          <t>Eleanor Brooks, MD</t>
        </is>
      </c>
      <c r="W155" s="26" t="inlineStr">
        <is>
          <t>Assigned Department Provider</t>
        </is>
      </c>
      <c r="X155" s="26" t="inlineStr">
        <is>
          <t>Perioperative</t>
        </is>
      </c>
      <c r="Y155" s="26" t="inlineStr">
        <is>
          <t>Procedure end</t>
        </is>
      </c>
      <c r="Z155" s="26" t="inlineStr">
        <is>
          <t>Posted</t>
        </is>
      </c>
      <c r="AA155" s="26" t="inlineStr">
        <is>
          <t>Matched</t>
        </is>
      </c>
      <c r="AB155" s="26" t="inlineStr">
        <is>
          <t>Passed</t>
        </is>
      </c>
      <c r="AC155" s="26" t="n"/>
      <c r="AD155" s="26" t="inlineStr">
        <is>
          <t>Procedure-specific</t>
        </is>
      </c>
      <c r="AE155" s="26" t="inlineStr">
        <is>
          <t>M17.11</t>
        </is>
      </c>
      <c r="AF155" s="26" t="inlineStr">
        <is>
          <t>21</t>
        </is>
      </c>
      <c r="AG155" s="26" t="inlineStr">
        <is>
          <t>2026-09-02 16:30</t>
        </is>
      </c>
      <c r="AH155" s="26" t="inlineStr">
        <is>
          <t>Synthetic Athena negotiated charge</t>
        </is>
      </c>
    </row>
    <row r="156">
      <c r="A156" s="26" t="inlineStr">
        <is>
          <t>IPD-CHG-0076-CGH</t>
        </is>
      </c>
      <c r="B156" s="26" t="inlineStr">
        <is>
          <t>HAR-202600076-CGH</t>
        </is>
      </c>
      <c r="C156" s="26" t="inlineStr">
        <is>
          <t>CSN-IPD-780076-CGH</t>
        </is>
      </c>
      <c r="D156" s="26" t="inlineStr">
        <is>
          <t>Inpatient</t>
        </is>
      </c>
      <c r="E156" s="26" t="inlineStr">
        <is>
          <t>Demo Regional Medical Center</t>
        </is>
      </c>
      <c r="F156" s="26" t="inlineStr">
        <is>
          <t>Operating Room</t>
        </is>
      </c>
      <c r="G156" s="26" t="inlineStr">
        <is>
          <t>2026-09-02</t>
        </is>
      </c>
      <c r="H156" s="26" t="inlineStr">
        <is>
          <t>OR-MAJOR-1H</t>
        </is>
      </c>
      <c r="I156" s="26" t="inlineStr">
        <is>
          <t>Major Operating Room, First Hour</t>
        </is>
      </c>
      <c r="J156" s="26" t="inlineStr">
        <is>
          <t>0360</t>
        </is>
      </c>
      <c r="K156" s="26" t="n"/>
      <c r="L156" s="26" t="n"/>
      <c r="M156" s="26" t="n">
        <v>1</v>
      </c>
      <c r="N156" s="13" t="n">
        <v>10250</v>
      </c>
      <c r="O156" s="13">
        <f>M156*N156</f>
        <v/>
      </c>
      <c r="P156" s="13" t="n">
        <v>5761.13</v>
      </c>
      <c r="Q156" s="13">
        <f>P156*15%</f>
        <v/>
      </c>
      <c r="R156" s="13">
        <f>O156-P156</f>
        <v/>
      </c>
      <c r="S156" s="26" t="inlineStr">
        <is>
          <t>Care Gap Health</t>
        </is>
      </c>
      <c r="T156" s="26" t="inlineStr">
        <is>
          <t>Care Gap Value PPO</t>
        </is>
      </c>
      <c r="U156" s="26" t="n"/>
      <c r="V156" s="26" t="inlineStr">
        <is>
          <t>Eleanor Brooks, MD</t>
        </is>
      </c>
      <c r="W156" s="26" t="inlineStr">
        <is>
          <t>Assigned Department Provider</t>
        </is>
      </c>
      <c r="X156" s="26" t="inlineStr">
        <is>
          <t>Perioperative</t>
        </is>
      </c>
      <c r="Y156" s="26" t="inlineStr">
        <is>
          <t>Procedure end</t>
        </is>
      </c>
      <c r="Z156" s="26" t="inlineStr">
        <is>
          <t>Posted</t>
        </is>
      </c>
      <c r="AA156" s="26" t="inlineStr">
        <is>
          <t>Matched</t>
        </is>
      </c>
      <c r="AB156" s="26" t="inlineStr">
        <is>
          <t>Passed</t>
        </is>
      </c>
      <c r="AC156" s="26" t="n"/>
      <c r="AD156" s="26" t="inlineStr">
        <is>
          <t>Procedure-specific</t>
        </is>
      </c>
      <c r="AE156" s="26" t="inlineStr">
        <is>
          <t>M17.11</t>
        </is>
      </c>
      <c r="AF156" s="26" t="inlineStr">
        <is>
          <t>21</t>
        </is>
      </c>
      <c r="AG156" s="26" t="inlineStr">
        <is>
          <t>2026-09-02 16:30</t>
        </is>
      </c>
      <c r="AH156" s="26" t="inlineStr">
        <is>
          <t>Synthetic Care Gap charge; 10% below Athena allowed amount</t>
        </is>
      </c>
    </row>
    <row r="157">
      <c r="A157" s="26" t="inlineStr">
        <is>
          <t>IPD-CHG-0077-ATH</t>
        </is>
      </c>
      <c r="B157" s="26" t="inlineStr">
        <is>
          <t>HAR-202600077-ATH</t>
        </is>
      </c>
      <c r="C157" s="26" t="inlineStr">
        <is>
          <t>CSN-IPD-780077-ATH</t>
        </is>
      </c>
      <c r="D157" s="26" t="inlineStr">
        <is>
          <t>Inpatient</t>
        </is>
      </c>
      <c r="E157" s="26" t="inlineStr">
        <is>
          <t>Demo Regional Medical Center</t>
        </is>
      </c>
      <c r="F157" s="26" t="inlineStr">
        <is>
          <t>Operating Room</t>
        </is>
      </c>
      <c r="G157" s="26" t="inlineStr">
        <is>
          <t>2026-09-03</t>
        </is>
      </c>
      <c r="H157" s="26" t="inlineStr">
        <is>
          <t>OR-ADD-15</t>
        </is>
      </c>
      <c r="I157" s="26" t="inlineStr">
        <is>
          <t>Operating Room, Additional 15 Minutes</t>
        </is>
      </c>
      <c r="J157" s="26" t="inlineStr">
        <is>
          <t>0360</t>
        </is>
      </c>
      <c r="K157" s="26" t="n"/>
      <c r="L157" s="26" t="n"/>
      <c r="M157" s="26" t="n">
        <v>4</v>
      </c>
      <c r="N157" s="13" t="n">
        <v>1280</v>
      </c>
      <c r="O157" s="13">
        <f>M157*N157</f>
        <v/>
      </c>
      <c r="P157" s="13" t="n">
        <v>3330.97</v>
      </c>
      <c r="Q157" s="13">
        <f>P157*20%</f>
        <v/>
      </c>
      <c r="R157" s="13">
        <f>O157-P157</f>
        <v/>
      </c>
      <c r="S157" s="26" t="inlineStr">
        <is>
          <t>Athena Health Insurance</t>
        </is>
      </c>
      <c r="T157" s="26" t="inlineStr">
        <is>
          <t>Athena PPO</t>
        </is>
      </c>
      <c r="U157" s="26" t="n"/>
      <c r="V157" s="26" t="inlineStr">
        <is>
          <t>Eleanor Brooks, MD</t>
        </is>
      </c>
      <c r="W157" s="26" t="inlineStr">
        <is>
          <t>Assigned Department Provider</t>
        </is>
      </c>
      <c r="X157" s="26" t="inlineStr">
        <is>
          <t>Perioperative</t>
        </is>
      </c>
      <c r="Y157" s="26" t="inlineStr">
        <is>
          <t>Procedure end</t>
        </is>
      </c>
      <c r="Z157" s="26" t="inlineStr">
        <is>
          <t>Posted</t>
        </is>
      </c>
      <c r="AA157" s="26" t="inlineStr">
        <is>
          <t>Matched</t>
        </is>
      </c>
      <c r="AB157" s="26" t="inlineStr">
        <is>
          <t>Passed</t>
        </is>
      </c>
      <c r="AC157" s="26" t="n"/>
      <c r="AD157" s="26" t="inlineStr">
        <is>
          <t>Procedure-specific</t>
        </is>
      </c>
      <c r="AE157" s="26" t="inlineStr">
        <is>
          <t>M17.11</t>
        </is>
      </c>
      <c r="AF157" s="26" t="inlineStr">
        <is>
          <t>21</t>
        </is>
      </c>
      <c r="AG157" s="26" t="inlineStr">
        <is>
          <t>2026-09-03 16:30</t>
        </is>
      </c>
      <c r="AH157" s="26" t="inlineStr">
        <is>
          <t>Synthetic Athena negotiated charge</t>
        </is>
      </c>
    </row>
    <row r="158">
      <c r="A158" s="26" t="inlineStr">
        <is>
          <t>IPD-CHG-0077-CGH</t>
        </is>
      </c>
      <c r="B158" s="26" t="inlineStr">
        <is>
          <t>HAR-202600077-CGH</t>
        </is>
      </c>
      <c r="C158" s="26" t="inlineStr">
        <is>
          <t>CSN-IPD-780077-CGH</t>
        </is>
      </c>
      <c r="D158" s="26" t="inlineStr">
        <is>
          <t>Inpatient</t>
        </is>
      </c>
      <c r="E158" s="26" t="inlineStr">
        <is>
          <t>Demo Regional Medical Center</t>
        </is>
      </c>
      <c r="F158" s="26" t="inlineStr">
        <is>
          <t>Operating Room</t>
        </is>
      </c>
      <c r="G158" s="26" t="inlineStr">
        <is>
          <t>2026-09-03</t>
        </is>
      </c>
      <c r="H158" s="26" t="inlineStr">
        <is>
          <t>OR-ADD-15</t>
        </is>
      </c>
      <c r="I158" s="26" t="inlineStr">
        <is>
          <t>Operating Room, Additional 15 Minutes</t>
        </is>
      </c>
      <c r="J158" s="26" t="inlineStr">
        <is>
          <t>0360</t>
        </is>
      </c>
      <c r="K158" s="26" t="n"/>
      <c r="L158" s="26" t="n"/>
      <c r="M158" s="26" t="n">
        <v>4</v>
      </c>
      <c r="N158" s="13" t="n">
        <v>1280</v>
      </c>
      <c r="O158" s="13">
        <f>M158*N158</f>
        <v/>
      </c>
      <c r="P158" s="13" t="n">
        <v>2997.87</v>
      </c>
      <c r="Q158" s="13">
        <f>P158*15%</f>
        <v/>
      </c>
      <c r="R158" s="13">
        <f>O158-P158</f>
        <v/>
      </c>
      <c r="S158" s="26" t="inlineStr">
        <is>
          <t>Care Gap Health</t>
        </is>
      </c>
      <c r="T158" s="26" t="inlineStr">
        <is>
          <t>Care Gap Value PPO</t>
        </is>
      </c>
      <c r="U158" s="26" t="n"/>
      <c r="V158" s="26" t="inlineStr">
        <is>
          <t>Eleanor Brooks, MD</t>
        </is>
      </c>
      <c r="W158" s="26" t="inlineStr">
        <is>
          <t>Assigned Department Provider</t>
        </is>
      </c>
      <c r="X158" s="26" t="inlineStr">
        <is>
          <t>Perioperative</t>
        </is>
      </c>
      <c r="Y158" s="26" t="inlineStr">
        <is>
          <t>Procedure end</t>
        </is>
      </c>
      <c r="Z158" s="26" t="inlineStr">
        <is>
          <t>Posted</t>
        </is>
      </c>
      <c r="AA158" s="26" t="inlineStr">
        <is>
          <t>Matched</t>
        </is>
      </c>
      <c r="AB158" s="26" t="inlineStr">
        <is>
          <t>Passed</t>
        </is>
      </c>
      <c r="AC158" s="26" t="n"/>
      <c r="AD158" s="26" t="inlineStr">
        <is>
          <t>Procedure-specific</t>
        </is>
      </c>
      <c r="AE158" s="26" t="inlineStr">
        <is>
          <t>M17.11</t>
        </is>
      </c>
      <c r="AF158" s="26" t="inlineStr">
        <is>
          <t>21</t>
        </is>
      </c>
      <c r="AG158" s="26" t="inlineStr">
        <is>
          <t>2026-09-03 16:30</t>
        </is>
      </c>
      <c r="AH158" s="26" t="inlineStr">
        <is>
          <t>Synthetic Care Gap charge; 10% below Athena allowed amount</t>
        </is>
      </c>
    </row>
    <row r="159">
      <c r="A159" s="26" t="inlineStr">
        <is>
          <t>IPD-CHG-0078-ATH</t>
        </is>
      </c>
      <c r="B159" s="26" t="inlineStr">
        <is>
          <t>HAR-202600078-ATH</t>
        </is>
      </c>
      <c r="C159" s="26" t="inlineStr">
        <is>
          <t>CSN-IPD-780078-ATH</t>
        </is>
      </c>
      <c r="D159" s="26" t="inlineStr">
        <is>
          <t>Inpatient</t>
        </is>
      </c>
      <c r="E159" s="26" t="inlineStr">
        <is>
          <t>Demo Regional Medical Center</t>
        </is>
      </c>
      <c r="F159" s="26" t="inlineStr">
        <is>
          <t>Recovery Room</t>
        </is>
      </c>
      <c r="G159" s="26" t="inlineStr">
        <is>
          <t>2026-09-04</t>
        </is>
      </c>
      <c r="H159" s="26" t="inlineStr">
        <is>
          <t>PACU-1H</t>
        </is>
      </c>
      <c r="I159" s="26" t="inlineStr">
        <is>
          <t>Post-Anesthesia Care, First Hour</t>
        </is>
      </c>
      <c r="J159" s="26" t="inlineStr">
        <is>
          <t>0710</t>
        </is>
      </c>
      <c r="K159" s="26" t="n"/>
      <c r="L159" s="26" t="n"/>
      <c r="M159" s="26" t="n">
        <v>1</v>
      </c>
      <c r="N159" s="13" t="n">
        <v>2100</v>
      </c>
      <c r="O159" s="13">
        <f>M159*N159</f>
        <v/>
      </c>
      <c r="P159" s="13" t="n">
        <v>1096.31</v>
      </c>
      <c r="Q159" s="13">
        <f>P159*20%</f>
        <v/>
      </c>
      <c r="R159" s="13">
        <f>O159-P159</f>
        <v/>
      </c>
      <c r="S159" s="26" t="inlineStr">
        <is>
          <t>Athena Health Insurance</t>
        </is>
      </c>
      <c r="T159" s="26" t="inlineStr">
        <is>
          <t>Athena PPO</t>
        </is>
      </c>
      <c r="U159" s="26" t="n"/>
      <c r="V159" s="26" t="inlineStr">
        <is>
          <t>Eleanor Brooks, MD</t>
        </is>
      </c>
      <c r="W159" s="26" t="inlineStr">
        <is>
          <t>Assigned Department Provider</t>
        </is>
      </c>
      <c r="X159" s="26" t="inlineStr">
        <is>
          <t>Perioperative</t>
        </is>
      </c>
      <c r="Y159" s="26" t="inlineStr">
        <is>
          <t>PACU discharge</t>
        </is>
      </c>
      <c r="Z159" s="26" t="inlineStr">
        <is>
          <t>Posted</t>
        </is>
      </c>
      <c r="AA159" s="26" t="inlineStr">
        <is>
          <t>Matched</t>
        </is>
      </c>
      <c r="AB159" s="26" t="inlineStr">
        <is>
          <t>Passed</t>
        </is>
      </c>
      <c r="AC159" s="26" t="n"/>
      <c r="AD159" s="26" t="inlineStr">
        <is>
          <t>N/A</t>
        </is>
      </c>
      <c r="AE159" s="26" t="inlineStr">
        <is>
          <t>Z47.1</t>
        </is>
      </c>
      <c r="AF159" s="26" t="inlineStr">
        <is>
          <t>21</t>
        </is>
      </c>
      <c r="AG159" s="26" t="inlineStr">
        <is>
          <t>2026-09-04 16:30</t>
        </is>
      </c>
      <c r="AH159" s="26" t="inlineStr">
        <is>
          <t>Synthetic Athena negotiated charge</t>
        </is>
      </c>
    </row>
    <row r="160">
      <c r="A160" s="26" t="inlineStr">
        <is>
          <t>IPD-CHG-0078-CGH</t>
        </is>
      </c>
      <c r="B160" s="26" t="inlineStr">
        <is>
          <t>HAR-202600078-CGH</t>
        </is>
      </c>
      <c r="C160" s="26" t="inlineStr">
        <is>
          <t>CSN-IPD-780078-CGH</t>
        </is>
      </c>
      <c r="D160" s="26" t="inlineStr">
        <is>
          <t>Inpatient</t>
        </is>
      </c>
      <c r="E160" s="26" t="inlineStr">
        <is>
          <t>Demo Regional Medical Center</t>
        </is>
      </c>
      <c r="F160" s="26" t="inlineStr">
        <is>
          <t>Recovery Room</t>
        </is>
      </c>
      <c r="G160" s="26" t="inlineStr">
        <is>
          <t>2026-09-04</t>
        </is>
      </c>
      <c r="H160" s="26" t="inlineStr">
        <is>
          <t>PACU-1H</t>
        </is>
      </c>
      <c r="I160" s="26" t="inlineStr">
        <is>
          <t>Post-Anesthesia Care, First Hour</t>
        </is>
      </c>
      <c r="J160" s="26" t="inlineStr">
        <is>
          <t>0710</t>
        </is>
      </c>
      <c r="K160" s="26" t="n"/>
      <c r="L160" s="26" t="n"/>
      <c r="M160" s="26" t="n">
        <v>1</v>
      </c>
      <c r="N160" s="13" t="n">
        <v>2100</v>
      </c>
      <c r="O160" s="13">
        <f>M160*N160</f>
        <v/>
      </c>
      <c r="P160" s="13" t="n">
        <v>986.6799999999999</v>
      </c>
      <c r="Q160" s="13">
        <f>P160*15%</f>
        <v/>
      </c>
      <c r="R160" s="13">
        <f>O160-P160</f>
        <v/>
      </c>
      <c r="S160" s="26" t="inlineStr">
        <is>
          <t>Care Gap Health</t>
        </is>
      </c>
      <c r="T160" s="26" t="inlineStr">
        <is>
          <t>Care Gap Value PPO</t>
        </is>
      </c>
      <c r="U160" s="26" t="n"/>
      <c r="V160" s="26" t="inlineStr">
        <is>
          <t>Eleanor Brooks, MD</t>
        </is>
      </c>
      <c r="W160" s="26" t="inlineStr">
        <is>
          <t>Assigned Department Provider</t>
        </is>
      </c>
      <c r="X160" s="26" t="inlineStr">
        <is>
          <t>Perioperative</t>
        </is>
      </c>
      <c r="Y160" s="26" t="inlineStr">
        <is>
          <t>PACU discharge</t>
        </is>
      </c>
      <c r="Z160" s="26" t="inlineStr">
        <is>
          <t>Posted</t>
        </is>
      </c>
      <c r="AA160" s="26" t="inlineStr">
        <is>
          <t>Matched</t>
        </is>
      </c>
      <c r="AB160" s="26" t="inlineStr">
        <is>
          <t>Passed</t>
        </is>
      </c>
      <c r="AC160" s="26" t="n"/>
      <c r="AD160" s="26" t="inlineStr">
        <is>
          <t>N/A</t>
        </is>
      </c>
      <c r="AE160" s="26" t="inlineStr">
        <is>
          <t>Z47.1</t>
        </is>
      </c>
      <c r="AF160" s="26" t="inlineStr">
        <is>
          <t>21</t>
        </is>
      </c>
      <c r="AG160" s="26" t="inlineStr">
        <is>
          <t>2026-09-04 16:30</t>
        </is>
      </c>
      <c r="AH160" s="26" t="inlineStr">
        <is>
          <t>Synthetic Care Gap charge; 10% below Athena allowed amount</t>
        </is>
      </c>
    </row>
    <row r="161">
      <c r="A161" s="26" t="inlineStr">
        <is>
          <t>IPD-CHG-0079-ATH</t>
        </is>
      </c>
      <c r="B161" s="26" t="inlineStr">
        <is>
          <t>HAR-202600079-ATH</t>
        </is>
      </c>
      <c r="C161" s="26" t="inlineStr">
        <is>
          <t>CSN-IPD-780079-ATH</t>
        </is>
      </c>
      <c r="D161" s="26" t="inlineStr">
        <is>
          <t>Inpatient</t>
        </is>
      </c>
      <c r="E161" s="26" t="inlineStr">
        <is>
          <t>Demo Regional Medical Center</t>
        </is>
      </c>
      <c r="F161" s="26" t="inlineStr">
        <is>
          <t>Surgical Supplies</t>
        </is>
      </c>
      <c r="G161" s="26" t="inlineStr">
        <is>
          <t>2026-09-05</t>
        </is>
      </c>
      <c r="H161" s="26" t="inlineStr">
        <is>
          <t>SUP-MAJOR-PACK</t>
        </is>
      </c>
      <c r="I161" s="26" t="inlineStr">
        <is>
          <t>Major Surgery Disposable Supply Pack</t>
        </is>
      </c>
      <c r="J161" s="26" t="inlineStr">
        <is>
          <t>0270</t>
        </is>
      </c>
      <c r="K161" s="26" t="n"/>
      <c r="L161" s="26" t="n"/>
      <c r="M161" s="26" t="n">
        <v>1</v>
      </c>
      <c r="N161" s="13" t="n">
        <v>4200</v>
      </c>
      <c r="O161" s="13">
        <f>M161*N161</f>
        <v/>
      </c>
      <c r="P161" s="13" t="n">
        <v>2133.81</v>
      </c>
      <c r="Q161" s="13">
        <f>P161*20%</f>
        <v/>
      </c>
      <c r="R161" s="13">
        <f>O161-P161</f>
        <v/>
      </c>
      <c r="S161" s="26" t="inlineStr">
        <is>
          <t>Athena Health Insurance</t>
        </is>
      </c>
      <c r="T161" s="26" t="inlineStr">
        <is>
          <t>Athena PPO</t>
        </is>
      </c>
      <c r="U161" s="26" t="n"/>
      <c r="V161" s="26" t="inlineStr">
        <is>
          <t>Eleanor Brooks, MD</t>
        </is>
      </c>
      <c r="W161" s="26" t="inlineStr">
        <is>
          <t>Assigned Department Provider</t>
        </is>
      </c>
      <c r="X161" s="26" t="inlineStr">
        <is>
          <t>Inventory</t>
        </is>
      </c>
      <c r="Y161" s="26" t="inlineStr">
        <is>
          <t>Supply issue</t>
        </is>
      </c>
      <c r="Z161" s="26" t="inlineStr">
        <is>
          <t>Posted</t>
        </is>
      </c>
      <c r="AA161" s="26" t="inlineStr">
        <is>
          <t>Matched</t>
        </is>
      </c>
      <c r="AB161" s="26" t="inlineStr">
        <is>
          <t>Passed</t>
        </is>
      </c>
      <c r="AC161" s="26" t="n"/>
      <c r="AD161" s="26" t="inlineStr">
        <is>
          <t>Contract rule</t>
        </is>
      </c>
      <c r="AE161" s="26" t="inlineStr">
        <is>
          <t>Z47.1</t>
        </is>
      </c>
      <c r="AF161" s="26" t="inlineStr">
        <is>
          <t>21</t>
        </is>
      </c>
      <c r="AG161" s="26" t="inlineStr">
        <is>
          <t>2026-09-05 16:30</t>
        </is>
      </c>
      <c r="AH161" s="26" t="inlineStr">
        <is>
          <t>Synthetic Athena negotiated charge</t>
        </is>
      </c>
    </row>
    <row r="162">
      <c r="A162" s="26" t="inlineStr">
        <is>
          <t>IPD-CHG-0079-CGH</t>
        </is>
      </c>
      <c r="B162" s="26" t="inlineStr">
        <is>
          <t>HAR-202600079-CGH</t>
        </is>
      </c>
      <c r="C162" s="26" t="inlineStr">
        <is>
          <t>CSN-IPD-780079-CGH</t>
        </is>
      </c>
      <c r="D162" s="26" t="inlineStr">
        <is>
          <t>Inpatient</t>
        </is>
      </c>
      <c r="E162" s="26" t="inlineStr">
        <is>
          <t>Demo Regional Medical Center</t>
        </is>
      </c>
      <c r="F162" s="26" t="inlineStr">
        <is>
          <t>Surgical Supplies</t>
        </is>
      </c>
      <c r="G162" s="26" t="inlineStr">
        <is>
          <t>2026-09-05</t>
        </is>
      </c>
      <c r="H162" s="26" t="inlineStr">
        <is>
          <t>SUP-MAJOR-PACK</t>
        </is>
      </c>
      <c r="I162" s="26" t="inlineStr">
        <is>
          <t>Major Surgery Disposable Supply Pack</t>
        </is>
      </c>
      <c r="J162" s="26" t="inlineStr">
        <is>
          <t>0270</t>
        </is>
      </c>
      <c r="K162" s="26" t="n"/>
      <c r="L162" s="26" t="n"/>
      <c r="M162" s="26" t="n">
        <v>1</v>
      </c>
      <c r="N162" s="13" t="n">
        <v>4200</v>
      </c>
      <c r="O162" s="13">
        <f>M162*N162</f>
        <v/>
      </c>
      <c r="P162" s="13" t="n">
        <v>1920.43</v>
      </c>
      <c r="Q162" s="13">
        <f>P162*15%</f>
        <v/>
      </c>
      <c r="R162" s="13">
        <f>O162-P162</f>
        <v/>
      </c>
      <c r="S162" s="26" t="inlineStr">
        <is>
          <t>Care Gap Health</t>
        </is>
      </c>
      <c r="T162" s="26" t="inlineStr">
        <is>
          <t>Care Gap Value PPO</t>
        </is>
      </c>
      <c r="U162" s="26" t="n"/>
      <c r="V162" s="26" t="inlineStr">
        <is>
          <t>Eleanor Brooks, MD</t>
        </is>
      </c>
      <c r="W162" s="26" t="inlineStr">
        <is>
          <t>Assigned Department Provider</t>
        </is>
      </c>
      <c r="X162" s="26" t="inlineStr">
        <is>
          <t>Inventory</t>
        </is>
      </c>
      <c r="Y162" s="26" t="inlineStr">
        <is>
          <t>Supply issue</t>
        </is>
      </c>
      <c r="Z162" s="26" t="inlineStr">
        <is>
          <t>Posted</t>
        </is>
      </c>
      <c r="AA162" s="26" t="inlineStr">
        <is>
          <t>Matched</t>
        </is>
      </c>
      <c r="AB162" s="26" t="inlineStr">
        <is>
          <t>Passed</t>
        </is>
      </c>
      <c r="AC162" s="26" t="n"/>
      <c r="AD162" s="26" t="inlineStr">
        <is>
          <t>Contract rule</t>
        </is>
      </c>
      <c r="AE162" s="26" t="inlineStr">
        <is>
          <t>Z47.1</t>
        </is>
      </c>
      <c r="AF162" s="26" t="inlineStr">
        <is>
          <t>21</t>
        </is>
      </c>
      <c r="AG162" s="26" t="inlineStr">
        <is>
          <t>2026-09-05 16:30</t>
        </is>
      </c>
      <c r="AH162" s="26" t="inlineStr">
        <is>
          <t>Synthetic Care Gap charge; 10% below Athena allowed amount</t>
        </is>
      </c>
    </row>
    <row r="163">
      <c r="A163" s="26" t="inlineStr">
        <is>
          <t>IPD-CHG-0080-ATH</t>
        </is>
      </c>
      <c r="B163" s="26" t="inlineStr">
        <is>
          <t>HAR-202600080-ATH</t>
        </is>
      </c>
      <c r="C163" s="26" t="inlineStr">
        <is>
          <t>CSN-IPD-780080-ATH</t>
        </is>
      </c>
      <c r="D163" s="26" t="inlineStr">
        <is>
          <t>Inpatient</t>
        </is>
      </c>
      <c r="E163" s="26" t="inlineStr">
        <is>
          <t>Demo Regional Medical Center</t>
        </is>
      </c>
      <c r="F163" s="26" t="inlineStr">
        <is>
          <t>Implants</t>
        </is>
      </c>
      <c r="G163" s="26" t="inlineStr">
        <is>
          <t>2026-09-06</t>
        </is>
      </c>
      <c r="H163" s="26" t="inlineStr">
        <is>
          <t>IMP-KNEE-CEM</t>
        </is>
      </c>
      <c r="I163" s="26" t="inlineStr">
        <is>
          <t>Cemented Knee Implant System</t>
        </is>
      </c>
      <c r="J163" s="26" t="inlineStr">
        <is>
          <t>0278</t>
        </is>
      </c>
      <c r="K163" s="26" t="n"/>
      <c r="L163" s="26" t="n"/>
      <c r="M163" s="26" t="n">
        <v>1</v>
      </c>
      <c r="N163" s="13" t="n">
        <v>20500</v>
      </c>
      <c r="O163" s="13">
        <f>M163*N163</f>
        <v/>
      </c>
      <c r="P163" s="13" t="n">
        <v>9582.67</v>
      </c>
      <c r="Q163" s="13">
        <f>P163*20%</f>
        <v/>
      </c>
      <c r="R163" s="13">
        <f>O163-P163</f>
        <v/>
      </c>
      <c r="S163" s="26" t="inlineStr">
        <is>
          <t>Athena Health Insurance</t>
        </is>
      </c>
      <c r="T163" s="26" t="inlineStr">
        <is>
          <t>Athena PPO</t>
        </is>
      </c>
      <c r="U163" s="26" t="n"/>
      <c r="V163" s="26" t="inlineStr">
        <is>
          <t>Eleanor Brooks, MD</t>
        </is>
      </c>
      <c r="W163" s="26" t="inlineStr">
        <is>
          <t>Assigned Department Provider</t>
        </is>
      </c>
      <c r="X163" s="26" t="inlineStr">
        <is>
          <t>Inventory</t>
        </is>
      </c>
      <c r="Y163" s="26" t="inlineStr">
        <is>
          <t>Implant scan</t>
        </is>
      </c>
      <c r="Z163" s="26" t="inlineStr">
        <is>
          <t>Posted</t>
        </is>
      </c>
      <c r="AA163" s="26" t="inlineStr">
        <is>
          <t>Matched</t>
        </is>
      </c>
      <c r="AB163" s="26" t="inlineStr">
        <is>
          <t>Passed</t>
        </is>
      </c>
      <c r="AC163" s="26" t="n"/>
      <c r="AD163" s="26" t="inlineStr">
        <is>
          <t>Contract rule</t>
        </is>
      </c>
      <c r="AE163" s="26" t="inlineStr">
        <is>
          <t>M17.11</t>
        </is>
      </c>
      <c r="AF163" s="26" t="inlineStr">
        <is>
          <t>21</t>
        </is>
      </c>
      <c r="AG163" s="26" t="inlineStr">
        <is>
          <t>2026-09-06 16:30</t>
        </is>
      </c>
      <c r="AH163" s="26" t="inlineStr">
        <is>
          <t>Synthetic Athena negotiated charge</t>
        </is>
      </c>
    </row>
    <row r="164">
      <c r="A164" s="26" t="inlineStr">
        <is>
          <t>IPD-CHG-0080-CGH</t>
        </is>
      </c>
      <c r="B164" s="26" t="inlineStr">
        <is>
          <t>HAR-202600080-CGH</t>
        </is>
      </c>
      <c r="C164" s="26" t="inlineStr">
        <is>
          <t>CSN-IPD-780080-CGH</t>
        </is>
      </c>
      <c r="D164" s="26" t="inlineStr">
        <is>
          <t>Inpatient</t>
        </is>
      </c>
      <c r="E164" s="26" t="inlineStr">
        <is>
          <t>Demo Regional Medical Center</t>
        </is>
      </c>
      <c r="F164" s="26" t="inlineStr">
        <is>
          <t>Implants</t>
        </is>
      </c>
      <c r="G164" s="26" t="inlineStr">
        <is>
          <t>2026-09-06</t>
        </is>
      </c>
      <c r="H164" s="26" t="inlineStr">
        <is>
          <t>IMP-KNEE-CEM</t>
        </is>
      </c>
      <c r="I164" s="26" t="inlineStr">
        <is>
          <t>Cemented Knee Implant System</t>
        </is>
      </c>
      <c r="J164" s="26" t="inlineStr">
        <is>
          <t>0278</t>
        </is>
      </c>
      <c r="K164" s="26" t="n"/>
      <c r="L164" s="26" t="n"/>
      <c r="M164" s="26" t="n">
        <v>1</v>
      </c>
      <c r="N164" s="13" t="n">
        <v>20500</v>
      </c>
      <c r="O164" s="13">
        <f>M164*N164</f>
        <v/>
      </c>
      <c r="P164" s="13" t="n">
        <v>8624.4</v>
      </c>
      <c r="Q164" s="13">
        <f>P164*15%</f>
        <v/>
      </c>
      <c r="R164" s="13">
        <f>O164-P164</f>
        <v/>
      </c>
      <c r="S164" s="26" t="inlineStr">
        <is>
          <t>Care Gap Health</t>
        </is>
      </c>
      <c r="T164" s="26" t="inlineStr">
        <is>
          <t>Care Gap Value PPO</t>
        </is>
      </c>
      <c r="U164" s="26" t="n"/>
      <c r="V164" s="26" t="inlineStr">
        <is>
          <t>Eleanor Brooks, MD</t>
        </is>
      </c>
      <c r="W164" s="26" t="inlineStr">
        <is>
          <t>Assigned Department Provider</t>
        </is>
      </c>
      <c r="X164" s="26" t="inlineStr">
        <is>
          <t>Inventory</t>
        </is>
      </c>
      <c r="Y164" s="26" t="inlineStr">
        <is>
          <t>Implant scan</t>
        </is>
      </c>
      <c r="Z164" s="26" t="inlineStr">
        <is>
          <t>Posted</t>
        </is>
      </c>
      <c r="AA164" s="26" t="inlineStr">
        <is>
          <t>Matched</t>
        </is>
      </c>
      <c r="AB164" s="26" t="inlineStr">
        <is>
          <t>Passed</t>
        </is>
      </c>
      <c r="AC164" s="26" t="n"/>
      <c r="AD164" s="26" t="inlineStr">
        <is>
          <t>Contract rule</t>
        </is>
      </c>
      <c r="AE164" s="26" t="inlineStr">
        <is>
          <t>M17.11</t>
        </is>
      </c>
      <c r="AF164" s="26" t="inlineStr">
        <is>
          <t>21</t>
        </is>
      </c>
      <c r="AG164" s="26" t="inlineStr">
        <is>
          <t>2026-09-06 16:30</t>
        </is>
      </c>
      <c r="AH164" s="26" t="inlineStr">
        <is>
          <t>Synthetic Care Gap charge; 10% below Athena allowed amount</t>
        </is>
      </c>
    </row>
    <row r="165">
      <c r="A165" s="26" t="inlineStr">
        <is>
          <t>IPD-CHG-0081-ATH</t>
        </is>
      </c>
      <c r="B165" s="26" t="inlineStr">
        <is>
          <t>HAR-202600081-ATH</t>
        </is>
      </c>
      <c r="C165" s="26" t="inlineStr">
        <is>
          <t>CSN-IPD-780081-ATH</t>
        </is>
      </c>
      <c r="D165" s="26" t="inlineStr">
        <is>
          <t>Inpatient</t>
        </is>
      </c>
      <c r="E165" s="26" t="inlineStr">
        <is>
          <t>Demo Regional Medical Center</t>
        </is>
      </c>
      <c r="F165" s="26" t="inlineStr">
        <is>
          <t>Implants</t>
        </is>
      </c>
      <c r="G165" s="26" t="inlineStr">
        <is>
          <t>2026-09-07</t>
        </is>
      </c>
      <c r="H165" s="26" t="inlineStr">
        <is>
          <t>IMP-SCREW</t>
        </is>
      </c>
      <c r="I165" s="26" t="inlineStr">
        <is>
          <t>Orthopedic Fixation Screw</t>
        </is>
      </c>
      <c r="J165" s="26" t="inlineStr">
        <is>
          <t>0278</t>
        </is>
      </c>
      <c r="K165" s="26" t="inlineStr">
        <is>
          <t>C1713</t>
        </is>
      </c>
      <c r="L165" s="26" t="n"/>
      <c r="M165" s="26" t="n">
        <v>1</v>
      </c>
      <c r="N165" s="13" t="n">
        <v>950</v>
      </c>
      <c r="O165" s="13">
        <f>M165*N165</f>
        <v/>
      </c>
      <c r="P165" s="13" t="n">
        <v>399.92</v>
      </c>
      <c r="Q165" s="13">
        <f>P165*20%</f>
        <v/>
      </c>
      <c r="R165" s="13">
        <f>O165-P165</f>
        <v/>
      </c>
      <c r="S165" s="26" t="inlineStr">
        <is>
          <t>Athena Health Insurance</t>
        </is>
      </c>
      <c r="T165" s="26" t="inlineStr">
        <is>
          <t>Athena PPO</t>
        </is>
      </c>
      <c r="U165" s="26" t="n"/>
      <c r="V165" s="26" t="inlineStr">
        <is>
          <t>Eleanor Brooks, MD</t>
        </is>
      </c>
      <c r="W165" s="26" t="inlineStr">
        <is>
          <t>Assigned Department Provider</t>
        </is>
      </c>
      <c r="X165" s="26" t="inlineStr">
        <is>
          <t>Inventory</t>
        </is>
      </c>
      <c r="Y165" s="26" t="inlineStr">
        <is>
          <t>Implant scan</t>
        </is>
      </c>
      <c r="Z165" s="26" t="inlineStr">
        <is>
          <t>Posted</t>
        </is>
      </c>
      <c r="AA165" s="26" t="inlineStr">
        <is>
          <t>Matched</t>
        </is>
      </c>
      <c r="AB165" s="26" t="inlineStr">
        <is>
          <t>Passed</t>
        </is>
      </c>
      <c r="AC165" s="26" t="n"/>
      <c r="AD165" s="26" t="inlineStr">
        <is>
          <t>Contract rule</t>
        </is>
      </c>
      <c r="AE165" s="26" t="inlineStr">
        <is>
          <t>M17.11</t>
        </is>
      </c>
      <c r="AF165" s="26" t="inlineStr">
        <is>
          <t>21</t>
        </is>
      </c>
      <c r="AG165" s="26" t="inlineStr">
        <is>
          <t>2026-09-07 16:30</t>
        </is>
      </c>
      <c r="AH165" s="26" t="inlineStr">
        <is>
          <t>Synthetic Athena negotiated charge</t>
        </is>
      </c>
    </row>
    <row r="166">
      <c r="A166" s="26" t="inlineStr">
        <is>
          <t>IPD-CHG-0081-CGH</t>
        </is>
      </c>
      <c r="B166" s="26" t="inlineStr">
        <is>
          <t>HAR-202600081-CGH</t>
        </is>
      </c>
      <c r="C166" s="26" t="inlineStr">
        <is>
          <t>CSN-IPD-780081-CGH</t>
        </is>
      </c>
      <c r="D166" s="26" t="inlineStr">
        <is>
          <t>Inpatient</t>
        </is>
      </c>
      <c r="E166" s="26" t="inlineStr">
        <is>
          <t>Demo Regional Medical Center</t>
        </is>
      </c>
      <c r="F166" s="26" t="inlineStr">
        <is>
          <t>Implants</t>
        </is>
      </c>
      <c r="G166" s="26" t="inlineStr">
        <is>
          <t>2026-09-07</t>
        </is>
      </c>
      <c r="H166" s="26" t="inlineStr">
        <is>
          <t>IMP-SCREW</t>
        </is>
      </c>
      <c r="I166" s="26" t="inlineStr">
        <is>
          <t>Orthopedic Fixation Screw</t>
        </is>
      </c>
      <c r="J166" s="26" t="inlineStr">
        <is>
          <t>0278</t>
        </is>
      </c>
      <c r="K166" s="26" t="inlineStr">
        <is>
          <t>C1713</t>
        </is>
      </c>
      <c r="L166" s="26" t="n"/>
      <c r="M166" s="26" t="n">
        <v>1</v>
      </c>
      <c r="N166" s="13" t="n">
        <v>950</v>
      </c>
      <c r="O166" s="13">
        <f>M166*N166</f>
        <v/>
      </c>
      <c r="P166" s="13" t="n">
        <v>359.93</v>
      </c>
      <c r="Q166" s="13">
        <f>P166*15%</f>
        <v/>
      </c>
      <c r="R166" s="13">
        <f>O166-P166</f>
        <v/>
      </c>
      <c r="S166" s="26" t="inlineStr">
        <is>
          <t>Care Gap Health</t>
        </is>
      </c>
      <c r="T166" s="26" t="inlineStr">
        <is>
          <t>Care Gap Value PPO</t>
        </is>
      </c>
      <c r="U166" s="26" t="n"/>
      <c r="V166" s="26" t="inlineStr">
        <is>
          <t>Eleanor Brooks, MD</t>
        </is>
      </c>
      <c r="W166" s="26" t="inlineStr">
        <is>
          <t>Assigned Department Provider</t>
        </is>
      </c>
      <c r="X166" s="26" t="inlineStr">
        <is>
          <t>Inventory</t>
        </is>
      </c>
      <c r="Y166" s="26" t="inlineStr">
        <is>
          <t>Implant scan</t>
        </is>
      </c>
      <c r="Z166" s="26" t="inlineStr">
        <is>
          <t>Posted</t>
        </is>
      </c>
      <c r="AA166" s="26" t="inlineStr">
        <is>
          <t>Matched</t>
        </is>
      </c>
      <c r="AB166" s="26" t="inlineStr">
        <is>
          <t>Passed</t>
        </is>
      </c>
      <c r="AC166" s="26" t="n"/>
      <c r="AD166" s="26" t="inlineStr">
        <is>
          <t>Contract rule</t>
        </is>
      </c>
      <c r="AE166" s="26" t="inlineStr">
        <is>
          <t>M17.11</t>
        </is>
      </c>
      <c r="AF166" s="26" t="inlineStr">
        <is>
          <t>21</t>
        </is>
      </c>
      <c r="AG166" s="26" t="inlineStr">
        <is>
          <t>2026-09-07 16:30</t>
        </is>
      </c>
      <c r="AH166" s="26" t="inlineStr">
        <is>
          <t>Synthetic Care Gap charge; 10% below Athena allowed amount</t>
        </is>
      </c>
    </row>
    <row r="167">
      <c r="A167" s="26" t="inlineStr">
        <is>
          <t>IPD-CHG-0082-ATH</t>
        </is>
      </c>
      <c r="B167" s="26" t="inlineStr">
        <is>
          <t>HAR-202600082-ATH</t>
        </is>
      </c>
      <c r="C167" s="26" t="inlineStr">
        <is>
          <t>CSN-IPD-780082-ATH</t>
        </is>
      </c>
      <c r="D167" s="26" t="inlineStr">
        <is>
          <t>Inpatient</t>
        </is>
      </c>
      <c r="E167" s="26" t="inlineStr">
        <is>
          <t>Demo Regional Medical Center</t>
        </is>
      </c>
      <c r="F167" s="26" t="inlineStr">
        <is>
          <t>Pharmacy</t>
        </is>
      </c>
      <c r="G167" s="26" t="inlineStr">
        <is>
          <t>2026-09-08</t>
        </is>
      </c>
      <c r="H167" s="26" t="inlineStr">
        <is>
          <t>DRUG-CEFA-1G</t>
        </is>
      </c>
      <c r="I167" s="26" t="inlineStr">
        <is>
          <t>Cefazolin 1 g Injection</t>
        </is>
      </c>
      <c r="J167" s="26" t="inlineStr">
        <is>
          <t>0250</t>
        </is>
      </c>
      <c r="K167" s="26" t="inlineStr">
        <is>
          <t>J0690</t>
        </is>
      </c>
      <c r="L167" s="26" t="n"/>
      <c r="M167" s="26" t="n">
        <v>3</v>
      </c>
      <c r="N167" s="13" t="n">
        <v>500</v>
      </c>
      <c r="O167" s="13">
        <f>M167*N167</f>
        <v/>
      </c>
      <c r="P167" s="13" t="n">
        <v>1024.13</v>
      </c>
      <c r="Q167" s="13">
        <f>P167*20%</f>
        <v/>
      </c>
      <c r="R167" s="13">
        <f>O167-P167</f>
        <v/>
      </c>
      <c r="S167" s="26" t="inlineStr">
        <is>
          <t>Athena Health Insurance</t>
        </is>
      </c>
      <c r="T167" s="26" t="inlineStr">
        <is>
          <t>Athena PPO</t>
        </is>
      </c>
      <c r="U167" s="26" t="n"/>
      <c r="V167" s="26" t="inlineStr">
        <is>
          <t>Eleanor Brooks, MD</t>
        </is>
      </c>
      <c r="W167" s="26" t="inlineStr">
        <is>
          <t>Assigned Department Provider</t>
        </is>
      </c>
      <c r="X167" s="26" t="inlineStr">
        <is>
          <t>Pharmacy MAR</t>
        </is>
      </c>
      <c r="Y167" s="26" t="inlineStr">
        <is>
          <t>Medication administration</t>
        </is>
      </c>
      <c r="Z167" s="26" t="inlineStr">
        <is>
          <t>Posted</t>
        </is>
      </c>
      <c r="AA167" s="26" t="inlineStr">
        <is>
          <t>Matched</t>
        </is>
      </c>
      <c r="AB167" s="26" t="inlineStr">
        <is>
          <t>Passed</t>
        </is>
      </c>
      <c r="AC167" s="26" t="n"/>
      <c r="AD167" s="26" t="inlineStr">
        <is>
          <t>Dose/frequency</t>
        </is>
      </c>
      <c r="AE167" s="26" t="inlineStr">
        <is>
          <t>Z79.2</t>
        </is>
      </c>
      <c r="AF167" s="26" t="inlineStr">
        <is>
          <t>21</t>
        </is>
      </c>
      <c r="AG167" s="26" t="inlineStr">
        <is>
          <t>2026-09-08 16:30</t>
        </is>
      </c>
      <c r="AH167" s="26" t="inlineStr">
        <is>
          <t>Synthetic Athena negotiated charge</t>
        </is>
      </c>
    </row>
    <row r="168">
      <c r="A168" s="26" t="inlineStr">
        <is>
          <t>IPD-CHG-0082-CGH</t>
        </is>
      </c>
      <c r="B168" s="26" t="inlineStr">
        <is>
          <t>HAR-202600082-CGH</t>
        </is>
      </c>
      <c r="C168" s="26" t="inlineStr">
        <is>
          <t>CSN-IPD-780082-CGH</t>
        </is>
      </c>
      <c r="D168" s="26" t="inlineStr">
        <is>
          <t>Inpatient</t>
        </is>
      </c>
      <c r="E168" s="26" t="inlineStr">
        <is>
          <t>Demo Regional Medical Center</t>
        </is>
      </c>
      <c r="F168" s="26" t="inlineStr">
        <is>
          <t>Pharmacy</t>
        </is>
      </c>
      <c r="G168" s="26" t="inlineStr">
        <is>
          <t>2026-09-08</t>
        </is>
      </c>
      <c r="H168" s="26" t="inlineStr">
        <is>
          <t>DRUG-CEFA-1G</t>
        </is>
      </c>
      <c r="I168" s="26" t="inlineStr">
        <is>
          <t>Cefazolin 1 g Injection</t>
        </is>
      </c>
      <c r="J168" s="26" t="inlineStr">
        <is>
          <t>0250</t>
        </is>
      </c>
      <c r="K168" s="26" t="inlineStr">
        <is>
          <t>J0690</t>
        </is>
      </c>
      <c r="L168" s="26" t="n"/>
      <c r="M168" s="26" t="n">
        <v>3</v>
      </c>
      <c r="N168" s="13" t="n">
        <v>500</v>
      </c>
      <c r="O168" s="13">
        <f>M168*N168</f>
        <v/>
      </c>
      <c r="P168" s="13" t="n">
        <v>921.72</v>
      </c>
      <c r="Q168" s="13">
        <f>P168*15%</f>
        <v/>
      </c>
      <c r="R168" s="13">
        <f>O168-P168</f>
        <v/>
      </c>
      <c r="S168" s="26" t="inlineStr">
        <is>
          <t>Care Gap Health</t>
        </is>
      </c>
      <c r="T168" s="26" t="inlineStr">
        <is>
          <t>Care Gap Value PPO</t>
        </is>
      </c>
      <c r="U168" s="26" t="n"/>
      <c r="V168" s="26" t="inlineStr">
        <is>
          <t>Eleanor Brooks, MD</t>
        </is>
      </c>
      <c r="W168" s="26" t="inlineStr">
        <is>
          <t>Assigned Department Provider</t>
        </is>
      </c>
      <c r="X168" s="26" t="inlineStr">
        <is>
          <t>Pharmacy MAR</t>
        </is>
      </c>
      <c r="Y168" s="26" t="inlineStr">
        <is>
          <t>Medication administration</t>
        </is>
      </c>
      <c r="Z168" s="26" t="inlineStr">
        <is>
          <t>Posted</t>
        </is>
      </c>
      <c r="AA168" s="26" t="inlineStr">
        <is>
          <t>Matched</t>
        </is>
      </c>
      <c r="AB168" s="26" t="inlineStr">
        <is>
          <t>Passed</t>
        </is>
      </c>
      <c r="AC168" s="26" t="n"/>
      <c r="AD168" s="26" t="inlineStr">
        <is>
          <t>Dose/frequency</t>
        </is>
      </c>
      <c r="AE168" s="26" t="inlineStr">
        <is>
          <t>Z79.2</t>
        </is>
      </c>
      <c r="AF168" s="26" t="inlineStr">
        <is>
          <t>21</t>
        </is>
      </c>
      <c r="AG168" s="26" t="inlineStr">
        <is>
          <t>2026-09-08 16:30</t>
        </is>
      </c>
      <c r="AH168" s="26" t="inlineStr">
        <is>
          <t>Synthetic Care Gap charge; 10% below Athena allowed amount</t>
        </is>
      </c>
    </row>
    <row r="169">
      <c r="A169" s="26" t="inlineStr">
        <is>
          <t>IPD-CHG-0083-ATH</t>
        </is>
      </c>
      <c r="B169" s="26" t="inlineStr">
        <is>
          <t>HAR-202600083-ATH</t>
        </is>
      </c>
      <c r="C169" s="26" t="inlineStr">
        <is>
          <t>CSN-IPD-780083-ATH</t>
        </is>
      </c>
      <c r="D169" s="26" t="inlineStr">
        <is>
          <t>Inpatient</t>
        </is>
      </c>
      <c r="E169" s="26" t="inlineStr">
        <is>
          <t>Demo Regional Medical Center</t>
        </is>
      </c>
      <c r="F169" s="26" t="inlineStr">
        <is>
          <t>Pharmacy</t>
        </is>
      </c>
      <c r="G169" s="26" t="inlineStr">
        <is>
          <t>2026-09-09</t>
        </is>
      </c>
      <c r="H169" s="26" t="inlineStr">
        <is>
          <t>DRUG-VANC-500</t>
        </is>
      </c>
      <c r="I169" s="26" t="inlineStr">
        <is>
          <t>Vancomycin 500 mg Injection</t>
        </is>
      </c>
      <c r="J169" s="26" t="inlineStr">
        <is>
          <t>0250</t>
        </is>
      </c>
      <c r="K169" s="26" t="inlineStr">
        <is>
          <t>J3370</t>
        </is>
      </c>
      <c r="L169" s="26" t="n"/>
      <c r="M169" s="26" t="n">
        <v>2</v>
      </c>
      <c r="N169" s="13" t="n">
        <v>680</v>
      </c>
      <c r="O169" s="13">
        <f>M169*N169</f>
        <v/>
      </c>
      <c r="P169" s="13" t="n">
        <v>967.73</v>
      </c>
      <c r="Q169" s="13">
        <f>P169*20%</f>
        <v/>
      </c>
      <c r="R169" s="13">
        <f>O169-P169</f>
        <v/>
      </c>
      <c r="S169" s="26" t="inlineStr">
        <is>
          <t>Athena Health Insurance</t>
        </is>
      </c>
      <c r="T169" s="26" t="inlineStr">
        <is>
          <t>Athena PPO</t>
        </is>
      </c>
      <c r="U169" s="26" t="n"/>
      <c r="V169" s="26" t="inlineStr">
        <is>
          <t>Eleanor Brooks, MD</t>
        </is>
      </c>
      <c r="W169" s="26" t="inlineStr">
        <is>
          <t>Assigned Department Provider</t>
        </is>
      </c>
      <c r="X169" s="26" t="inlineStr">
        <is>
          <t>Pharmacy MAR</t>
        </is>
      </c>
      <c r="Y169" s="26" t="inlineStr">
        <is>
          <t>Medication administration</t>
        </is>
      </c>
      <c r="Z169" s="26" t="inlineStr">
        <is>
          <t>Posted</t>
        </is>
      </c>
      <c r="AA169" s="26" t="inlineStr">
        <is>
          <t>Matched</t>
        </is>
      </c>
      <c r="AB169" s="26" t="inlineStr">
        <is>
          <t>Passed</t>
        </is>
      </c>
      <c r="AC169" s="26" t="n"/>
      <c r="AD169" s="26" t="inlineStr">
        <is>
          <t>Dose/frequency</t>
        </is>
      </c>
      <c r="AE169" s="26" t="inlineStr">
        <is>
          <t>Z79.2</t>
        </is>
      </c>
      <c r="AF169" s="26" t="inlineStr">
        <is>
          <t>21</t>
        </is>
      </c>
      <c r="AG169" s="26" t="inlineStr">
        <is>
          <t>2026-09-09 16:30</t>
        </is>
      </c>
      <c r="AH169" s="26" t="inlineStr">
        <is>
          <t>Synthetic Athena negotiated charge</t>
        </is>
      </c>
    </row>
    <row r="170">
      <c r="A170" s="26" t="inlineStr">
        <is>
          <t>IPD-CHG-0083-CGH</t>
        </is>
      </c>
      <c r="B170" s="26" t="inlineStr">
        <is>
          <t>HAR-202600083-CGH</t>
        </is>
      </c>
      <c r="C170" s="26" t="inlineStr">
        <is>
          <t>CSN-IPD-780083-CGH</t>
        </is>
      </c>
      <c r="D170" s="26" t="inlineStr">
        <is>
          <t>Inpatient</t>
        </is>
      </c>
      <c r="E170" s="26" t="inlineStr">
        <is>
          <t>Demo Regional Medical Center</t>
        </is>
      </c>
      <c r="F170" s="26" t="inlineStr">
        <is>
          <t>Pharmacy</t>
        </is>
      </c>
      <c r="G170" s="26" t="inlineStr">
        <is>
          <t>2026-09-09</t>
        </is>
      </c>
      <c r="H170" s="26" t="inlineStr">
        <is>
          <t>DRUG-VANC-500</t>
        </is>
      </c>
      <c r="I170" s="26" t="inlineStr">
        <is>
          <t>Vancomycin 500 mg Injection</t>
        </is>
      </c>
      <c r="J170" s="26" t="inlineStr">
        <is>
          <t>0250</t>
        </is>
      </c>
      <c r="K170" s="26" t="inlineStr">
        <is>
          <t>J3370</t>
        </is>
      </c>
      <c r="L170" s="26" t="n"/>
      <c r="M170" s="26" t="n">
        <v>2</v>
      </c>
      <c r="N170" s="13" t="n">
        <v>680</v>
      </c>
      <c r="O170" s="13">
        <f>M170*N170</f>
        <v/>
      </c>
      <c r="P170" s="13" t="n">
        <v>870.96</v>
      </c>
      <c r="Q170" s="13">
        <f>P170*15%</f>
        <v/>
      </c>
      <c r="R170" s="13">
        <f>O170-P170</f>
        <v/>
      </c>
      <c r="S170" s="26" t="inlineStr">
        <is>
          <t>Care Gap Health</t>
        </is>
      </c>
      <c r="T170" s="26" t="inlineStr">
        <is>
          <t>Care Gap Value PPO</t>
        </is>
      </c>
      <c r="U170" s="26" t="n"/>
      <c r="V170" s="26" t="inlineStr">
        <is>
          <t>Eleanor Brooks, MD</t>
        </is>
      </c>
      <c r="W170" s="26" t="inlineStr">
        <is>
          <t>Assigned Department Provider</t>
        </is>
      </c>
      <c r="X170" s="26" t="inlineStr">
        <is>
          <t>Pharmacy MAR</t>
        </is>
      </c>
      <c r="Y170" s="26" t="inlineStr">
        <is>
          <t>Medication administration</t>
        </is>
      </c>
      <c r="Z170" s="26" t="inlineStr">
        <is>
          <t>Posted</t>
        </is>
      </c>
      <c r="AA170" s="26" t="inlineStr">
        <is>
          <t>Matched</t>
        </is>
      </c>
      <c r="AB170" s="26" t="inlineStr">
        <is>
          <t>Passed</t>
        </is>
      </c>
      <c r="AC170" s="26" t="n"/>
      <c r="AD170" s="26" t="inlineStr">
        <is>
          <t>Dose/frequency</t>
        </is>
      </c>
      <c r="AE170" s="26" t="inlineStr">
        <is>
          <t>Z79.2</t>
        </is>
      </c>
      <c r="AF170" s="26" t="inlineStr">
        <is>
          <t>21</t>
        </is>
      </c>
      <c r="AG170" s="26" t="inlineStr">
        <is>
          <t>2026-09-09 16:30</t>
        </is>
      </c>
      <c r="AH170" s="26" t="inlineStr">
        <is>
          <t>Synthetic Care Gap charge; 10% below Athena allowed amount</t>
        </is>
      </c>
    </row>
    <row r="171">
      <c r="A171" s="26" t="inlineStr">
        <is>
          <t>IPD-CHG-0084-ATH</t>
        </is>
      </c>
      <c r="B171" s="26" t="inlineStr">
        <is>
          <t>HAR-202600084-ATH</t>
        </is>
      </c>
      <c r="C171" s="26" t="inlineStr">
        <is>
          <t>CSN-IPD-780084-ATH</t>
        </is>
      </c>
      <c r="D171" s="26" t="inlineStr">
        <is>
          <t>Inpatient</t>
        </is>
      </c>
      <c r="E171" s="26" t="inlineStr">
        <is>
          <t>Demo Regional Medical Center</t>
        </is>
      </c>
      <c r="F171" s="26" t="inlineStr">
        <is>
          <t>Pharmacy</t>
        </is>
      </c>
      <c r="G171" s="26" t="inlineStr">
        <is>
          <t>2026-09-10</t>
        </is>
      </c>
      <c r="H171" s="26" t="inlineStr">
        <is>
          <t>IV-NS-1L</t>
        </is>
      </c>
      <c r="I171" s="26" t="inlineStr">
        <is>
          <t>Normal Saline 1,000 mL</t>
        </is>
      </c>
      <c r="J171" s="26" t="inlineStr">
        <is>
          <t>0258</t>
        </is>
      </c>
      <c r="K171" s="26" t="inlineStr">
        <is>
          <t>J7030</t>
        </is>
      </c>
      <c r="L171" s="26" t="n"/>
      <c r="M171" s="26" t="n">
        <v>1</v>
      </c>
      <c r="N171" s="13" t="n">
        <v>90</v>
      </c>
      <c r="O171" s="13">
        <f>M171*N171</f>
        <v/>
      </c>
      <c r="P171" s="13" t="n">
        <v>51.51</v>
      </c>
      <c r="Q171" s="13">
        <f>P171*20%</f>
        <v/>
      </c>
      <c r="R171" s="13">
        <f>O171-P171</f>
        <v/>
      </c>
      <c r="S171" s="26" t="inlineStr">
        <is>
          <t>Athena Health Insurance</t>
        </is>
      </c>
      <c r="T171" s="26" t="inlineStr">
        <is>
          <t>Athena PPO</t>
        </is>
      </c>
      <c r="U171" s="26" t="n"/>
      <c r="V171" s="26" t="inlineStr">
        <is>
          <t>Eleanor Brooks, MD</t>
        </is>
      </c>
      <c r="W171" s="26" t="inlineStr">
        <is>
          <t>Assigned Department Provider</t>
        </is>
      </c>
      <c r="X171" s="26" t="inlineStr">
        <is>
          <t>Pharmacy MAR</t>
        </is>
      </c>
      <c r="Y171" s="26" t="inlineStr">
        <is>
          <t>Medication administration</t>
        </is>
      </c>
      <c r="Z171" s="26" t="inlineStr">
        <is>
          <t>Posted</t>
        </is>
      </c>
      <c r="AA171" s="26" t="inlineStr">
        <is>
          <t>Matched</t>
        </is>
      </c>
      <c r="AB171" s="26" t="inlineStr">
        <is>
          <t>Passed</t>
        </is>
      </c>
      <c r="AC171" s="26" t="n"/>
      <c r="AD171" s="26" t="inlineStr">
        <is>
          <t>N/A</t>
        </is>
      </c>
      <c r="AE171" s="26" t="inlineStr">
        <is>
          <t>E86.0</t>
        </is>
      </c>
      <c r="AF171" s="26" t="inlineStr">
        <is>
          <t>21</t>
        </is>
      </c>
      <c r="AG171" s="26" t="inlineStr">
        <is>
          <t>2026-09-10 16:30</t>
        </is>
      </c>
      <c r="AH171" s="26" t="inlineStr">
        <is>
          <t>Synthetic Athena negotiated charge</t>
        </is>
      </c>
    </row>
    <row r="172">
      <c r="A172" s="26" t="inlineStr">
        <is>
          <t>IPD-CHG-0084-CGH</t>
        </is>
      </c>
      <c r="B172" s="26" t="inlineStr">
        <is>
          <t>HAR-202600084-CGH</t>
        </is>
      </c>
      <c r="C172" s="26" t="inlineStr">
        <is>
          <t>CSN-IPD-780084-CGH</t>
        </is>
      </c>
      <c r="D172" s="26" t="inlineStr">
        <is>
          <t>Inpatient</t>
        </is>
      </c>
      <c r="E172" s="26" t="inlineStr">
        <is>
          <t>Demo Regional Medical Center</t>
        </is>
      </c>
      <c r="F172" s="26" t="inlineStr">
        <is>
          <t>Pharmacy</t>
        </is>
      </c>
      <c r="G172" s="26" t="inlineStr">
        <is>
          <t>2026-09-10</t>
        </is>
      </c>
      <c r="H172" s="26" t="inlineStr">
        <is>
          <t>IV-NS-1L</t>
        </is>
      </c>
      <c r="I172" s="26" t="inlineStr">
        <is>
          <t>Normal Saline 1,000 mL</t>
        </is>
      </c>
      <c r="J172" s="26" t="inlineStr">
        <is>
          <t>0258</t>
        </is>
      </c>
      <c r="K172" s="26" t="inlineStr">
        <is>
          <t>J7030</t>
        </is>
      </c>
      <c r="L172" s="26" t="n"/>
      <c r="M172" s="26" t="n">
        <v>1</v>
      </c>
      <c r="N172" s="13" t="n">
        <v>90</v>
      </c>
      <c r="O172" s="13">
        <f>M172*N172</f>
        <v/>
      </c>
      <c r="P172" s="13" t="n">
        <v>46.36</v>
      </c>
      <c r="Q172" s="13">
        <f>P172*15%</f>
        <v/>
      </c>
      <c r="R172" s="13">
        <f>O172-P172</f>
        <v/>
      </c>
      <c r="S172" s="26" t="inlineStr">
        <is>
          <t>Care Gap Health</t>
        </is>
      </c>
      <c r="T172" s="26" t="inlineStr">
        <is>
          <t>Care Gap Value PPO</t>
        </is>
      </c>
      <c r="U172" s="26" t="n"/>
      <c r="V172" s="26" t="inlineStr">
        <is>
          <t>Eleanor Brooks, MD</t>
        </is>
      </c>
      <c r="W172" s="26" t="inlineStr">
        <is>
          <t>Assigned Department Provider</t>
        </is>
      </c>
      <c r="X172" s="26" t="inlineStr">
        <is>
          <t>Pharmacy MAR</t>
        </is>
      </c>
      <c r="Y172" s="26" t="inlineStr">
        <is>
          <t>Medication administration</t>
        </is>
      </c>
      <c r="Z172" s="26" t="inlineStr">
        <is>
          <t>Posted</t>
        </is>
      </c>
      <c r="AA172" s="26" t="inlineStr">
        <is>
          <t>Matched</t>
        </is>
      </c>
      <c r="AB172" s="26" t="inlineStr">
        <is>
          <t>Passed</t>
        </is>
      </c>
      <c r="AC172" s="26" t="n"/>
      <c r="AD172" s="26" t="inlineStr">
        <is>
          <t>N/A</t>
        </is>
      </c>
      <c r="AE172" s="26" t="inlineStr">
        <is>
          <t>E86.0</t>
        </is>
      </c>
      <c r="AF172" s="26" t="inlineStr">
        <is>
          <t>21</t>
        </is>
      </c>
      <c r="AG172" s="26" t="inlineStr">
        <is>
          <t>2026-09-10 16:30</t>
        </is>
      </c>
      <c r="AH172" s="26" t="inlineStr">
        <is>
          <t>Synthetic Care Gap charge; 10% below Athena allowed amount</t>
        </is>
      </c>
    </row>
    <row r="173">
      <c r="A173" s="26" t="inlineStr">
        <is>
          <t>IPD-CHG-0085-ATH</t>
        </is>
      </c>
      <c r="B173" s="26" t="inlineStr">
        <is>
          <t>HAR-202600085-ATH</t>
        </is>
      </c>
      <c r="C173" s="26" t="inlineStr">
        <is>
          <t>CSN-IPD-780085-ATH</t>
        </is>
      </c>
      <c r="D173" s="26" t="inlineStr">
        <is>
          <t>Inpatient</t>
        </is>
      </c>
      <c r="E173" s="26" t="inlineStr">
        <is>
          <t>Demo Regional Medical Center</t>
        </is>
      </c>
      <c r="F173" s="26" t="inlineStr">
        <is>
          <t>Laboratory</t>
        </is>
      </c>
      <c r="G173" s="26" t="inlineStr">
        <is>
          <t>2026-09-11</t>
        </is>
      </c>
      <c r="H173" s="26" t="inlineStr">
        <is>
          <t>LAB-CBC</t>
        </is>
      </c>
      <c r="I173" s="26" t="inlineStr">
        <is>
          <t>Complete Blood Count with Differential</t>
        </is>
      </c>
      <c r="J173" s="26" t="inlineStr">
        <is>
          <t>0300</t>
        </is>
      </c>
      <c r="K173" s="26" t="inlineStr">
        <is>
          <t>85025</t>
        </is>
      </c>
      <c r="L173" s="26" t="n"/>
      <c r="M173" s="26" t="n">
        <v>1</v>
      </c>
      <c r="N173" s="13" t="n">
        <v>155</v>
      </c>
      <c r="O173" s="13">
        <f>M173*N173</f>
        <v/>
      </c>
      <c r="P173" s="13" t="n">
        <v>70.05</v>
      </c>
      <c r="Q173" s="13">
        <f>P173*20%</f>
        <v/>
      </c>
      <c r="R173" s="13">
        <f>O173-P173</f>
        <v/>
      </c>
      <c r="S173" s="26" t="inlineStr">
        <is>
          <t>Athena Health Insurance</t>
        </is>
      </c>
      <c r="T173" s="26" t="inlineStr">
        <is>
          <t>Athena PPO</t>
        </is>
      </c>
      <c r="U173" s="26" t="n"/>
      <c r="V173" s="26" t="inlineStr">
        <is>
          <t>Eleanor Brooks, MD</t>
        </is>
      </c>
      <c r="W173" s="26" t="inlineStr">
        <is>
          <t>Assigned Department Provider</t>
        </is>
      </c>
      <c r="X173" s="26" t="inlineStr">
        <is>
          <t>LIS</t>
        </is>
      </c>
      <c r="Y173" s="26" t="inlineStr">
        <is>
          <t>Final result</t>
        </is>
      </c>
      <c r="Z173" s="26" t="inlineStr">
        <is>
          <t>Posted</t>
        </is>
      </c>
      <c r="AA173" s="26" t="inlineStr">
        <is>
          <t>Matched</t>
        </is>
      </c>
      <c r="AB173" s="26" t="inlineStr">
        <is>
          <t>Passed</t>
        </is>
      </c>
      <c r="AC173" s="26" t="n"/>
      <c r="AD173" s="26" t="inlineStr">
        <is>
          <t>Diagnosis/LCD</t>
        </is>
      </c>
      <c r="AE173" s="26" t="inlineStr">
        <is>
          <t>D64.9</t>
        </is>
      </c>
      <c r="AF173" s="26" t="inlineStr">
        <is>
          <t>21</t>
        </is>
      </c>
      <c r="AG173" s="26" t="inlineStr">
        <is>
          <t>2026-09-11 16:30</t>
        </is>
      </c>
      <c r="AH173" s="26" t="inlineStr">
        <is>
          <t>Synthetic Athena negotiated charge</t>
        </is>
      </c>
    </row>
    <row r="174">
      <c r="A174" s="26" t="inlineStr">
        <is>
          <t>IPD-CHG-0085-CGH</t>
        </is>
      </c>
      <c r="B174" s="26" t="inlineStr">
        <is>
          <t>HAR-202600085-CGH</t>
        </is>
      </c>
      <c r="C174" s="26" t="inlineStr">
        <is>
          <t>CSN-IPD-780085-CGH</t>
        </is>
      </c>
      <c r="D174" s="26" t="inlineStr">
        <is>
          <t>Inpatient</t>
        </is>
      </c>
      <c r="E174" s="26" t="inlineStr">
        <is>
          <t>Demo Regional Medical Center</t>
        </is>
      </c>
      <c r="F174" s="26" t="inlineStr">
        <is>
          <t>Laboratory</t>
        </is>
      </c>
      <c r="G174" s="26" t="inlineStr">
        <is>
          <t>2026-09-11</t>
        </is>
      </c>
      <c r="H174" s="26" t="inlineStr">
        <is>
          <t>LAB-CBC</t>
        </is>
      </c>
      <c r="I174" s="26" t="inlineStr">
        <is>
          <t>Complete Blood Count with Differential</t>
        </is>
      </c>
      <c r="J174" s="26" t="inlineStr">
        <is>
          <t>0300</t>
        </is>
      </c>
      <c r="K174" s="26" t="inlineStr">
        <is>
          <t>85025</t>
        </is>
      </c>
      <c r="L174" s="26" t="n"/>
      <c r="M174" s="26" t="n">
        <v>1</v>
      </c>
      <c r="N174" s="13" t="n">
        <v>155</v>
      </c>
      <c r="O174" s="13">
        <f>M174*N174</f>
        <v/>
      </c>
      <c r="P174" s="13" t="n">
        <v>63.05</v>
      </c>
      <c r="Q174" s="13">
        <f>P174*15%</f>
        <v/>
      </c>
      <c r="R174" s="13">
        <f>O174-P174</f>
        <v/>
      </c>
      <c r="S174" s="26" t="inlineStr">
        <is>
          <t>Care Gap Health</t>
        </is>
      </c>
      <c r="T174" s="26" t="inlineStr">
        <is>
          <t>Care Gap Value PPO</t>
        </is>
      </c>
      <c r="U174" s="26" t="n"/>
      <c r="V174" s="26" t="inlineStr">
        <is>
          <t>Eleanor Brooks, MD</t>
        </is>
      </c>
      <c r="W174" s="26" t="inlineStr">
        <is>
          <t>Assigned Department Provider</t>
        </is>
      </c>
      <c r="X174" s="26" t="inlineStr">
        <is>
          <t>LIS</t>
        </is>
      </c>
      <c r="Y174" s="26" t="inlineStr">
        <is>
          <t>Final result</t>
        </is>
      </c>
      <c r="Z174" s="26" t="inlineStr">
        <is>
          <t>Posted</t>
        </is>
      </c>
      <c r="AA174" s="26" t="inlineStr">
        <is>
          <t>Matched</t>
        </is>
      </c>
      <c r="AB174" s="26" t="inlineStr">
        <is>
          <t>Passed</t>
        </is>
      </c>
      <c r="AC174" s="26" t="n"/>
      <c r="AD174" s="26" t="inlineStr">
        <is>
          <t>Diagnosis/LCD</t>
        </is>
      </c>
      <c r="AE174" s="26" t="inlineStr">
        <is>
          <t>D64.9</t>
        </is>
      </c>
      <c r="AF174" s="26" t="inlineStr">
        <is>
          <t>21</t>
        </is>
      </c>
      <c r="AG174" s="26" t="inlineStr">
        <is>
          <t>2026-09-11 16:30</t>
        </is>
      </c>
      <c r="AH174" s="26" t="inlineStr">
        <is>
          <t>Synthetic Care Gap charge; 10% below Athena allowed amount</t>
        </is>
      </c>
    </row>
    <row r="175">
      <c r="A175" s="26" t="inlineStr">
        <is>
          <t>IPD-CHG-0086-ATH</t>
        </is>
      </c>
      <c r="B175" s="26" t="inlineStr">
        <is>
          <t>HAR-202600086-ATH</t>
        </is>
      </c>
      <c r="C175" s="26" t="inlineStr">
        <is>
          <t>CSN-IPD-780086-ATH</t>
        </is>
      </c>
      <c r="D175" s="26" t="inlineStr">
        <is>
          <t>Inpatient</t>
        </is>
      </c>
      <c r="E175" s="26" t="inlineStr">
        <is>
          <t>Demo Regional Medical Center</t>
        </is>
      </c>
      <c r="F175" s="26" t="inlineStr">
        <is>
          <t>Laboratory</t>
        </is>
      </c>
      <c r="G175" s="26" t="inlineStr">
        <is>
          <t>2026-09-12</t>
        </is>
      </c>
      <c r="H175" s="26" t="inlineStr">
        <is>
          <t>LAB-CMP</t>
        </is>
      </c>
      <c r="I175" s="26" t="inlineStr">
        <is>
          <t>Comprehensive Metabolic Panel</t>
        </is>
      </c>
      <c r="J175" s="26" t="inlineStr">
        <is>
          <t>0301</t>
        </is>
      </c>
      <c r="K175" s="26" t="inlineStr">
        <is>
          <t>80053</t>
        </is>
      </c>
      <c r="L175" s="26" t="n"/>
      <c r="M175" s="26" t="n">
        <v>1</v>
      </c>
      <c r="N175" s="13" t="n">
        <v>245</v>
      </c>
      <c r="O175" s="13">
        <f>M175*N175</f>
        <v/>
      </c>
      <c r="P175" s="13" t="n">
        <v>148.86</v>
      </c>
      <c r="Q175" s="13">
        <f>P175*20%</f>
        <v/>
      </c>
      <c r="R175" s="13">
        <f>O175-P175</f>
        <v/>
      </c>
      <c r="S175" s="26" t="inlineStr">
        <is>
          <t>Athena Health Insurance</t>
        </is>
      </c>
      <c r="T175" s="26" t="inlineStr">
        <is>
          <t>Athena PPO</t>
        </is>
      </c>
      <c r="U175" s="26" t="n"/>
      <c r="V175" s="26" t="inlineStr">
        <is>
          <t>Eleanor Brooks, MD</t>
        </is>
      </c>
      <c r="W175" s="26" t="inlineStr">
        <is>
          <t>Assigned Department Provider</t>
        </is>
      </c>
      <c r="X175" s="26" t="inlineStr">
        <is>
          <t>LIS</t>
        </is>
      </c>
      <c r="Y175" s="26" t="inlineStr">
        <is>
          <t>Final result</t>
        </is>
      </c>
      <c r="Z175" s="26" t="inlineStr">
        <is>
          <t>Posted</t>
        </is>
      </c>
      <c r="AA175" s="26" t="inlineStr">
        <is>
          <t>Matched</t>
        </is>
      </c>
      <c r="AB175" s="26" t="inlineStr">
        <is>
          <t>Passed</t>
        </is>
      </c>
      <c r="AC175" s="26" t="n"/>
      <c r="AD175" s="26" t="inlineStr">
        <is>
          <t>Diagnosis/LCD</t>
        </is>
      </c>
      <c r="AE175" s="26" t="inlineStr">
        <is>
          <t>E11.9</t>
        </is>
      </c>
      <c r="AF175" s="26" t="inlineStr">
        <is>
          <t>21</t>
        </is>
      </c>
      <c r="AG175" s="26" t="inlineStr">
        <is>
          <t>2026-09-12 16:30</t>
        </is>
      </c>
      <c r="AH175" s="26" t="inlineStr">
        <is>
          <t>Synthetic Athena negotiated charge</t>
        </is>
      </c>
    </row>
    <row r="176">
      <c r="A176" s="26" t="inlineStr">
        <is>
          <t>IPD-CHG-0086-CGH</t>
        </is>
      </c>
      <c r="B176" s="26" t="inlineStr">
        <is>
          <t>HAR-202600086-CGH</t>
        </is>
      </c>
      <c r="C176" s="26" t="inlineStr">
        <is>
          <t>CSN-IPD-780086-CGH</t>
        </is>
      </c>
      <c r="D176" s="26" t="inlineStr">
        <is>
          <t>Inpatient</t>
        </is>
      </c>
      <c r="E176" s="26" t="inlineStr">
        <is>
          <t>Demo Regional Medical Center</t>
        </is>
      </c>
      <c r="F176" s="26" t="inlineStr">
        <is>
          <t>Laboratory</t>
        </is>
      </c>
      <c r="G176" s="26" t="inlineStr">
        <is>
          <t>2026-09-12</t>
        </is>
      </c>
      <c r="H176" s="26" t="inlineStr">
        <is>
          <t>LAB-CMP</t>
        </is>
      </c>
      <c r="I176" s="26" t="inlineStr">
        <is>
          <t>Comprehensive Metabolic Panel</t>
        </is>
      </c>
      <c r="J176" s="26" t="inlineStr">
        <is>
          <t>0301</t>
        </is>
      </c>
      <c r="K176" s="26" t="inlineStr">
        <is>
          <t>80053</t>
        </is>
      </c>
      <c r="L176" s="26" t="n"/>
      <c r="M176" s="26" t="n">
        <v>1</v>
      </c>
      <c r="N176" s="13" t="n">
        <v>245</v>
      </c>
      <c r="O176" s="13">
        <f>M176*N176</f>
        <v/>
      </c>
      <c r="P176" s="13" t="n">
        <v>133.97</v>
      </c>
      <c r="Q176" s="13">
        <f>P176*15%</f>
        <v/>
      </c>
      <c r="R176" s="13">
        <f>O176-P176</f>
        <v/>
      </c>
      <c r="S176" s="26" t="inlineStr">
        <is>
          <t>Care Gap Health</t>
        </is>
      </c>
      <c r="T176" s="26" t="inlineStr">
        <is>
          <t>Care Gap Value PPO</t>
        </is>
      </c>
      <c r="U176" s="26" t="n"/>
      <c r="V176" s="26" t="inlineStr">
        <is>
          <t>Eleanor Brooks, MD</t>
        </is>
      </c>
      <c r="W176" s="26" t="inlineStr">
        <is>
          <t>Assigned Department Provider</t>
        </is>
      </c>
      <c r="X176" s="26" t="inlineStr">
        <is>
          <t>LIS</t>
        </is>
      </c>
      <c r="Y176" s="26" t="inlineStr">
        <is>
          <t>Final result</t>
        </is>
      </c>
      <c r="Z176" s="26" t="inlineStr">
        <is>
          <t>Posted</t>
        </is>
      </c>
      <c r="AA176" s="26" t="inlineStr">
        <is>
          <t>Matched</t>
        </is>
      </c>
      <c r="AB176" s="26" t="inlineStr">
        <is>
          <t>Passed</t>
        </is>
      </c>
      <c r="AC176" s="26" t="n"/>
      <c r="AD176" s="26" t="inlineStr">
        <is>
          <t>Diagnosis/LCD</t>
        </is>
      </c>
      <c r="AE176" s="26" t="inlineStr">
        <is>
          <t>E11.9</t>
        </is>
      </c>
      <c r="AF176" s="26" t="inlineStr">
        <is>
          <t>21</t>
        </is>
      </c>
      <c r="AG176" s="26" t="inlineStr">
        <is>
          <t>2026-09-12 16:30</t>
        </is>
      </c>
      <c r="AH176" s="26" t="inlineStr">
        <is>
          <t>Synthetic Care Gap charge; 10% below Athena allowed amount</t>
        </is>
      </c>
    </row>
    <row r="177">
      <c r="A177" s="26" t="inlineStr">
        <is>
          <t>IPD-CHG-0087-ATH</t>
        </is>
      </c>
      <c r="B177" s="26" t="inlineStr">
        <is>
          <t>HAR-202600087-ATH</t>
        </is>
      </c>
      <c r="C177" s="26" t="inlineStr">
        <is>
          <t>CSN-IPD-780087-ATH</t>
        </is>
      </c>
      <c r="D177" s="26" t="inlineStr">
        <is>
          <t>Inpatient</t>
        </is>
      </c>
      <c r="E177" s="26" t="inlineStr">
        <is>
          <t>Demo Regional Medical Center</t>
        </is>
      </c>
      <c r="F177" s="26" t="inlineStr">
        <is>
          <t>Laboratory</t>
        </is>
      </c>
      <c r="G177" s="26" t="inlineStr">
        <is>
          <t>2026-09-13</t>
        </is>
      </c>
      <c r="H177" s="26" t="inlineStr">
        <is>
          <t>LAB-PTINR</t>
        </is>
      </c>
      <c r="I177" s="26" t="inlineStr">
        <is>
          <t>Prothrombin Time / INR</t>
        </is>
      </c>
      <c r="J177" s="26" t="inlineStr">
        <is>
          <t>0305</t>
        </is>
      </c>
      <c r="K177" s="26" t="inlineStr">
        <is>
          <t>85610</t>
        </is>
      </c>
      <c r="L177" s="26" t="n"/>
      <c r="M177" s="26" t="n">
        <v>1</v>
      </c>
      <c r="N177" s="13" t="n">
        <v>125</v>
      </c>
      <c r="O177" s="13">
        <f>M177*N177</f>
        <v/>
      </c>
      <c r="P177" s="13" t="n">
        <v>84.06</v>
      </c>
      <c r="Q177" s="13">
        <f>P177*20%</f>
        <v/>
      </c>
      <c r="R177" s="13">
        <f>O177-P177</f>
        <v/>
      </c>
      <c r="S177" s="26" t="inlineStr">
        <is>
          <t>Athena Health Insurance</t>
        </is>
      </c>
      <c r="T177" s="26" t="inlineStr">
        <is>
          <t>Athena PPO</t>
        </is>
      </c>
      <c r="U177" s="26" t="n"/>
      <c r="V177" s="26" t="inlineStr">
        <is>
          <t>Eleanor Brooks, MD</t>
        </is>
      </c>
      <c r="W177" s="26" t="inlineStr">
        <is>
          <t>Assigned Department Provider</t>
        </is>
      </c>
      <c r="X177" s="26" t="inlineStr">
        <is>
          <t>LIS</t>
        </is>
      </c>
      <c r="Y177" s="26" t="inlineStr">
        <is>
          <t>Final result</t>
        </is>
      </c>
      <c r="Z177" s="26" t="inlineStr">
        <is>
          <t>Hold</t>
        </is>
      </c>
      <c r="AA177" s="26" t="inlineStr">
        <is>
          <t>Exception</t>
        </is>
      </c>
      <c r="AB177" s="26" t="inlineStr">
        <is>
          <t>Review</t>
        </is>
      </c>
      <c r="AC177" s="26" t="inlineStr">
        <is>
          <t>WQ-LAB-04</t>
        </is>
      </c>
      <c r="AD177" s="26" t="inlineStr">
        <is>
          <t>Diagnosis/LCD</t>
        </is>
      </c>
      <c r="AE177" s="26" t="inlineStr">
        <is>
          <t>Z79.01</t>
        </is>
      </c>
      <c r="AF177" s="26" t="inlineStr">
        <is>
          <t>21</t>
        </is>
      </c>
      <c r="AG177" s="26" t="inlineStr">
        <is>
          <t>2026-09-13 16:30</t>
        </is>
      </c>
      <c r="AH177" s="26" t="inlineStr">
        <is>
          <t>Synthetic Athena negotiated charge</t>
        </is>
      </c>
    </row>
    <row r="178">
      <c r="A178" s="26" t="inlineStr">
        <is>
          <t>IPD-CHG-0087-CGH</t>
        </is>
      </c>
      <c r="B178" s="26" t="inlineStr">
        <is>
          <t>HAR-202600087-CGH</t>
        </is>
      </c>
      <c r="C178" s="26" t="inlineStr">
        <is>
          <t>CSN-IPD-780087-CGH</t>
        </is>
      </c>
      <c r="D178" s="26" t="inlineStr">
        <is>
          <t>Inpatient</t>
        </is>
      </c>
      <c r="E178" s="26" t="inlineStr">
        <is>
          <t>Demo Regional Medical Center</t>
        </is>
      </c>
      <c r="F178" s="26" t="inlineStr">
        <is>
          <t>Laboratory</t>
        </is>
      </c>
      <c r="G178" s="26" t="inlineStr">
        <is>
          <t>2026-09-13</t>
        </is>
      </c>
      <c r="H178" s="26" t="inlineStr">
        <is>
          <t>LAB-PTINR</t>
        </is>
      </c>
      <c r="I178" s="26" t="inlineStr">
        <is>
          <t>Prothrombin Time / INR</t>
        </is>
      </c>
      <c r="J178" s="26" t="inlineStr">
        <is>
          <t>0305</t>
        </is>
      </c>
      <c r="K178" s="26" t="inlineStr">
        <is>
          <t>85610</t>
        </is>
      </c>
      <c r="L178" s="26" t="n"/>
      <c r="M178" s="26" t="n">
        <v>1</v>
      </c>
      <c r="N178" s="13" t="n">
        <v>125</v>
      </c>
      <c r="O178" s="13">
        <f>M178*N178</f>
        <v/>
      </c>
      <c r="P178" s="13" t="n">
        <v>75.65000000000001</v>
      </c>
      <c r="Q178" s="13">
        <f>P178*15%</f>
        <v/>
      </c>
      <c r="R178" s="13">
        <f>O178-P178</f>
        <v/>
      </c>
      <c r="S178" s="26" t="inlineStr">
        <is>
          <t>Care Gap Health</t>
        </is>
      </c>
      <c r="T178" s="26" t="inlineStr">
        <is>
          <t>Care Gap Value PPO</t>
        </is>
      </c>
      <c r="U178" s="26" t="n"/>
      <c r="V178" s="26" t="inlineStr">
        <is>
          <t>Eleanor Brooks, MD</t>
        </is>
      </c>
      <c r="W178" s="26" t="inlineStr">
        <is>
          <t>Assigned Department Provider</t>
        </is>
      </c>
      <c r="X178" s="26" t="inlineStr">
        <is>
          <t>LIS</t>
        </is>
      </c>
      <c r="Y178" s="26" t="inlineStr">
        <is>
          <t>Final result</t>
        </is>
      </c>
      <c r="Z178" s="26" t="inlineStr">
        <is>
          <t>Hold</t>
        </is>
      </c>
      <c r="AA178" s="26" t="inlineStr">
        <is>
          <t>Exception</t>
        </is>
      </c>
      <c r="AB178" s="26" t="inlineStr">
        <is>
          <t>Review</t>
        </is>
      </c>
      <c r="AC178" s="26" t="inlineStr">
        <is>
          <t>WQ-LAB-04</t>
        </is>
      </c>
      <c r="AD178" s="26" t="inlineStr">
        <is>
          <t>Diagnosis/LCD</t>
        </is>
      </c>
      <c r="AE178" s="26" t="inlineStr">
        <is>
          <t>Z79.01</t>
        </is>
      </c>
      <c r="AF178" s="26" t="inlineStr">
        <is>
          <t>21</t>
        </is>
      </c>
      <c r="AG178" s="26" t="inlineStr">
        <is>
          <t>2026-09-13 16:30</t>
        </is>
      </c>
      <c r="AH178" s="26" t="inlineStr">
        <is>
          <t>Synthetic Care Gap charge; 10% below Athena allowed amount</t>
        </is>
      </c>
    </row>
    <row r="179">
      <c r="A179" s="26" t="inlineStr">
        <is>
          <t>IPD-CHG-0088-ATH</t>
        </is>
      </c>
      <c r="B179" s="26" t="inlineStr">
        <is>
          <t>HAR-202600088-ATH</t>
        </is>
      </c>
      <c r="C179" s="26" t="inlineStr">
        <is>
          <t>CSN-IPD-780088-ATH</t>
        </is>
      </c>
      <c r="D179" s="26" t="inlineStr">
        <is>
          <t>Inpatient</t>
        </is>
      </c>
      <c r="E179" s="26" t="inlineStr">
        <is>
          <t>Demo Regional Medical Center</t>
        </is>
      </c>
      <c r="F179" s="26" t="inlineStr">
        <is>
          <t>Radiology</t>
        </is>
      </c>
      <c r="G179" s="26" t="inlineStr">
        <is>
          <t>2026-09-14</t>
        </is>
      </c>
      <c r="H179" s="26" t="inlineStr">
        <is>
          <t>RAD-CHEST-2V</t>
        </is>
      </c>
      <c r="I179" s="26" t="inlineStr">
        <is>
          <t>Chest X-ray, 2 Views</t>
        </is>
      </c>
      <c r="J179" s="26" t="inlineStr">
        <is>
          <t>0320</t>
        </is>
      </c>
      <c r="K179" s="26" t="inlineStr">
        <is>
          <t>71046</t>
        </is>
      </c>
      <c r="L179" s="26" t="n"/>
      <c r="M179" s="26" t="n">
        <v>1</v>
      </c>
      <c r="N179" s="13" t="n">
        <v>185</v>
      </c>
      <c r="O179" s="13">
        <f>M179*N179</f>
        <v/>
      </c>
      <c r="P179" s="13" t="n">
        <v>105.88</v>
      </c>
      <c r="Q179" s="13">
        <f>P179*20%</f>
        <v/>
      </c>
      <c r="R179" s="13">
        <f>O179-P179</f>
        <v/>
      </c>
      <c r="S179" s="26" t="inlineStr">
        <is>
          <t>Athena Health Insurance</t>
        </is>
      </c>
      <c r="T179" s="26" t="inlineStr">
        <is>
          <t>Athena PPO</t>
        </is>
      </c>
      <c r="U179" s="26" t="n"/>
      <c r="V179" s="26" t="inlineStr">
        <is>
          <t>Eleanor Brooks, MD</t>
        </is>
      </c>
      <c r="W179" s="26" t="inlineStr">
        <is>
          <t>Assigned Department Provider</t>
        </is>
      </c>
      <c r="X179" s="26" t="inlineStr">
        <is>
          <t>RIS/PACS</t>
        </is>
      </c>
      <c r="Y179" s="26" t="inlineStr">
        <is>
          <t>Exam completed</t>
        </is>
      </c>
      <c r="Z179" s="26" t="inlineStr">
        <is>
          <t>Posted</t>
        </is>
      </c>
      <c r="AA179" s="26" t="inlineStr">
        <is>
          <t>Matched</t>
        </is>
      </c>
      <c r="AB179" s="26" t="inlineStr">
        <is>
          <t>Passed</t>
        </is>
      </c>
      <c r="AC179" s="26" t="n"/>
      <c r="AD179" s="26" t="inlineStr">
        <is>
          <t>Diagnosis/LCD</t>
        </is>
      </c>
      <c r="AE179" s="26" t="inlineStr">
        <is>
          <t>R06.02</t>
        </is>
      </c>
      <c r="AF179" s="26" t="inlineStr">
        <is>
          <t>21</t>
        </is>
      </c>
      <c r="AG179" s="26" t="inlineStr">
        <is>
          <t>2026-09-14 16:30</t>
        </is>
      </c>
      <c r="AH179" s="26" t="inlineStr">
        <is>
          <t>Synthetic Athena negotiated charge</t>
        </is>
      </c>
    </row>
    <row r="180">
      <c r="A180" s="26" t="inlineStr">
        <is>
          <t>IPD-CHG-0088-CGH</t>
        </is>
      </c>
      <c r="B180" s="26" t="inlineStr">
        <is>
          <t>HAR-202600088-CGH</t>
        </is>
      </c>
      <c r="C180" s="26" t="inlineStr">
        <is>
          <t>CSN-IPD-780088-CGH</t>
        </is>
      </c>
      <c r="D180" s="26" t="inlineStr">
        <is>
          <t>Inpatient</t>
        </is>
      </c>
      <c r="E180" s="26" t="inlineStr">
        <is>
          <t>Demo Regional Medical Center</t>
        </is>
      </c>
      <c r="F180" s="26" t="inlineStr">
        <is>
          <t>Radiology</t>
        </is>
      </c>
      <c r="G180" s="26" t="inlineStr">
        <is>
          <t>2026-09-14</t>
        </is>
      </c>
      <c r="H180" s="26" t="inlineStr">
        <is>
          <t>RAD-CHEST-2V</t>
        </is>
      </c>
      <c r="I180" s="26" t="inlineStr">
        <is>
          <t>Chest X-ray, 2 Views</t>
        </is>
      </c>
      <c r="J180" s="26" t="inlineStr">
        <is>
          <t>0320</t>
        </is>
      </c>
      <c r="K180" s="26" t="inlineStr">
        <is>
          <t>71046</t>
        </is>
      </c>
      <c r="L180" s="26" t="n"/>
      <c r="M180" s="26" t="n">
        <v>1</v>
      </c>
      <c r="N180" s="13" t="n">
        <v>185</v>
      </c>
      <c r="O180" s="13">
        <f>M180*N180</f>
        <v/>
      </c>
      <c r="P180" s="13" t="n">
        <v>95.29000000000001</v>
      </c>
      <c r="Q180" s="13">
        <f>P180*15%</f>
        <v/>
      </c>
      <c r="R180" s="13">
        <f>O180-P180</f>
        <v/>
      </c>
      <c r="S180" s="26" t="inlineStr">
        <is>
          <t>Care Gap Health</t>
        </is>
      </c>
      <c r="T180" s="26" t="inlineStr">
        <is>
          <t>Care Gap Value PPO</t>
        </is>
      </c>
      <c r="U180" s="26" t="n"/>
      <c r="V180" s="26" t="inlineStr">
        <is>
          <t>Eleanor Brooks, MD</t>
        </is>
      </c>
      <c r="W180" s="26" t="inlineStr">
        <is>
          <t>Assigned Department Provider</t>
        </is>
      </c>
      <c r="X180" s="26" t="inlineStr">
        <is>
          <t>RIS/PACS</t>
        </is>
      </c>
      <c r="Y180" s="26" t="inlineStr">
        <is>
          <t>Exam completed</t>
        </is>
      </c>
      <c r="Z180" s="26" t="inlineStr">
        <is>
          <t>Posted</t>
        </is>
      </c>
      <c r="AA180" s="26" t="inlineStr">
        <is>
          <t>Matched</t>
        </is>
      </c>
      <c r="AB180" s="26" t="inlineStr">
        <is>
          <t>Passed</t>
        </is>
      </c>
      <c r="AC180" s="26" t="n"/>
      <c r="AD180" s="26" t="inlineStr">
        <is>
          <t>Diagnosis/LCD</t>
        </is>
      </c>
      <c r="AE180" s="26" t="inlineStr">
        <is>
          <t>R06.02</t>
        </is>
      </c>
      <c r="AF180" s="26" t="inlineStr">
        <is>
          <t>21</t>
        </is>
      </c>
      <c r="AG180" s="26" t="inlineStr">
        <is>
          <t>2026-09-14 16:30</t>
        </is>
      </c>
      <c r="AH180" s="26" t="inlineStr">
        <is>
          <t>Synthetic Care Gap charge; 10% below Athena allowed amount</t>
        </is>
      </c>
    </row>
    <row r="181">
      <c r="A181" s="26" t="inlineStr">
        <is>
          <t>IPD-CHG-0089-ATH</t>
        </is>
      </c>
      <c r="B181" s="26" t="inlineStr">
        <is>
          <t>HAR-202600089-ATH</t>
        </is>
      </c>
      <c r="C181" s="26" t="inlineStr">
        <is>
          <t>CSN-IPD-780089-ATH</t>
        </is>
      </c>
      <c r="D181" s="26" t="inlineStr">
        <is>
          <t>Inpatient</t>
        </is>
      </c>
      <c r="E181" s="26" t="inlineStr">
        <is>
          <t>Demo Regional Medical Center</t>
        </is>
      </c>
      <c r="F181" s="26" t="inlineStr">
        <is>
          <t>Radiology</t>
        </is>
      </c>
      <c r="G181" s="26" t="inlineStr">
        <is>
          <t>2026-09-15</t>
        </is>
      </c>
      <c r="H181" s="26" t="inlineStr">
        <is>
          <t>RAD-KNEE-2V</t>
        </is>
      </c>
      <c r="I181" s="26" t="inlineStr">
        <is>
          <t>Knee X-ray, 1-2 Views</t>
        </is>
      </c>
      <c r="J181" s="26" t="inlineStr">
        <is>
          <t>0320</t>
        </is>
      </c>
      <c r="K181" s="26" t="inlineStr">
        <is>
          <t>73560</t>
        </is>
      </c>
      <c r="L181" s="26" t="n"/>
      <c r="M181" s="26" t="n">
        <v>1</v>
      </c>
      <c r="N181" s="13" t="n">
        <v>410</v>
      </c>
      <c r="O181" s="13">
        <f>M181*N181</f>
        <v/>
      </c>
      <c r="P181" s="13" t="n">
        <v>196.67</v>
      </c>
      <c r="Q181" s="13">
        <f>P181*20%</f>
        <v/>
      </c>
      <c r="R181" s="13">
        <f>O181-P181</f>
        <v/>
      </c>
      <c r="S181" s="26" t="inlineStr">
        <is>
          <t>Athena Health Insurance</t>
        </is>
      </c>
      <c r="T181" s="26" t="inlineStr">
        <is>
          <t>Athena PPO</t>
        </is>
      </c>
      <c r="U181" s="26" t="n"/>
      <c r="V181" s="26" t="inlineStr">
        <is>
          <t>Eleanor Brooks, MD</t>
        </is>
      </c>
      <c r="W181" s="26" t="inlineStr">
        <is>
          <t>Assigned Department Provider</t>
        </is>
      </c>
      <c r="X181" s="26" t="inlineStr">
        <is>
          <t>RIS/PACS</t>
        </is>
      </c>
      <c r="Y181" s="26" t="inlineStr">
        <is>
          <t>Exam completed</t>
        </is>
      </c>
      <c r="Z181" s="26" t="inlineStr">
        <is>
          <t>Posted</t>
        </is>
      </c>
      <c r="AA181" s="26" t="inlineStr">
        <is>
          <t>Matched</t>
        </is>
      </c>
      <c r="AB181" s="26" t="inlineStr">
        <is>
          <t>Passed</t>
        </is>
      </c>
      <c r="AC181" s="26" t="n"/>
      <c r="AD181" s="26" t="inlineStr">
        <is>
          <t>Diagnosis/LCD</t>
        </is>
      </c>
      <c r="AE181" s="26" t="inlineStr">
        <is>
          <t>M25.561</t>
        </is>
      </c>
      <c r="AF181" s="26" t="inlineStr">
        <is>
          <t>21</t>
        </is>
      </c>
      <c r="AG181" s="26" t="inlineStr">
        <is>
          <t>2026-09-15 16:30</t>
        </is>
      </c>
      <c r="AH181" s="26" t="inlineStr">
        <is>
          <t>Synthetic Athena negotiated charge</t>
        </is>
      </c>
    </row>
    <row r="182">
      <c r="A182" s="26" t="inlineStr">
        <is>
          <t>IPD-CHG-0089-CGH</t>
        </is>
      </c>
      <c r="B182" s="26" t="inlineStr">
        <is>
          <t>HAR-202600089-CGH</t>
        </is>
      </c>
      <c r="C182" s="26" t="inlineStr">
        <is>
          <t>CSN-IPD-780089-CGH</t>
        </is>
      </c>
      <c r="D182" s="26" t="inlineStr">
        <is>
          <t>Inpatient</t>
        </is>
      </c>
      <c r="E182" s="26" t="inlineStr">
        <is>
          <t>Demo Regional Medical Center</t>
        </is>
      </c>
      <c r="F182" s="26" t="inlineStr">
        <is>
          <t>Radiology</t>
        </is>
      </c>
      <c r="G182" s="26" t="inlineStr">
        <is>
          <t>2026-09-15</t>
        </is>
      </c>
      <c r="H182" s="26" t="inlineStr">
        <is>
          <t>RAD-KNEE-2V</t>
        </is>
      </c>
      <c r="I182" s="26" t="inlineStr">
        <is>
          <t>Knee X-ray, 1-2 Views</t>
        </is>
      </c>
      <c r="J182" s="26" t="inlineStr">
        <is>
          <t>0320</t>
        </is>
      </c>
      <c r="K182" s="26" t="inlineStr">
        <is>
          <t>73560</t>
        </is>
      </c>
      <c r="L182" s="26" t="n"/>
      <c r="M182" s="26" t="n">
        <v>1</v>
      </c>
      <c r="N182" s="13" t="n">
        <v>410</v>
      </c>
      <c r="O182" s="13">
        <f>M182*N182</f>
        <v/>
      </c>
      <c r="P182" s="13" t="n">
        <v>177</v>
      </c>
      <c r="Q182" s="13">
        <f>P182*15%</f>
        <v/>
      </c>
      <c r="R182" s="13">
        <f>O182-P182</f>
        <v/>
      </c>
      <c r="S182" s="26" t="inlineStr">
        <is>
          <t>Care Gap Health</t>
        </is>
      </c>
      <c r="T182" s="26" t="inlineStr">
        <is>
          <t>Care Gap Value PPO</t>
        </is>
      </c>
      <c r="U182" s="26" t="n"/>
      <c r="V182" s="26" t="inlineStr">
        <is>
          <t>Eleanor Brooks, MD</t>
        </is>
      </c>
      <c r="W182" s="26" t="inlineStr">
        <is>
          <t>Assigned Department Provider</t>
        </is>
      </c>
      <c r="X182" s="26" t="inlineStr">
        <is>
          <t>RIS/PACS</t>
        </is>
      </c>
      <c r="Y182" s="26" t="inlineStr">
        <is>
          <t>Exam completed</t>
        </is>
      </c>
      <c r="Z182" s="26" t="inlineStr">
        <is>
          <t>Posted</t>
        </is>
      </c>
      <c r="AA182" s="26" t="inlineStr">
        <is>
          <t>Matched</t>
        </is>
      </c>
      <c r="AB182" s="26" t="inlineStr">
        <is>
          <t>Passed</t>
        </is>
      </c>
      <c r="AC182" s="26" t="n"/>
      <c r="AD182" s="26" t="inlineStr">
        <is>
          <t>Diagnosis/LCD</t>
        </is>
      </c>
      <c r="AE182" s="26" t="inlineStr">
        <is>
          <t>M25.561</t>
        </is>
      </c>
      <c r="AF182" s="26" t="inlineStr">
        <is>
          <t>21</t>
        </is>
      </c>
      <c r="AG182" s="26" t="inlineStr">
        <is>
          <t>2026-09-15 16:30</t>
        </is>
      </c>
      <c r="AH182" s="26" t="inlineStr">
        <is>
          <t>Synthetic Care Gap charge; 10% below Athena allowed amount</t>
        </is>
      </c>
    </row>
    <row r="183">
      <c r="A183" s="26" t="inlineStr">
        <is>
          <t>IPD-CHG-0090-ATH</t>
        </is>
      </c>
      <c r="B183" s="26" t="inlineStr">
        <is>
          <t>HAR-202600090-ATH</t>
        </is>
      </c>
      <c r="C183" s="26" t="inlineStr">
        <is>
          <t>CSN-IPD-780090-ATH</t>
        </is>
      </c>
      <c r="D183" s="26" t="inlineStr">
        <is>
          <t>Inpatient</t>
        </is>
      </c>
      <c r="E183" s="26" t="inlineStr">
        <is>
          <t>Demo Regional Medical Center</t>
        </is>
      </c>
      <c r="F183" s="26" t="inlineStr">
        <is>
          <t>Cardiology</t>
        </is>
      </c>
      <c r="G183" s="26" t="inlineStr">
        <is>
          <t>2026-09-16</t>
        </is>
      </c>
      <c r="H183" s="26" t="inlineStr">
        <is>
          <t>CARD-ECG12</t>
        </is>
      </c>
      <c r="I183" s="26" t="inlineStr">
        <is>
          <t>12-Lead ECG</t>
        </is>
      </c>
      <c r="J183" s="26" t="inlineStr">
        <is>
          <t>0730</t>
        </is>
      </c>
      <c r="K183" s="26" t="inlineStr">
        <is>
          <t>93005</t>
        </is>
      </c>
      <c r="L183" s="26" t="n"/>
      <c r="M183" s="26" t="n">
        <v>1</v>
      </c>
      <c r="N183" s="13" t="n">
        <v>190</v>
      </c>
      <c r="O183" s="13">
        <f>M183*N183</f>
        <v/>
      </c>
      <c r="P183" s="13" t="n">
        <v>101.11</v>
      </c>
      <c r="Q183" s="13">
        <f>P183*20%</f>
        <v/>
      </c>
      <c r="R183" s="13">
        <f>O183-P183</f>
        <v/>
      </c>
      <c r="S183" s="26" t="inlineStr">
        <is>
          <t>Athena Health Insurance</t>
        </is>
      </c>
      <c r="T183" s="26" t="inlineStr">
        <is>
          <t>Athena PPO</t>
        </is>
      </c>
      <c r="U183" s="26" t="n"/>
      <c r="V183" s="26" t="inlineStr">
        <is>
          <t>Eleanor Brooks, MD</t>
        </is>
      </c>
      <c r="W183" s="26" t="inlineStr">
        <is>
          <t>Assigned Department Provider</t>
        </is>
      </c>
      <c r="X183" s="26" t="inlineStr">
        <is>
          <t>Cardiology</t>
        </is>
      </c>
      <c r="Y183" s="26" t="inlineStr">
        <is>
          <t>Test completed</t>
        </is>
      </c>
      <c r="Z183" s="26" t="inlineStr">
        <is>
          <t>Posted</t>
        </is>
      </c>
      <c r="AA183" s="26" t="inlineStr">
        <is>
          <t>Matched</t>
        </is>
      </c>
      <c r="AB183" s="26" t="inlineStr">
        <is>
          <t>Passed</t>
        </is>
      </c>
      <c r="AC183" s="26" t="n"/>
      <c r="AD183" s="26" t="inlineStr">
        <is>
          <t>Diagnosis/LCD</t>
        </is>
      </c>
      <c r="AE183" s="26" t="inlineStr">
        <is>
          <t>R07.9</t>
        </is>
      </c>
      <c r="AF183" s="26" t="inlineStr">
        <is>
          <t>21</t>
        </is>
      </c>
      <c r="AG183" s="26" t="inlineStr">
        <is>
          <t>2026-09-16 16:30</t>
        </is>
      </c>
      <c r="AH183" s="26" t="inlineStr">
        <is>
          <t>Synthetic Athena negotiated charge</t>
        </is>
      </c>
    </row>
    <row r="184">
      <c r="A184" s="26" t="inlineStr">
        <is>
          <t>IPD-CHG-0090-CGH</t>
        </is>
      </c>
      <c r="B184" s="26" t="inlineStr">
        <is>
          <t>HAR-202600090-CGH</t>
        </is>
      </c>
      <c r="C184" s="26" t="inlineStr">
        <is>
          <t>CSN-IPD-780090-CGH</t>
        </is>
      </c>
      <c r="D184" s="26" t="inlineStr">
        <is>
          <t>Inpatient</t>
        </is>
      </c>
      <c r="E184" s="26" t="inlineStr">
        <is>
          <t>Demo Regional Medical Center</t>
        </is>
      </c>
      <c r="F184" s="26" t="inlineStr">
        <is>
          <t>Cardiology</t>
        </is>
      </c>
      <c r="G184" s="26" t="inlineStr">
        <is>
          <t>2026-09-16</t>
        </is>
      </c>
      <c r="H184" s="26" t="inlineStr">
        <is>
          <t>CARD-ECG12</t>
        </is>
      </c>
      <c r="I184" s="26" t="inlineStr">
        <is>
          <t>12-Lead ECG</t>
        </is>
      </c>
      <c r="J184" s="26" t="inlineStr">
        <is>
          <t>0730</t>
        </is>
      </c>
      <c r="K184" s="26" t="inlineStr">
        <is>
          <t>93005</t>
        </is>
      </c>
      <c r="L184" s="26" t="n"/>
      <c r="M184" s="26" t="n">
        <v>1</v>
      </c>
      <c r="N184" s="13" t="n">
        <v>190</v>
      </c>
      <c r="O184" s="13">
        <f>M184*N184</f>
        <v/>
      </c>
      <c r="P184" s="13" t="n">
        <v>91</v>
      </c>
      <c r="Q184" s="13">
        <f>P184*15%</f>
        <v/>
      </c>
      <c r="R184" s="13">
        <f>O184-P184</f>
        <v/>
      </c>
      <c r="S184" s="26" t="inlineStr">
        <is>
          <t>Care Gap Health</t>
        </is>
      </c>
      <c r="T184" s="26" t="inlineStr">
        <is>
          <t>Care Gap Value PPO</t>
        </is>
      </c>
      <c r="U184" s="26" t="n"/>
      <c r="V184" s="26" t="inlineStr">
        <is>
          <t>Eleanor Brooks, MD</t>
        </is>
      </c>
      <c r="W184" s="26" t="inlineStr">
        <is>
          <t>Assigned Department Provider</t>
        </is>
      </c>
      <c r="X184" s="26" t="inlineStr">
        <is>
          <t>Cardiology</t>
        </is>
      </c>
      <c r="Y184" s="26" t="inlineStr">
        <is>
          <t>Test completed</t>
        </is>
      </c>
      <c r="Z184" s="26" t="inlineStr">
        <is>
          <t>Posted</t>
        </is>
      </c>
      <c r="AA184" s="26" t="inlineStr">
        <is>
          <t>Matched</t>
        </is>
      </c>
      <c r="AB184" s="26" t="inlineStr">
        <is>
          <t>Passed</t>
        </is>
      </c>
      <c r="AC184" s="26" t="n"/>
      <c r="AD184" s="26" t="inlineStr">
        <is>
          <t>Diagnosis/LCD</t>
        </is>
      </c>
      <c r="AE184" s="26" t="inlineStr">
        <is>
          <t>R07.9</t>
        </is>
      </c>
      <c r="AF184" s="26" t="inlineStr">
        <is>
          <t>21</t>
        </is>
      </c>
      <c r="AG184" s="26" t="inlineStr">
        <is>
          <t>2026-09-16 16:30</t>
        </is>
      </c>
      <c r="AH184" s="26" t="inlineStr">
        <is>
          <t>Synthetic Care Gap charge; 10% below Athena allowed amount</t>
        </is>
      </c>
    </row>
    <row r="185">
      <c r="A185" s="26" t="inlineStr">
        <is>
          <t>IPD-CHG-0091-ATH</t>
        </is>
      </c>
      <c r="B185" s="26" t="inlineStr">
        <is>
          <t>HAR-202600091-ATH</t>
        </is>
      </c>
      <c r="C185" s="26" t="inlineStr">
        <is>
          <t>CSN-IPD-780091-ATH</t>
        </is>
      </c>
      <c r="D185" s="26" t="inlineStr">
        <is>
          <t>Inpatient</t>
        </is>
      </c>
      <c r="E185" s="26" t="inlineStr">
        <is>
          <t>Demo Regional Medical Center</t>
        </is>
      </c>
      <c r="F185" s="26" t="inlineStr">
        <is>
          <t>Respiratory</t>
        </is>
      </c>
      <c r="G185" s="26" t="inlineStr">
        <is>
          <t>2026-09-17</t>
        </is>
      </c>
      <c r="H185" s="26" t="inlineStr">
        <is>
          <t>RESP-NEB</t>
        </is>
      </c>
      <c r="I185" s="26" t="inlineStr">
        <is>
          <t>Nebulizer Treatment</t>
        </is>
      </c>
      <c r="J185" s="26" t="inlineStr">
        <is>
          <t>0410</t>
        </is>
      </c>
      <c r="K185" s="26" t="inlineStr">
        <is>
          <t>94640</t>
        </is>
      </c>
      <c r="L185" s="26" t="n"/>
      <c r="M185" s="26" t="n">
        <v>1</v>
      </c>
      <c r="N185" s="13" t="n">
        <v>245</v>
      </c>
      <c r="O185" s="13">
        <f>M185*N185</f>
        <v/>
      </c>
      <c r="P185" s="13" t="n">
        <v>114.77</v>
      </c>
      <c r="Q185" s="13">
        <f>P185*20%</f>
        <v/>
      </c>
      <c r="R185" s="13">
        <f>O185-P185</f>
        <v/>
      </c>
      <c r="S185" s="26" t="inlineStr">
        <is>
          <t>Athena Health Insurance</t>
        </is>
      </c>
      <c r="T185" s="26" t="inlineStr">
        <is>
          <t>Athena PPO</t>
        </is>
      </c>
      <c r="U185" s="26" t="n"/>
      <c r="V185" s="26" t="inlineStr">
        <is>
          <t>Eleanor Brooks, MD</t>
        </is>
      </c>
      <c r="W185" s="26" t="inlineStr">
        <is>
          <t>Assigned Department Provider</t>
        </is>
      </c>
      <c r="X185" s="26" t="inlineStr">
        <is>
          <t>Respiratory</t>
        </is>
      </c>
      <c r="Y185" s="26" t="inlineStr">
        <is>
          <t>Treatment completed</t>
        </is>
      </c>
      <c r="Z185" s="26" t="inlineStr">
        <is>
          <t>Posted</t>
        </is>
      </c>
      <c r="AA185" s="26" t="inlineStr">
        <is>
          <t>Matched</t>
        </is>
      </c>
      <c r="AB185" s="26" t="inlineStr">
        <is>
          <t>Passed</t>
        </is>
      </c>
      <c r="AC185" s="26" t="n"/>
      <c r="AD185" s="26" t="inlineStr">
        <is>
          <t>Diagnosis/LCD</t>
        </is>
      </c>
      <c r="AE185" s="26" t="inlineStr">
        <is>
          <t>J45.901</t>
        </is>
      </c>
      <c r="AF185" s="26" t="inlineStr">
        <is>
          <t>21</t>
        </is>
      </c>
      <c r="AG185" s="26" t="inlineStr">
        <is>
          <t>2026-09-17 16:30</t>
        </is>
      </c>
      <c r="AH185" s="26" t="inlineStr">
        <is>
          <t>Synthetic Athena negotiated charge</t>
        </is>
      </c>
    </row>
    <row r="186">
      <c r="A186" s="26" t="inlineStr">
        <is>
          <t>IPD-CHG-0091-CGH</t>
        </is>
      </c>
      <c r="B186" s="26" t="inlineStr">
        <is>
          <t>HAR-202600091-CGH</t>
        </is>
      </c>
      <c r="C186" s="26" t="inlineStr">
        <is>
          <t>CSN-IPD-780091-CGH</t>
        </is>
      </c>
      <c r="D186" s="26" t="inlineStr">
        <is>
          <t>Inpatient</t>
        </is>
      </c>
      <c r="E186" s="26" t="inlineStr">
        <is>
          <t>Demo Regional Medical Center</t>
        </is>
      </c>
      <c r="F186" s="26" t="inlineStr">
        <is>
          <t>Respiratory</t>
        </is>
      </c>
      <c r="G186" s="26" t="inlineStr">
        <is>
          <t>2026-09-17</t>
        </is>
      </c>
      <c r="H186" s="26" t="inlineStr">
        <is>
          <t>RESP-NEB</t>
        </is>
      </c>
      <c r="I186" s="26" t="inlineStr">
        <is>
          <t>Nebulizer Treatment</t>
        </is>
      </c>
      <c r="J186" s="26" t="inlineStr">
        <is>
          <t>0410</t>
        </is>
      </c>
      <c r="K186" s="26" t="inlineStr">
        <is>
          <t>94640</t>
        </is>
      </c>
      <c r="L186" s="26" t="n"/>
      <c r="M186" s="26" t="n">
        <v>1</v>
      </c>
      <c r="N186" s="13" t="n">
        <v>245</v>
      </c>
      <c r="O186" s="13">
        <f>M186*N186</f>
        <v/>
      </c>
      <c r="P186" s="13" t="n">
        <v>103.29</v>
      </c>
      <c r="Q186" s="13">
        <f>P186*15%</f>
        <v/>
      </c>
      <c r="R186" s="13">
        <f>O186-P186</f>
        <v/>
      </c>
      <c r="S186" s="26" t="inlineStr">
        <is>
          <t>Care Gap Health</t>
        </is>
      </c>
      <c r="T186" s="26" t="inlineStr">
        <is>
          <t>Care Gap Value PPO</t>
        </is>
      </c>
      <c r="U186" s="26" t="n"/>
      <c r="V186" s="26" t="inlineStr">
        <is>
          <t>Eleanor Brooks, MD</t>
        </is>
      </c>
      <c r="W186" s="26" t="inlineStr">
        <is>
          <t>Assigned Department Provider</t>
        </is>
      </c>
      <c r="X186" s="26" t="inlineStr">
        <is>
          <t>Respiratory</t>
        </is>
      </c>
      <c r="Y186" s="26" t="inlineStr">
        <is>
          <t>Treatment completed</t>
        </is>
      </c>
      <c r="Z186" s="26" t="inlineStr">
        <is>
          <t>Posted</t>
        </is>
      </c>
      <c r="AA186" s="26" t="inlineStr">
        <is>
          <t>Matched</t>
        </is>
      </c>
      <c r="AB186" s="26" t="inlineStr">
        <is>
          <t>Passed</t>
        </is>
      </c>
      <c r="AC186" s="26" t="n"/>
      <c r="AD186" s="26" t="inlineStr">
        <is>
          <t>Diagnosis/LCD</t>
        </is>
      </c>
      <c r="AE186" s="26" t="inlineStr">
        <is>
          <t>J45.901</t>
        </is>
      </c>
      <c r="AF186" s="26" t="inlineStr">
        <is>
          <t>21</t>
        </is>
      </c>
      <c r="AG186" s="26" t="inlineStr">
        <is>
          <t>2026-09-17 16:30</t>
        </is>
      </c>
      <c r="AH186" s="26" t="inlineStr">
        <is>
          <t>Synthetic Care Gap charge; 10% below Athena allowed amount</t>
        </is>
      </c>
    </row>
    <row r="187">
      <c r="A187" s="26" t="inlineStr">
        <is>
          <t>IPD-CHG-0092-ATH</t>
        </is>
      </c>
      <c r="B187" s="26" t="inlineStr">
        <is>
          <t>HAR-202600092-ATH</t>
        </is>
      </c>
      <c r="C187" s="26" t="inlineStr">
        <is>
          <t>CSN-IPD-780092-ATH</t>
        </is>
      </c>
      <c r="D187" s="26" t="inlineStr">
        <is>
          <t>Inpatient</t>
        </is>
      </c>
      <c r="E187" s="26" t="inlineStr">
        <is>
          <t>Demo Regional Medical Center</t>
        </is>
      </c>
      <c r="F187" s="26" t="inlineStr">
        <is>
          <t>Physical Therapy</t>
        </is>
      </c>
      <c r="G187" s="26" t="inlineStr">
        <is>
          <t>2026-09-18</t>
        </is>
      </c>
      <c r="H187" s="26" t="inlineStr">
        <is>
          <t>PT-EVAL-LOW</t>
        </is>
      </c>
      <c r="I187" s="26" t="inlineStr">
        <is>
          <t>Physical Therapy Evaluation, Low Complexity</t>
        </is>
      </c>
      <c r="J187" s="26" t="inlineStr">
        <is>
          <t>0420</t>
        </is>
      </c>
      <c r="K187" s="26" t="inlineStr">
        <is>
          <t>97161</t>
        </is>
      </c>
      <c r="L187" s="26" t="n"/>
      <c r="M187" s="26" t="n">
        <v>1</v>
      </c>
      <c r="N187" s="13" t="n">
        <v>710</v>
      </c>
      <c r="O187" s="13">
        <f>M187*N187</f>
        <v/>
      </c>
      <c r="P187" s="13" t="n">
        <v>501.3</v>
      </c>
      <c r="Q187" s="13">
        <f>P187*20%</f>
        <v/>
      </c>
      <c r="R187" s="13">
        <f>O187-P187</f>
        <v/>
      </c>
      <c r="S187" s="26" t="inlineStr">
        <is>
          <t>Athena Health Insurance</t>
        </is>
      </c>
      <c r="T187" s="26" t="inlineStr">
        <is>
          <t>Athena PPO</t>
        </is>
      </c>
      <c r="U187" s="26" t="inlineStr">
        <is>
          <t>AUTH-700092</t>
        </is>
      </c>
      <c r="V187" s="26" t="inlineStr">
        <is>
          <t>Eleanor Brooks, MD</t>
        </is>
      </c>
      <c r="W187" s="26" t="inlineStr">
        <is>
          <t>Assigned Department Provider</t>
        </is>
      </c>
      <c r="X187" s="26" t="inlineStr">
        <is>
          <t>Therapy</t>
        </is>
      </c>
      <c r="Y187" s="26" t="inlineStr">
        <is>
          <t>Note signed</t>
        </is>
      </c>
      <c r="Z187" s="26" t="inlineStr">
        <is>
          <t>Posted</t>
        </is>
      </c>
      <c r="AA187" s="26" t="inlineStr">
        <is>
          <t>Matched</t>
        </is>
      </c>
      <c r="AB187" s="26" t="inlineStr">
        <is>
          <t>Review</t>
        </is>
      </c>
      <c r="AC187" s="26" t="inlineStr">
        <is>
          <t>WQ-PHY-01</t>
        </is>
      </c>
      <c r="AD187" s="26" t="inlineStr">
        <is>
          <t>Plan benefits</t>
        </is>
      </c>
      <c r="AE187" s="26" t="inlineStr">
        <is>
          <t>R26.2</t>
        </is>
      </c>
      <c r="AF187" s="26" t="inlineStr">
        <is>
          <t>21</t>
        </is>
      </c>
      <c r="AG187" s="26" t="inlineStr">
        <is>
          <t>2026-09-18 16:30</t>
        </is>
      </c>
      <c r="AH187" s="26" t="inlineStr">
        <is>
          <t>Synthetic Athena negotiated charge</t>
        </is>
      </c>
    </row>
    <row r="188">
      <c r="A188" s="26" t="inlineStr">
        <is>
          <t>IPD-CHG-0092-CGH</t>
        </is>
      </c>
      <c r="B188" s="26" t="inlineStr">
        <is>
          <t>HAR-202600092-CGH</t>
        </is>
      </c>
      <c r="C188" s="26" t="inlineStr">
        <is>
          <t>CSN-IPD-780092-CGH</t>
        </is>
      </c>
      <c r="D188" s="26" t="inlineStr">
        <is>
          <t>Inpatient</t>
        </is>
      </c>
      <c r="E188" s="26" t="inlineStr">
        <is>
          <t>Demo Regional Medical Center</t>
        </is>
      </c>
      <c r="F188" s="26" t="inlineStr">
        <is>
          <t>Physical Therapy</t>
        </is>
      </c>
      <c r="G188" s="26" t="inlineStr">
        <is>
          <t>2026-09-18</t>
        </is>
      </c>
      <c r="H188" s="26" t="inlineStr">
        <is>
          <t>PT-EVAL-LOW</t>
        </is>
      </c>
      <c r="I188" s="26" t="inlineStr">
        <is>
          <t>Physical Therapy Evaluation, Low Complexity</t>
        </is>
      </c>
      <c r="J188" s="26" t="inlineStr">
        <is>
          <t>0420</t>
        </is>
      </c>
      <c r="K188" s="26" t="inlineStr">
        <is>
          <t>97161</t>
        </is>
      </c>
      <c r="L188" s="26" t="n"/>
      <c r="M188" s="26" t="n">
        <v>1</v>
      </c>
      <c r="N188" s="13" t="n">
        <v>710</v>
      </c>
      <c r="O188" s="13">
        <f>M188*N188</f>
        <v/>
      </c>
      <c r="P188" s="13" t="n">
        <v>451.17</v>
      </c>
      <c r="Q188" s="13">
        <f>P188*15%</f>
        <v/>
      </c>
      <c r="R188" s="13">
        <f>O188-P188</f>
        <v/>
      </c>
      <c r="S188" s="26" t="inlineStr">
        <is>
          <t>Care Gap Health</t>
        </is>
      </c>
      <c r="T188" s="26" t="inlineStr">
        <is>
          <t>Care Gap Value PPO</t>
        </is>
      </c>
      <c r="U188" s="26" t="inlineStr">
        <is>
          <t>AUTH-700092</t>
        </is>
      </c>
      <c r="V188" s="26" t="inlineStr">
        <is>
          <t>Eleanor Brooks, MD</t>
        </is>
      </c>
      <c r="W188" s="26" t="inlineStr">
        <is>
          <t>Assigned Department Provider</t>
        </is>
      </c>
      <c r="X188" s="26" t="inlineStr">
        <is>
          <t>Therapy</t>
        </is>
      </c>
      <c r="Y188" s="26" t="inlineStr">
        <is>
          <t>Note signed</t>
        </is>
      </c>
      <c r="Z188" s="26" t="inlineStr">
        <is>
          <t>Posted</t>
        </is>
      </c>
      <c r="AA188" s="26" t="inlineStr">
        <is>
          <t>Matched</t>
        </is>
      </c>
      <c r="AB188" s="26" t="inlineStr">
        <is>
          <t>Review</t>
        </is>
      </c>
      <c r="AC188" s="26" t="inlineStr">
        <is>
          <t>WQ-PHY-01</t>
        </is>
      </c>
      <c r="AD188" s="26" t="inlineStr">
        <is>
          <t>Plan benefits</t>
        </is>
      </c>
      <c r="AE188" s="26" t="inlineStr">
        <is>
          <t>R26.2</t>
        </is>
      </c>
      <c r="AF188" s="26" t="inlineStr">
        <is>
          <t>21</t>
        </is>
      </c>
      <c r="AG188" s="26" t="inlineStr">
        <is>
          <t>2026-09-18 16:30</t>
        </is>
      </c>
      <c r="AH188" s="26" t="inlineStr">
        <is>
          <t>Synthetic Care Gap charge; 10% below Athena allowed amount</t>
        </is>
      </c>
    </row>
    <row r="189">
      <c r="A189" s="26" t="inlineStr">
        <is>
          <t>IPD-CHG-0093-ATH</t>
        </is>
      </c>
      <c r="B189" s="26" t="inlineStr">
        <is>
          <t>HAR-202600093-ATH</t>
        </is>
      </c>
      <c r="C189" s="26" t="inlineStr">
        <is>
          <t>CSN-IPD-780093-ATH</t>
        </is>
      </c>
      <c r="D189" s="26" t="inlineStr">
        <is>
          <t>Inpatient</t>
        </is>
      </c>
      <c r="E189" s="26" t="inlineStr">
        <is>
          <t>Demo Regional Medical Center</t>
        </is>
      </c>
      <c r="F189" s="26" t="inlineStr">
        <is>
          <t>Physical Therapy</t>
        </is>
      </c>
      <c r="G189" s="26" t="inlineStr">
        <is>
          <t>2026-09-19</t>
        </is>
      </c>
      <c r="H189" s="26" t="inlineStr">
        <is>
          <t>PT-THEREX-15</t>
        </is>
      </c>
      <c r="I189" s="26" t="inlineStr">
        <is>
          <t>Therapeutic Exercise, 15 Minutes</t>
        </is>
      </c>
      <c r="J189" s="26" t="inlineStr">
        <is>
          <t>0420</t>
        </is>
      </c>
      <c r="K189" s="26" t="inlineStr">
        <is>
          <t>97110</t>
        </is>
      </c>
      <c r="L189" s="26" t="n"/>
      <c r="M189" s="26" t="n">
        <v>2</v>
      </c>
      <c r="N189" s="13" t="n">
        <v>305</v>
      </c>
      <c r="O189" s="13">
        <f>M189*N189</f>
        <v/>
      </c>
      <c r="P189" s="13" t="n">
        <v>365.81</v>
      </c>
      <c r="Q189" s="13">
        <f>P189*20%</f>
        <v/>
      </c>
      <c r="R189" s="13">
        <f>O189-P189</f>
        <v/>
      </c>
      <c r="S189" s="26" t="inlineStr">
        <is>
          <t>Athena Health Insurance</t>
        </is>
      </c>
      <c r="T189" s="26" t="inlineStr">
        <is>
          <t>Athena PPO</t>
        </is>
      </c>
      <c r="U189" s="26" t="n"/>
      <c r="V189" s="26" t="inlineStr">
        <is>
          <t>Eleanor Brooks, MD</t>
        </is>
      </c>
      <c r="W189" s="26" t="inlineStr">
        <is>
          <t>Assigned Department Provider</t>
        </is>
      </c>
      <c r="X189" s="26" t="inlineStr">
        <is>
          <t>Therapy</t>
        </is>
      </c>
      <c r="Y189" s="26" t="inlineStr">
        <is>
          <t>Note signed</t>
        </is>
      </c>
      <c r="Z189" s="26" t="inlineStr">
        <is>
          <t>Posted</t>
        </is>
      </c>
      <c r="AA189" s="26" t="inlineStr">
        <is>
          <t>Matched</t>
        </is>
      </c>
      <c r="AB189" s="26" t="inlineStr">
        <is>
          <t>Passed</t>
        </is>
      </c>
      <c r="AC189" s="26" t="n"/>
      <c r="AD189" s="26" t="inlineStr">
        <is>
          <t>Timed units</t>
        </is>
      </c>
      <c r="AE189" s="26" t="inlineStr">
        <is>
          <t>M62.81</t>
        </is>
      </c>
      <c r="AF189" s="26" t="inlineStr">
        <is>
          <t>21</t>
        </is>
      </c>
      <c r="AG189" s="26" t="inlineStr">
        <is>
          <t>2026-09-19 16:30</t>
        </is>
      </c>
      <c r="AH189" s="26" t="inlineStr">
        <is>
          <t>Synthetic Athena negotiated charge</t>
        </is>
      </c>
    </row>
    <row r="190">
      <c r="A190" s="26" t="inlineStr">
        <is>
          <t>IPD-CHG-0093-CGH</t>
        </is>
      </c>
      <c r="B190" s="26" t="inlineStr">
        <is>
          <t>HAR-202600093-CGH</t>
        </is>
      </c>
      <c r="C190" s="26" t="inlineStr">
        <is>
          <t>CSN-IPD-780093-CGH</t>
        </is>
      </c>
      <c r="D190" s="26" t="inlineStr">
        <is>
          <t>Inpatient</t>
        </is>
      </c>
      <c r="E190" s="26" t="inlineStr">
        <is>
          <t>Demo Regional Medical Center</t>
        </is>
      </c>
      <c r="F190" s="26" t="inlineStr">
        <is>
          <t>Physical Therapy</t>
        </is>
      </c>
      <c r="G190" s="26" t="inlineStr">
        <is>
          <t>2026-09-19</t>
        </is>
      </c>
      <c r="H190" s="26" t="inlineStr">
        <is>
          <t>PT-THEREX-15</t>
        </is>
      </c>
      <c r="I190" s="26" t="inlineStr">
        <is>
          <t>Therapeutic Exercise, 15 Minutes</t>
        </is>
      </c>
      <c r="J190" s="26" t="inlineStr">
        <is>
          <t>0420</t>
        </is>
      </c>
      <c r="K190" s="26" t="inlineStr">
        <is>
          <t>97110</t>
        </is>
      </c>
      <c r="L190" s="26" t="n"/>
      <c r="M190" s="26" t="n">
        <v>2</v>
      </c>
      <c r="N190" s="13" t="n">
        <v>305</v>
      </c>
      <c r="O190" s="13">
        <f>M190*N190</f>
        <v/>
      </c>
      <c r="P190" s="13" t="n">
        <v>329.23</v>
      </c>
      <c r="Q190" s="13">
        <f>P190*15%</f>
        <v/>
      </c>
      <c r="R190" s="13">
        <f>O190-P190</f>
        <v/>
      </c>
      <c r="S190" s="26" t="inlineStr">
        <is>
          <t>Care Gap Health</t>
        </is>
      </c>
      <c r="T190" s="26" t="inlineStr">
        <is>
          <t>Care Gap Value PPO</t>
        </is>
      </c>
      <c r="U190" s="26" t="n"/>
      <c r="V190" s="26" t="inlineStr">
        <is>
          <t>Eleanor Brooks, MD</t>
        </is>
      </c>
      <c r="W190" s="26" t="inlineStr">
        <is>
          <t>Assigned Department Provider</t>
        </is>
      </c>
      <c r="X190" s="26" t="inlineStr">
        <is>
          <t>Therapy</t>
        </is>
      </c>
      <c r="Y190" s="26" t="inlineStr">
        <is>
          <t>Note signed</t>
        </is>
      </c>
      <c r="Z190" s="26" t="inlineStr">
        <is>
          <t>Posted</t>
        </is>
      </c>
      <c r="AA190" s="26" t="inlineStr">
        <is>
          <t>Matched</t>
        </is>
      </c>
      <c r="AB190" s="26" t="inlineStr">
        <is>
          <t>Passed</t>
        </is>
      </c>
      <c r="AC190" s="26" t="n"/>
      <c r="AD190" s="26" t="inlineStr">
        <is>
          <t>Timed units</t>
        </is>
      </c>
      <c r="AE190" s="26" t="inlineStr">
        <is>
          <t>M62.81</t>
        </is>
      </c>
      <c r="AF190" s="26" t="inlineStr">
        <is>
          <t>21</t>
        </is>
      </c>
      <c r="AG190" s="26" t="inlineStr">
        <is>
          <t>2026-09-19 16:30</t>
        </is>
      </c>
      <c r="AH190" s="26" t="inlineStr">
        <is>
          <t>Synthetic Care Gap charge; 10% below Athena allowed amount</t>
        </is>
      </c>
    </row>
    <row r="191">
      <c r="A191" s="26" t="inlineStr">
        <is>
          <t>IPD-CHG-0094-ATH</t>
        </is>
      </c>
      <c r="B191" s="26" t="inlineStr">
        <is>
          <t>HAR-202600094-ATH</t>
        </is>
      </c>
      <c r="C191" s="26" t="inlineStr">
        <is>
          <t>CSN-IPD-780094-ATH</t>
        </is>
      </c>
      <c r="D191" s="26" t="inlineStr">
        <is>
          <t>Inpatient</t>
        </is>
      </c>
      <c r="E191" s="26" t="inlineStr">
        <is>
          <t>Demo Regional Medical Center</t>
        </is>
      </c>
      <c r="F191" s="26" t="inlineStr">
        <is>
          <t>Occupational Therapy</t>
        </is>
      </c>
      <c r="G191" s="26" t="inlineStr">
        <is>
          <t>2026-09-20</t>
        </is>
      </c>
      <c r="H191" s="26" t="inlineStr">
        <is>
          <t>OT-EVAL-LOW</t>
        </is>
      </c>
      <c r="I191" s="26" t="inlineStr">
        <is>
          <t>Occupational Therapy Evaluation, Low Complexity</t>
        </is>
      </c>
      <c r="J191" s="26" t="inlineStr">
        <is>
          <t>0430</t>
        </is>
      </c>
      <c r="K191" s="26" t="inlineStr">
        <is>
          <t>97165</t>
        </is>
      </c>
      <c r="L191" s="26" t="n"/>
      <c r="M191" s="26" t="n">
        <v>1</v>
      </c>
      <c r="N191" s="13" t="n">
        <v>725</v>
      </c>
      <c r="O191" s="13">
        <f>M191*N191</f>
        <v/>
      </c>
      <c r="P191" s="13" t="n">
        <v>410.77</v>
      </c>
      <c r="Q191" s="13">
        <f>P191*20%</f>
        <v/>
      </c>
      <c r="R191" s="13">
        <f>O191-P191</f>
        <v/>
      </c>
      <c r="S191" s="26" t="inlineStr">
        <is>
          <t>Athena Health Insurance</t>
        </is>
      </c>
      <c r="T191" s="26" t="inlineStr">
        <is>
          <t>Athena PPO</t>
        </is>
      </c>
      <c r="U191" s="26" t="inlineStr">
        <is>
          <t>AUTH-700094</t>
        </is>
      </c>
      <c r="V191" s="26" t="inlineStr">
        <is>
          <t>Eleanor Brooks, MD</t>
        </is>
      </c>
      <c r="W191" s="26" t="inlineStr">
        <is>
          <t>Assigned Department Provider</t>
        </is>
      </c>
      <c r="X191" s="26" t="inlineStr">
        <is>
          <t>Therapy</t>
        </is>
      </c>
      <c r="Y191" s="26" t="inlineStr">
        <is>
          <t>Note signed</t>
        </is>
      </c>
      <c r="Z191" s="26" t="inlineStr">
        <is>
          <t>Posted</t>
        </is>
      </c>
      <c r="AA191" s="26" t="inlineStr">
        <is>
          <t>Matched</t>
        </is>
      </c>
      <c r="AB191" s="26" t="inlineStr">
        <is>
          <t>Passed</t>
        </is>
      </c>
      <c r="AC191" s="26" t="n"/>
      <c r="AD191" s="26" t="inlineStr">
        <is>
          <t>Plan benefits</t>
        </is>
      </c>
      <c r="AE191" s="26" t="inlineStr">
        <is>
          <t>Z74.09</t>
        </is>
      </c>
      <c r="AF191" s="26" t="inlineStr">
        <is>
          <t>21</t>
        </is>
      </c>
      <c r="AG191" s="26" t="inlineStr">
        <is>
          <t>2026-09-20 16:30</t>
        </is>
      </c>
      <c r="AH191" s="26" t="inlineStr">
        <is>
          <t>Synthetic Athena negotiated charge</t>
        </is>
      </c>
    </row>
    <row r="192">
      <c r="A192" s="26" t="inlineStr">
        <is>
          <t>IPD-CHG-0094-CGH</t>
        </is>
      </c>
      <c r="B192" s="26" t="inlineStr">
        <is>
          <t>HAR-202600094-CGH</t>
        </is>
      </c>
      <c r="C192" s="26" t="inlineStr">
        <is>
          <t>CSN-IPD-780094-CGH</t>
        </is>
      </c>
      <c r="D192" s="26" t="inlineStr">
        <is>
          <t>Inpatient</t>
        </is>
      </c>
      <c r="E192" s="26" t="inlineStr">
        <is>
          <t>Demo Regional Medical Center</t>
        </is>
      </c>
      <c r="F192" s="26" t="inlineStr">
        <is>
          <t>Occupational Therapy</t>
        </is>
      </c>
      <c r="G192" s="26" t="inlineStr">
        <is>
          <t>2026-09-20</t>
        </is>
      </c>
      <c r="H192" s="26" t="inlineStr">
        <is>
          <t>OT-EVAL-LOW</t>
        </is>
      </c>
      <c r="I192" s="26" t="inlineStr">
        <is>
          <t>Occupational Therapy Evaluation, Low Complexity</t>
        </is>
      </c>
      <c r="J192" s="26" t="inlineStr">
        <is>
          <t>0430</t>
        </is>
      </c>
      <c r="K192" s="26" t="inlineStr">
        <is>
          <t>97165</t>
        </is>
      </c>
      <c r="L192" s="26" t="n"/>
      <c r="M192" s="26" t="n">
        <v>1</v>
      </c>
      <c r="N192" s="13" t="n">
        <v>725</v>
      </c>
      <c r="O192" s="13">
        <f>M192*N192</f>
        <v/>
      </c>
      <c r="P192" s="13" t="n">
        <v>369.69</v>
      </c>
      <c r="Q192" s="13">
        <f>P192*15%</f>
        <v/>
      </c>
      <c r="R192" s="13">
        <f>O192-P192</f>
        <v/>
      </c>
      <c r="S192" s="26" t="inlineStr">
        <is>
          <t>Care Gap Health</t>
        </is>
      </c>
      <c r="T192" s="26" t="inlineStr">
        <is>
          <t>Care Gap Value PPO</t>
        </is>
      </c>
      <c r="U192" s="26" t="inlineStr">
        <is>
          <t>AUTH-700094</t>
        </is>
      </c>
      <c r="V192" s="26" t="inlineStr">
        <is>
          <t>Eleanor Brooks, MD</t>
        </is>
      </c>
      <c r="W192" s="26" t="inlineStr">
        <is>
          <t>Assigned Department Provider</t>
        </is>
      </c>
      <c r="X192" s="26" t="inlineStr">
        <is>
          <t>Therapy</t>
        </is>
      </c>
      <c r="Y192" s="26" t="inlineStr">
        <is>
          <t>Note signed</t>
        </is>
      </c>
      <c r="Z192" s="26" t="inlineStr">
        <is>
          <t>Posted</t>
        </is>
      </c>
      <c r="AA192" s="26" t="inlineStr">
        <is>
          <t>Matched</t>
        </is>
      </c>
      <c r="AB192" s="26" t="inlineStr">
        <is>
          <t>Passed</t>
        </is>
      </c>
      <c r="AC192" s="26" t="n"/>
      <c r="AD192" s="26" t="inlineStr">
        <is>
          <t>Plan benefits</t>
        </is>
      </c>
      <c r="AE192" s="26" t="inlineStr">
        <is>
          <t>Z74.09</t>
        </is>
      </c>
      <c r="AF192" s="26" t="inlineStr">
        <is>
          <t>21</t>
        </is>
      </c>
      <c r="AG192" s="26" t="inlineStr">
        <is>
          <t>2026-09-20 16:30</t>
        </is>
      </c>
      <c r="AH192" s="26" t="inlineStr">
        <is>
          <t>Synthetic Care Gap charge; 10% below Athena allowed amount</t>
        </is>
      </c>
    </row>
    <row r="193">
      <c r="A193" s="26" t="inlineStr">
        <is>
          <t>IPD-CHG-0095-ATH</t>
        </is>
      </c>
      <c r="B193" s="26" t="inlineStr">
        <is>
          <t>HAR-202600095-ATH</t>
        </is>
      </c>
      <c r="C193" s="26" t="inlineStr">
        <is>
          <t>CSN-IPD-780095-ATH</t>
        </is>
      </c>
      <c r="D193" s="26" t="inlineStr">
        <is>
          <t>Inpatient</t>
        </is>
      </c>
      <c r="E193" s="26" t="inlineStr">
        <is>
          <t>Demo Regional Medical Center</t>
        </is>
      </c>
      <c r="F193" s="26" t="inlineStr">
        <is>
          <t>Nutrition</t>
        </is>
      </c>
      <c r="G193" s="26" t="inlineStr">
        <is>
          <t>2026-09-21</t>
        </is>
      </c>
      <c r="H193" s="26" t="inlineStr">
        <is>
          <t>NUTR-ASSESS</t>
        </is>
      </c>
      <c r="I193" s="26" t="inlineStr">
        <is>
          <t>Inpatient Nutrition Assessment</t>
        </is>
      </c>
      <c r="J193" s="26" t="inlineStr">
        <is>
          <t>0942</t>
        </is>
      </c>
      <c r="K193" s="26" t="inlineStr">
        <is>
          <t>97802</t>
        </is>
      </c>
      <c r="L193" s="26" t="n"/>
      <c r="M193" s="26" t="n">
        <v>1</v>
      </c>
      <c r="N193" s="13" t="n">
        <v>325</v>
      </c>
      <c r="O193" s="13">
        <f>M193*N193</f>
        <v/>
      </c>
      <c r="P193" s="13" t="n">
        <v>147.41</v>
      </c>
      <c r="Q193" s="13">
        <f>P193*20%</f>
        <v/>
      </c>
      <c r="R193" s="13">
        <f>O193-P193</f>
        <v/>
      </c>
      <c r="S193" s="26" t="inlineStr">
        <is>
          <t>Athena Health Insurance</t>
        </is>
      </c>
      <c r="T193" s="26" t="inlineStr">
        <is>
          <t>Athena PPO</t>
        </is>
      </c>
      <c r="U193" s="26" t="n"/>
      <c r="V193" s="26" t="inlineStr">
        <is>
          <t>Eleanor Brooks, MD</t>
        </is>
      </c>
      <c r="W193" s="26" t="inlineStr">
        <is>
          <t>Assigned Department Provider</t>
        </is>
      </c>
      <c r="X193" s="26" t="inlineStr">
        <is>
          <t>Dietary</t>
        </is>
      </c>
      <c r="Y193" s="26" t="inlineStr">
        <is>
          <t>Note signed</t>
        </is>
      </c>
      <c r="Z193" s="26" t="inlineStr">
        <is>
          <t>Posted</t>
        </is>
      </c>
      <c r="AA193" s="26" t="inlineStr">
        <is>
          <t>Matched</t>
        </is>
      </c>
      <c r="AB193" s="26" t="inlineStr">
        <is>
          <t>Passed</t>
        </is>
      </c>
      <c r="AC193" s="26" t="n"/>
      <c r="AD193" s="26" t="inlineStr">
        <is>
          <t>N/A</t>
        </is>
      </c>
      <c r="AE193" s="26" t="inlineStr">
        <is>
          <t>E44.1</t>
        </is>
      </c>
      <c r="AF193" s="26" t="inlineStr">
        <is>
          <t>21</t>
        </is>
      </c>
      <c r="AG193" s="26" t="inlineStr">
        <is>
          <t>2026-09-21 16:30</t>
        </is>
      </c>
      <c r="AH193" s="26" t="inlineStr">
        <is>
          <t>Synthetic Athena negotiated charge</t>
        </is>
      </c>
    </row>
    <row r="194">
      <c r="A194" s="26" t="inlineStr">
        <is>
          <t>IPD-CHG-0095-CGH</t>
        </is>
      </c>
      <c r="B194" s="26" t="inlineStr">
        <is>
          <t>HAR-202600095-CGH</t>
        </is>
      </c>
      <c r="C194" s="26" t="inlineStr">
        <is>
          <t>CSN-IPD-780095-CGH</t>
        </is>
      </c>
      <c r="D194" s="26" t="inlineStr">
        <is>
          <t>Inpatient</t>
        </is>
      </c>
      <c r="E194" s="26" t="inlineStr">
        <is>
          <t>Demo Regional Medical Center</t>
        </is>
      </c>
      <c r="F194" s="26" t="inlineStr">
        <is>
          <t>Nutrition</t>
        </is>
      </c>
      <c r="G194" s="26" t="inlineStr">
        <is>
          <t>2026-09-21</t>
        </is>
      </c>
      <c r="H194" s="26" t="inlineStr">
        <is>
          <t>NUTR-ASSESS</t>
        </is>
      </c>
      <c r="I194" s="26" t="inlineStr">
        <is>
          <t>Inpatient Nutrition Assessment</t>
        </is>
      </c>
      <c r="J194" s="26" t="inlineStr">
        <is>
          <t>0942</t>
        </is>
      </c>
      <c r="K194" s="26" t="inlineStr">
        <is>
          <t>97802</t>
        </is>
      </c>
      <c r="L194" s="26" t="n"/>
      <c r="M194" s="26" t="n">
        <v>1</v>
      </c>
      <c r="N194" s="13" t="n">
        <v>325</v>
      </c>
      <c r="O194" s="13">
        <f>M194*N194</f>
        <v/>
      </c>
      <c r="P194" s="13" t="n">
        <v>132.67</v>
      </c>
      <c r="Q194" s="13">
        <f>P194*15%</f>
        <v/>
      </c>
      <c r="R194" s="13">
        <f>O194-P194</f>
        <v/>
      </c>
      <c r="S194" s="26" t="inlineStr">
        <is>
          <t>Care Gap Health</t>
        </is>
      </c>
      <c r="T194" s="26" t="inlineStr">
        <is>
          <t>Care Gap Value PPO</t>
        </is>
      </c>
      <c r="U194" s="26" t="n"/>
      <c r="V194" s="26" t="inlineStr">
        <is>
          <t>Eleanor Brooks, MD</t>
        </is>
      </c>
      <c r="W194" s="26" t="inlineStr">
        <is>
          <t>Assigned Department Provider</t>
        </is>
      </c>
      <c r="X194" s="26" t="inlineStr">
        <is>
          <t>Dietary</t>
        </is>
      </c>
      <c r="Y194" s="26" t="inlineStr">
        <is>
          <t>Note signed</t>
        </is>
      </c>
      <c r="Z194" s="26" t="inlineStr">
        <is>
          <t>Posted</t>
        </is>
      </c>
      <c r="AA194" s="26" t="inlineStr">
        <is>
          <t>Matched</t>
        </is>
      </c>
      <c r="AB194" s="26" t="inlineStr">
        <is>
          <t>Passed</t>
        </is>
      </c>
      <c r="AC194" s="26" t="n"/>
      <c r="AD194" s="26" t="inlineStr">
        <is>
          <t>N/A</t>
        </is>
      </c>
      <c r="AE194" s="26" t="inlineStr">
        <is>
          <t>E44.1</t>
        </is>
      </c>
      <c r="AF194" s="26" t="inlineStr">
        <is>
          <t>21</t>
        </is>
      </c>
      <c r="AG194" s="26" t="inlineStr">
        <is>
          <t>2026-09-21 16:30</t>
        </is>
      </c>
      <c r="AH194" s="26" t="inlineStr">
        <is>
          <t>Synthetic Care Gap charge; 10% below Athena allowed amount</t>
        </is>
      </c>
    </row>
    <row r="195">
      <c r="A195" s="26" t="inlineStr">
        <is>
          <t>IPD-CHG-0096-ATH</t>
        </is>
      </c>
      <c r="B195" s="26" t="inlineStr">
        <is>
          <t>HAR-202600096-ATH</t>
        </is>
      </c>
      <c r="C195" s="26" t="inlineStr">
        <is>
          <t>CSN-IPD-780096-ATH</t>
        </is>
      </c>
      <c r="D195" s="26" t="inlineStr">
        <is>
          <t>Inpatient</t>
        </is>
      </c>
      <c r="E195" s="26" t="inlineStr">
        <is>
          <t>Demo Regional Medical Center</t>
        </is>
      </c>
      <c r="F195" s="26" t="inlineStr">
        <is>
          <t>Dialysis</t>
        </is>
      </c>
      <c r="G195" s="26" t="inlineStr">
        <is>
          <t>2026-09-22</t>
        </is>
      </c>
      <c r="H195" s="26" t="inlineStr">
        <is>
          <t>DIALYSIS-IP</t>
        </is>
      </c>
      <c r="I195" s="26" t="inlineStr">
        <is>
          <t>Inpatient Hemodialysis Treatment</t>
        </is>
      </c>
      <c r="J195" s="26" t="inlineStr">
        <is>
          <t>0801</t>
        </is>
      </c>
      <c r="K195" s="26" t="inlineStr">
        <is>
          <t>90935</t>
        </is>
      </c>
      <c r="L195" s="26" t="n"/>
      <c r="M195" s="26" t="n">
        <v>1</v>
      </c>
      <c r="N195" s="13" t="n">
        <v>1600</v>
      </c>
      <c r="O195" s="13">
        <f>M195*N195</f>
        <v/>
      </c>
      <c r="P195" s="13" t="n">
        <v>846.23</v>
      </c>
      <c r="Q195" s="13">
        <f>P195*20%</f>
        <v/>
      </c>
      <c r="R195" s="13">
        <f>O195-P195</f>
        <v/>
      </c>
      <c r="S195" s="26" t="inlineStr">
        <is>
          <t>Athena Health Insurance</t>
        </is>
      </c>
      <c r="T195" s="26" t="inlineStr">
        <is>
          <t>Athena PPO</t>
        </is>
      </c>
      <c r="U195" s="26" t="n"/>
      <c r="V195" s="26" t="inlineStr">
        <is>
          <t>Eleanor Brooks, MD</t>
        </is>
      </c>
      <c r="W195" s="26" t="inlineStr">
        <is>
          <t>Assigned Department Provider</t>
        </is>
      </c>
      <c r="X195" s="26" t="inlineStr">
        <is>
          <t>Dialysis</t>
        </is>
      </c>
      <c r="Y195" s="26" t="inlineStr">
        <is>
          <t>Treatment completed</t>
        </is>
      </c>
      <c r="Z195" s="26" t="inlineStr">
        <is>
          <t>Posted</t>
        </is>
      </c>
      <c r="AA195" s="26" t="inlineStr">
        <is>
          <t>Matched</t>
        </is>
      </c>
      <c r="AB195" s="26" t="inlineStr">
        <is>
          <t>Passed</t>
        </is>
      </c>
      <c r="AC195" s="26" t="n"/>
      <c r="AD195" s="26" t="inlineStr">
        <is>
          <t>Diagnosis/LCD</t>
        </is>
      </c>
      <c r="AE195" s="26" t="inlineStr">
        <is>
          <t>N18.6</t>
        </is>
      </c>
      <c r="AF195" s="26" t="inlineStr">
        <is>
          <t>21</t>
        </is>
      </c>
      <c r="AG195" s="26" t="inlineStr">
        <is>
          <t>2026-09-22 16:30</t>
        </is>
      </c>
      <c r="AH195" s="26" t="inlineStr">
        <is>
          <t>Synthetic Athena negotiated charge</t>
        </is>
      </c>
    </row>
    <row r="196">
      <c r="A196" s="26" t="inlineStr">
        <is>
          <t>IPD-CHG-0096-CGH</t>
        </is>
      </c>
      <c r="B196" s="26" t="inlineStr">
        <is>
          <t>HAR-202600096-CGH</t>
        </is>
      </c>
      <c r="C196" s="26" t="inlineStr">
        <is>
          <t>CSN-IPD-780096-CGH</t>
        </is>
      </c>
      <c r="D196" s="26" t="inlineStr">
        <is>
          <t>Inpatient</t>
        </is>
      </c>
      <c r="E196" s="26" t="inlineStr">
        <is>
          <t>Demo Regional Medical Center</t>
        </is>
      </c>
      <c r="F196" s="26" t="inlineStr">
        <is>
          <t>Dialysis</t>
        </is>
      </c>
      <c r="G196" s="26" t="inlineStr">
        <is>
          <t>2026-09-22</t>
        </is>
      </c>
      <c r="H196" s="26" t="inlineStr">
        <is>
          <t>DIALYSIS-IP</t>
        </is>
      </c>
      <c r="I196" s="26" t="inlineStr">
        <is>
          <t>Inpatient Hemodialysis Treatment</t>
        </is>
      </c>
      <c r="J196" s="26" t="inlineStr">
        <is>
          <t>0801</t>
        </is>
      </c>
      <c r="K196" s="26" t="inlineStr">
        <is>
          <t>90935</t>
        </is>
      </c>
      <c r="L196" s="26" t="n"/>
      <c r="M196" s="26" t="n">
        <v>1</v>
      </c>
      <c r="N196" s="13" t="n">
        <v>1600</v>
      </c>
      <c r="O196" s="13">
        <f>M196*N196</f>
        <v/>
      </c>
      <c r="P196" s="13" t="n">
        <v>761.61</v>
      </c>
      <c r="Q196" s="13">
        <f>P196*15%</f>
        <v/>
      </c>
      <c r="R196" s="13">
        <f>O196-P196</f>
        <v/>
      </c>
      <c r="S196" s="26" t="inlineStr">
        <is>
          <t>Care Gap Health</t>
        </is>
      </c>
      <c r="T196" s="26" t="inlineStr">
        <is>
          <t>Care Gap Value PPO</t>
        </is>
      </c>
      <c r="U196" s="26" t="n"/>
      <c r="V196" s="26" t="inlineStr">
        <is>
          <t>Eleanor Brooks, MD</t>
        </is>
      </c>
      <c r="W196" s="26" t="inlineStr">
        <is>
          <t>Assigned Department Provider</t>
        </is>
      </c>
      <c r="X196" s="26" t="inlineStr">
        <is>
          <t>Dialysis</t>
        </is>
      </c>
      <c r="Y196" s="26" t="inlineStr">
        <is>
          <t>Treatment completed</t>
        </is>
      </c>
      <c r="Z196" s="26" t="inlineStr">
        <is>
          <t>Posted</t>
        </is>
      </c>
      <c r="AA196" s="26" t="inlineStr">
        <is>
          <t>Matched</t>
        </is>
      </c>
      <c r="AB196" s="26" t="inlineStr">
        <is>
          <t>Passed</t>
        </is>
      </c>
      <c r="AC196" s="26" t="n"/>
      <c r="AD196" s="26" t="inlineStr">
        <is>
          <t>Diagnosis/LCD</t>
        </is>
      </c>
      <c r="AE196" s="26" t="inlineStr">
        <is>
          <t>N18.6</t>
        </is>
      </c>
      <c r="AF196" s="26" t="inlineStr">
        <is>
          <t>21</t>
        </is>
      </c>
      <c r="AG196" s="26" t="inlineStr">
        <is>
          <t>2026-09-22 16:30</t>
        </is>
      </c>
      <c r="AH196" s="26" t="inlineStr">
        <is>
          <t>Synthetic Care Gap charge; 10% below Athena allowed amount</t>
        </is>
      </c>
    </row>
    <row r="197">
      <c r="A197" s="26" t="inlineStr">
        <is>
          <t>IPD-CHG-0097-ATH</t>
        </is>
      </c>
      <c r="B197" s="26" t="inlineStr">
        <is>
          <t>HAR-202600097-ATH</t>
        </is>
      </c>
      <c r="C197" s="26" t="inlineStr">
        <is>
          <t>CSN-IPD-780097-ATH</t>
        </is>
      </c>
      <c r="D197" s="26" t="inlineStr">
        <is>
          <t>Inpatient</t>
        </is>
      </c>
      <c r="E197" s="26" t="inlineStr">
        <is>
          <t>Demo Regional Medical Center</t>
        </is>
      </c>
      <c r="F197" s="26" t="inlineStr">
        <is>
          <t>Accommodation</t>
        </is>
      </c>
      <c r="G197" s="26" t="inlineStr">
        <is>
          <t>2026-09-23</t>
        </is>
      </c>
      <c r="H197" s="26" t="inlineStr">
        <is>
          <t>RM-SEMI-DAY</t>
        </is>
      </c>
      <c r="I197" s="26" t="inlineStr">
        <is>
          <t>Semiprivate Medical/Surgical Room</t>
        </is>
      </c>
      <c r="J197" s="26" t="inlineStr">
        <is>
          <t>0120</t>
        </is>
      </c>
      <c r="K197" s="26" t="n"/>
      <c r="L197" s="26" t="n"/>
      <c r="M197" s="26" t="n">
        <v>3</v>
      </c>
      <c r="N197" s="13" t="n">
        <v>3500</v>
      </c>
      <c r="O197" s="13">
        <f>M197*N197</f>
        <v/>
      </c>
      <c r="P197" s="13" t="n">
        <v>5164.27</v>
      </c>
      <c r="Q197" s="13">
        <f>P197*20%</f>
        <v/>
      </c>
      <c r="R197" s="13">
        <f>O197-P197</f>
        <v/>
      </c>
      <c r="S197" s="26" t="inlineStr">
        <is>
          <t>Athena Health Insurance</t>
        </is>
      </c>
      <c r="T197" s="26" t="inlineStr">
        <is>
          <t>Athena PPO</t>
        </is>
      </c>
      <c r="U197" s="26" t="n"/>
      <c r="V197" s="26" t="inlineStr">
        <is>
          <t>Eleanor Brooks, MD</t>
        </is>
      </c>
      <c r="W197" s="26" t="inlineStr">
        <is>
          <t>Assigned Department Provider</t>
        </is>
      </c>
      <c r="X197" s="26" t="inlineStr">
        <is>
          <t>ADT</t>
        </is>
      </c>
      <c r="Y197" s="26" t="inlineStr">
        <is>
          <t>Midnight census</t>
        </is>
      </c>
      <c r="Z197" s="26" t="inlineStr">
        <is>
          <t>Posted</t>
        </is>
      </c>
      <c r="AA197" s="26" t="inlineStr">
        <is>
          <t>Matched</t>
        </is>
      </c>
      <c r="AB197" s="26" t="inlineStr">
        <is>
          <t>Passed</t>
        </is>
      </c>
      <c r="AC197" s="26" t="n"/>
      <c r="AD197" s="26" t="inlineStr">
        <is>
          <t>N/A</t>
        </is>
      </c>
      <c r="AE197" s="26" t="inlineStr">
        <is>
          <t>M17.11</t>
        </is>
      </c>
      <c r="AF197" s="26" t="inlineStr">
        <is>
          <t>21</t>
        </is>
      </c>
      <c r="AG197" s="26" t="inlineStr">
        <is>
          <t>2026-09-23 16:30</t>
        </is>
      </c>
      <c r="AH197" s="26" t="inlineStr">
        <is>
          <t>Synthetic Athena negotiated charge</t>
        </is>
      </c>
    </row>
    <row r="198">
      <c r="A198" s="26" t="inlineStr">
        <is>
          <t>IPD-CHG-0097-CGH</t>
        </is>
      </c>
      <c r="B198" s="26" t="inlineStr">
        <is>
          <t>HAR-202600097-CGH</t>
        </is>
      </c>
      <c r="C198" s="26" t="inlineStr">
        <is>
          <t>CSN-IPD-780097-CGH</t>
        </is>
      </c>
      <c r="D198" s="26" t="inlineStr">
        <is>
          <t>Inpatient</t>
        </is>
      </c>
      <c r="E198" s="26" t="inlineStr">
        <is>
          <t>Demo Regional Medical Center</t>
        </is>
      </c>
      <c r="F198" s="26" t="inlineStr">
        <is>
          <t>Accommodation</t>
        </is>
      </c>
      <c r="G198" s="26" t="inlineStr">
        <is>
          <t>2026-09-23</t>
        </is>
      </c>
      <c r="H198" s="26" t="inlineStr">
        <is>
          <t>RM-SEMI-DAY</t>
        </is>
      </c>
      <c r="I198" s="26" t="inlineStr">
        <is>
          <t>Semiprivate Medical/Surgical Room</t>
        </is>
      </c>
      <c r="J198" s="26" t="inlineStr">
        <is>
          <t>0120</t>
        </is>
      </c>
      <c r="K198" s="26" t="n"/>
      <c r="L198" s="26" t="n"/>
      <c r="M198" s="26" t="n">
        <v>3</v>
      </c>
      <c r="N198" s="13" t="n">
        <v>3500</v>
      </c>
      <c r="O198" s="13">
        <f>M198*N198</f>
        <v/>
      </c>
      <c r="P198" s="13" t="n">
        <v>4647.84</v>
      </c>
      <c r="Q198" s="13">
        <f>P198*15%</f>
        <v/>
      </c>
      <c r="R198" s="13">
        <f>O198-P198</f>
        <v/>
      </c>
      <c r="S198" s="26" t="inlineStr">
        <is>
          <t>Care Gap Health</t>
        </is>
      </c>
      <c r="T198" s="26" t="inlineStr">
        <is>
          <t>Care Gap Value PPO</t>
        </is>
      </c>
      <c r="U198" s="26" t="n"/>
      <c r="V198" s="26" t="inlineStr">
        <is>
          <t>Eleanor Brooks, MD</t>
        </is>
      </c>
      <c r="W198" s="26" t="inlineStr">
        <is>
          <t>Assigned Department Provider</t>
        </is>
      </c>
      <c r="X198" s="26" t="inlineStr">
        <is>
          <t>ADT</t>
        </is>
      </c>
      <c r="Y198" s="26" t="inlineStr">
        <is>
          <t>Midnight census</t>
        </is>
      </c>
      <c r="Z198" s="26" t="inlineStr">
        <is>
          <t>Posted</t>
        </is>
      </c>
      <c r="AA198" s="26" t="inlineStr">
        <is>
          <t>Matched</t>
        </is>
      </c>
      <c r="AB198" s="26" t="inlineStr">
        <is>
          <t>Passed</t>
        </is>
      </c>
      <c r="AC198" s="26" t="n"/>
      <c r="AD198" s="26" t="inlineStr">
        <is>
          <t>N/A</t>
        </is>
      </c>
      <c r="AE198" s="26" t="inlineStr">
        <is>
          <t>M17.11</t>
        </is>
      </c>
      <c r="AF198" s="26" t="inlineStr">
        <is>
          <t>21</t>
        </is>
      </c>
      <c r="AG198" s="26" t="inlineStr">
        <is>
          <t>2026-09-23 16:30</t>
        </is>
      </c>
      <c r="AH198" s="26" t="inlineStr">
        <is>
          <t>Synthetic Care Gap charge; 10% below Athena allowed amount</t>
        </is>
      </c>
    </row>
    <row r="199">
      <c r="A199" s="26" t="inlineStr">
        <is>
          <t>IPD-CHG-0098-ATH</t>
        </is>
      </c>
      <c r="B199" s="26" t="inlineStr">
        <is>
          <t>HAR-202600098-ATH</t>
        </is>
      </c>
      <c r="C199" s="26" t="inlineStr">
        <is>
          <t>CSN-IPD-780098-ATH</t>
        </is>
      </c>
      <c r="D199" s="26" t="inlineStr">
        <is>
          <t>Inpatient</t>
        </is>
      </c>
      <c r="E199" s="26" t="inlineStr">
        <is>
          <t>Demo Regional Medical Center</t>
        </is>
      </c>
      <c r="F199" s="26" t="inlineStr">
        <is>
          <t>Accommodation</t>
        </is>
      </c>
      <c r="G199" s="26" t="inlineStr">
        <is>
          <t>2026-09-24</t>
        </is>
      </c>
      <c r="H199" s="26" t="inlineStr">
        <is>
          <t>RM-PRIV-DAY</t>
        </is>
      </c>
      <c r="I199" s="26" t="inlineStr">
        <is>
          <t>Private Medical/Surgical Room</t>
        </is>
      </c>
      <c r="J199" s="26" t="inlineStr">
        <is>
          <t>0110</t>
        </is>
      </c>
      <c r="K199" s="26" t="n"/>
      <c r="L199" s="26" t="n"/>
      <c r="M199" s="26" t="n">
        <v>2</v>
      </c>
      <c r="N199" s="13" t="n">
        <v>4600</v>
      </c>
      <c r="O199" s="13">
        <f>M199*N199</f>
        <v/>
      </c>
      <c r="P199" s="13" t="n">
        <v>6287.31</v>
      </c>
      <c r="Q199" s="13">
        <f>P199*20%</f>
        <v/>
      </c>
      <c r="R199" s="13">
        <f>O199-P199</f>
        <v/>
      </c>
      <c r="S199" s="26" t="inlineStr">
        <is>
          <t>Athena Health Insurance</t>
        </is>
      </c>
      <c r="T199" s="26" t="inlineStr">
        <is>
          <t>Athena PPO</t>
        </is>
      </c>
      <c r="U199" s="26" t="n"/>
      <c r="V199" s="26" t="inlineStr">
        <is>
          <t>Eleanor Brooks, MD</t>
        </is>
      </c>
      <c r="W199" s="26" t="inlineStr">
        <is>
          <t>Assigned Department Provider</t>
        </is>
      </c>
      <c r="X199" s="26" t="inlineStr">
        <is>
          <t>ADT</t>
        </is>
      </c>
      <c r="Y199" s="26" t="inlineStr">
        <is>
          <t>Midnight census</t>
        </is>
      </c>
      <c r="Z199" s="26" t="inlineStr">
        <is>
          <t>Posted</t>
        </is>
      </c>
      <c r="AA199" s="26" t="inlineStr">
        <is>
          <t>Matched</t>
        </is>
      </c>
      <c r="AB199" s="26" t="inlineStr">
        <is>
          <t>Passed</t>
        </is>
      </c>
      <c r="AC199" s="26" t="n"/>
      <c r="AD199" s="26" t="inlineStr">
        <is>
          <t>N/A</t>
        </is>
      </c>
      <c r="AE199" s="26" t="inlineStr">
        <is>
          <t>M17.11</t>
        </is>
      </c>
      <c r="AF199" s="26" t="inlineStr">
        <is>
          <t>21</t>
        </is>
      </c>
      <c r="AG199" s="26" t="inlineStr">
        <is>
          <t>2026-09-24 16:30</t>
        </is>
      </c>
      <c r="AH199" s="26" t="inlineStr">
        <is>
          <t>Synthetic Athena negotiated charge</t>
        </is>
      </c>
    </row>
    <row r="200">
      <c r="A200" s="26" t="inlineStr">
        <is>
          <t>IPD-CHG-0098-CGH</t>
        </is>
      </c>
      <c r="B200" s="26" t="inlineStr">
        <is>
          <t>HAR-202600098-CGH</t>
        </is>
      </c>
      <c r="C200" s="26" t="inlineStr">
        <is>
          <t>CSN-IPD-780098-CGH</t>
        </is>
      </c>
      <c r="D200" s="26" t="inlineStr">
        <is>
          <t>Inpatient</t>
        </is>
      </c>
      <c r="E200" s="26" t="inlineStr">
        <is>
          <t>Demo Regional Medical Center</t>
        </is>
      </c>
      <c r="F200" s="26" t="inlineStr">
        <is>
          <t>Accommodation</t>
        </is>
      </c>
      <c r="G200" s="26" t="inlineStr">
        <is>
          <t>2026-09-24</t>
        </is>
      </c>
      <c r="H200" s="26" t="inlineStr">
        <is>
          <t>RM-PRIV-DAY</t>
        </is>
      </c>
      <c r="I200" s="26" t="inlineStr">
        <is>
          <t>Private Medical/Surgical Room</t>
        </is>
      </c>
      <c r="J200" s="26" t="inlineStr">
        <is>
          <t>0110</t>
        </is>
      </c>
      <c r="K200" s="26" t="n"/>
      <c r="L200" s="26" t="n"/>
      <c r="M200" s="26" t="n">
        <v>2</v>
      </c>
      <c r="N200" s="13" t="n">
        <v>4600</v>
      </c>
      <c r="O200" s="13">
        <f>M200*N200</f>
        <v/>
      </c>
      <c r="P200" s="13" t="n">
        <v>5658.58</v>
      </c>
      <c r="Q200" s="13">
        <f>P200*15%</f>
        <v/>
      </c>
      <c r="R200" s="13">
        <f>O200-P200</f>
        <v/>
      </c>
      <c r="S200" s="26" t="inlineStr">
        <is>
          <t>Care Gap Health</t>
        </is>
      </c>
      <c r="T200" s="26" t="inlineStr">
        <is>
          <t>Care Gap Value PPO</t>
        </is>
      </c>
      <c r="U200" s="26" t="n"/>
      <c r="V200" s="26" t="inlineStr">
        <is>
          <t>Eleanor Brooks, MD</t>
        </is>
      </c>
      <c r="W200" s="26" t="inlineStr">
        <is>
          <t>Assigned Department Provider</t>
        </is>
      </c>
      <c r="X200" s="26" t="inlineStr">
        <is>
          <t>ADT</t>
        </is>
      </c>
      <c r="Y200" s="26" t="inlineStr">
        <is>
          <t>Midnight census</t>
        </is>
      </c>
      <c r="Z200" s="26" t="inlineStr">
        <is>
          <t>Posted</t>
        </is>
      </c>
      <c r="AA200" s="26" t="inlineStr">
        <is>
          <t>Matched</t>
        </is>
      </c>
      <c r="AB200" s="26" t="inlineStr">
        <is>
          <t>Passed</t>
        </is>
      </c>
      <c r="AC200" s="26" t="n"/>
      <c r="AD200" s="26" t="inlineStr">
        <is>
          <t>N/A</t>
        </is>
      </c>
      <c r="AE200" s="26" t="inlineStr">
        <is>
          <t>M17.11</t>
        </is>
      </c>
      <c r="AF200" s="26" t="inlineStr">
        <is>
          <t>21</t>
        </is>
      </c>
      <c r="AG200" s="26" t="inlineStr">
        <is>
          <t>2026-09-24 16:30</t>
        </is>
      </c>
      <c r="AH200" s="26" t="inlineStr">
        <is>
          <t>Synthetic Care Gap charge; 10% below Athena allowed amount</t>
        </is>
      </c>
    </row>
    <row r="201">
      <c r="A201" s="26" t="inlineStr">
        <is>
          <t>IPD-CHG-0099-ATH</t>
        </is>
      </c>
      <c r="B201" s="26" t="inlineStr">
        <is>
          <t>HAR-202600099-ATH</t>
        </is>
      </c>
      <c r="C201" s="26" t="inlineStr">
        <is>
          <t>CSN-IPD-780099-ATH</t>
        </is>
      </c>
      <c r="D201" s="26" t="inlineStr">
        <is>
          <t>Inpatient</t>
        </is>
      </c>
      <c r="E201" s="26" t="inlineStr">
        <is>
          <t>Demo Regional Medical Center</t>
        </is>
      </c>
      <c r="F201" s="26" t="inlineStr">
        <is>
          <t>Intensive Care</t>
        </is>
      </c>
      <c r="G201" s="26" t="inlineStr">
        <is>
          <t>2026-09-25</t>
        </is>
      </c>
      <c r="H201" s="26" t="inlineStr">
        <is>
          <t>ICU-DAY</t>
        </is>
      </c>
      <c r="I201" s="26" t="inlineStr">
        <is>
          <t>Intensive Care Unit Room</t>
        </is>
      </c>
      <c r="J201" s="26" t="inlineStr">
        <is>
          <t>0200</t>
        </is>
      </c>
      <c r="K201" s="26" t="n"/>
      <c r="L201" s="26" t="n"/>
      <c r="M201" s="26" t="n">
        <v>1</v>
      </c>
      <c r="N201" s="13" t="n">
        <v>8200</v>
      </c>
      <c r="O201" s="13">
        <f>M201*N201</f>
        <v/>
      </c>
      <c r="P201" s="13" t="n">
        <v>3654.71</v>
      </c>
      <c r="Q201" s="13">
        <f>P201*20%</f>
        <v/>
      </c>
      <c r="R201" s="13">
        <f>O201-P201</f>
        <v/>
      </c>
      <c r="S201" s="26" t="inlineStr">
        <is>
          <t>Athena Health Insurance</t>
        </is>
      </c>
      <c r="T201" s="26" t="inlineStr">
        <is>
          <t>Athena PPO</t>
        </is>
      </c>
      <c r="U201" s="26" t="n"/>
      <c r="V201" s="26" t="inlineStr">
        <is>
          <t>Eleanor Brooks, MD</t>
        </is>
      </c>
      <c r="W201" s="26" t="inlineStr">
        <is>
          <t>Assigned Department Provider</t>
        </is>
      </c>
      <c r="X201" s="26" t="inlineStr">
        <is>
          <t>ADT</t>
        </is>
      </c>
      <c r="Y201" s="26" t="inlineStr">
        <is>
          <t>Midnight census</t>
        </is>
      </c>
      <c r="Z201" s="26" t="inlineStr">
        <is>
          <t>Posted</t>
        </is>
      </c>
      <c r="AA201" s="26" t="inlineStr">
        <is>
          <t>Matched</t>
        </is>
      </c>
      <c r="AB201" s="26" t="inlineStr">
        <is>
          <t>Passed</t>
        </is>
      </c>
      <c r="AC201" s="26" t="n"/>
      <c r="AD201" s="26" t="inlineStr">
        <is>
          <t>N/A</t>
        </is>
      </c>
      <c r="AE201" s="26" t="inlineStr">
        <is>
          <t>J96.01</t>
        </is>
      </c>
      <c r="AF201" s="26" t="inlineStr">
        <is>
          <t>21</t>
        </is>
      </c>
      <c r="AG201" s="26" t="inlineStr">
        <is>
          <t>2026-09-25 16:30</t>
        </is>
      </c>
      <c r="AH201" s="26" t="inlineStr">
        <is>
          <t>Synthetic Athena negotiated charge</t>
        </is>
      </c>
    </row>
    <row r="202">
      <c r="A202" s="26" t="inlineStr">
        <is>
          <t>IPD-CHG-0099-CGH</t>
        </is>
      </c>
      <c r="B202" s="26" t="inlineStr">
        <is>
          <t>HAR-202600099-CGH</t>
        </is>
      </c>
      <c r="C202" s="26" t="inlineStr">
        <is>
          <t>CSN-IPD-780099-CGH</t>
        </is>
      </c>
      <c r="D202" s="26" t="inlineStr">
        <is>
          <t>Inpatient</t>
        </is>
      </c>
      <c r="E202" s="26" t="inlineStr">
        <is>
          <t>Demo Regional Medical Center</t>
        </is>
      </c>
      <c r="F202" s="26" t="inlineStr">
        <is>
          <t>Intensive Care</t>
        </is>
      </c>
      <c r="G202" s="26" t="inlineStr">
        <is>
          <t>2026-09-25</t>
        </is>
      </c>
      <c r="H202" s="26" t="inlineStr">
        <is>
          <t>ICU-DAY</t>
        </is>
      </c>
      <c r="I202" s="26" t="inlineStr">
        <is>
          <t>Intensive Care Unit Room</t>
        </is>
      </c>
      <c r="J202" s="26" t="inlineStr">
        <is>
          <t>0200</t>
        </is>
      </c>
      <c r="K202" s="26" t="n"/>
      <c r="L202" s="26" t="n"/>
      <c r="M202" s="26" t="n">
        <v>1</v>
      </c>
      <c r="N202" s="13" t="n">
        <v>8200</v>
      </c>
      <c r="O202" s="13">
        <f>M202*N202</f>
        <v/>
      </c>
      <c r="P202" s="13" t="n">
        <v>3289.24</v>
      </c>
      <c r="Q202" s="13">
        <f>P202*15%</f>
        <v/>
      </c>
      <c r="R202" s="13">
        <f>O202-P202</f>
        <v/>
      </c>
      <c r="S202" s="26" t="inlineStr">
        <is>
          <t>Care Gap Health</t>
        </is>
      </c>
      <c r="T202" s="26" t="inlineStr">
        <is>
          <t>Care Gap Value PPO</t>
        </is>
      </c>
      <c r="U202" s="26" t="n"/>
      <c r="V202" s="26" t="inlineStr">
        <is>
          <t>Eleanor Brooks, MD</t>
        </is>
      </c>
      <c r="W202" s="26" t="inlineStr">
        <is>
          <t>Assigned Department Provider</t>
        </is>
      </c>
      <c r="X202" s="26" t="inlineStr">
        <is>
          <t>ADT</t>
        </is>
      </c>
      <c r="Y202" s="26" t="inlineStr">
        <is>
          <t>Midnight census</t>
        </is>
      </c>
      <c r="Z202" s="26" t="inlineStr">
        <is>
          <t>Posted</t>
        </is>
      </c>
      <c r="AA202" s="26" t="inlineStr">
        <is>
          <t>Matched</t>
        </is>
      </c>
      <c r="AB202" s="26" t="inlineStr">
        <is>
          <t>Passed</t>
        </is>
      </c>
      <c r="AC202" s="26" t="n"/>
      <c r="AD202" s="26" t="inlineStr">
        <is>
          <t>N/A</t>
        </is>
      </c>
      <c r="AE202" s="26" t="inlineStr">
        <is>
          <t>J96.01</t>
        </is>
      </c>
      <c r="AF202" s="26" t="inlineStr">
        <is>
          <t>21</t>
        </is>
      </c>
      <c r="AG202" s="26" t="inlineStr">
        <is>
          <t>2026-09-25 16:30</t>
        </is>
      </c>
      <c r="AH202" s="26" t="inlineStr">
        <is>
          <t>Synthetic Care Gap charge; 10% below Athena allowed amount</t>
        </is>
      </c>
    </row>
    <row r="203">
      <c r="A203" s="26" t="inlineStr">
        <is>
          <t>IPD-CHG-0100-ATH</t>
        </is>
      </c>
      <c r="B203" s="26" t="inlineStr">
        <is>
          <t>HAR-202600100-ATH</t>
        </is>
      </c>
      <c r="C203" s="26" t="inlineStr">
        <is>
          <t>CSN-IPD-780100-ATH</t>
        </is>
      </c>
      <c r="D203" s="26" t="inlineStr">
        <is>
          <t>Inpatient</t>
        </is>
      </c>
      <c r="E203" s="26" t="inlineStr">
        <is>
          <t>Demo Regional Medical Center</t>
        </is>
      </c>
      <c r="F203" s="26" t="inlineStr">
        <is>
          <t>Operating Room</t>
        </is>
      </c>
      <c r="G203" s="26" t="inlineStr">
        <is>
          <t>2026-09-01</t>
        </is>
      </c>
      <c r="H203" s="26" t="inlineStr">
        <is>
          <t>OR-MAJOR-1H</t>
        </is>
      </c>
      <c r="I203" s="26" t="inlineStr">
        <is>
          <t>Major Operating Room, First Hour</t>
        </is>
      </c>
      <c r="J203" s="26" t="inlineStr">
        <is>
          <t>0360</t>
        </is>
      </c>
      <c r="K203" s="26" t="n"/>
      <c r="L203" s="26" t="n"/>
      <c r="M203" s="26" t="n">
        <v>4</v>
      </c>
      <c r="N203" s="13" t="n">
        <v>10250</v>
      </c>
      <c r="O203" s="13">
        <f>M203*N203</f>
        <v/>
      </c>
      <c r="P203" s="13" t="n">
        <v>27257.09</v>
      </c>
      <c r="Q203" s="13">
        <f>P203*20%</f>
        <v/>
      </c>
      <c r="R203" s="13">
        <f>O203-P203</f>
        <v/>
      </c>
      <c r="S203" s="26" t="inlineStr">
        <is>
          <t>Athena Health Insurance</t>
        </is>
      </c>
      <c r="T203" s="26" t="inlineStr">
        <is>
          <t>Athena PPO</t>
        </is>
      </c>
      <c r="U203" s="26" t="n"/>
      <c r="V203" s="26" t="inlineStr">
        <is>
          <t>Eleanor Brooks, MD</t>
        </is>
      </c>
      <c r="W203" s="26" t="inlineStr">
        <is>
          <t>Assigned Department Provider</t>
        </is>
      </c>
      <c r="X203" s="26" t="inlineStr">
        <is>
          <t>Perioperative</t>
        </is>
      </c>
      <c r="Y203" s="26" t="inlineStr">
        <is>
          <t>Procedure end</t>
        </is>
      </c>
      <c r="Z203" s="26" t="inlineStr">
        <is>
          <t>Posted</t>
        </is>
      </c>
      <c r="AA203" s="26" t="inlineStr">
        <is>
          <t>Matched</t>
        </is>
      </c>
      <c r="AB203" s="26" t="inlineStr">
        <is>
          <t>Passed</t>
        </is>
      </c>
      <c r="AC203" s="26" t="n"/>
      <c r="AD203" s="26" t="inlineStr">
        <is>
          <t>Procedure-specific</t>
        </is>
      </c>
      <c r="AE203" s="26" t="inlineStr">
        <is>
          <t>M17.11</t>
        </is>
      </c>
      <c r="AF203" s="26" t="inlineStr">
        <is>
          <t>21</t>
        </is>
      </c>
      <c r="AG203" s="26" t="inlineStr">
        <is>
          <t>2026-09-01 16:30</t>
        </is>
      </c>
      <c r="AH203" s="26" t="inlineStr">
        <is>
          <t>Synthetic Athena negotiated charge</t>
        </is>
      </c>
    </row>
    <row r="204">
      <c r="A204" s="26" t="inlineStr">
        <is>
          <t>IPD-CHG-0100-CGH</t>
        </is>
      </c>
      <c r="B204" s="26" t="inlineStr">
        <is>
          <t>HAR-202600100-CGH</t>
        </is>
      </c>
      <c r="C204" s="26" t="inlineStr">
        <is>
          <t>CSN-IPD-780100-CGH</t>
        </is>
      </c>
      <c r="D204" s="26" t="inlineStr">
        <is>
          <t>Inpatient</t>
        </is>
      </c>
      <c r="E204" s="26" t="inlineStr">
        <is>
          <t>Demo Regional Medical Center</t>
        </is>
      </c>
      <c r="F204" s="26" t="inlineStr">
        <is>
          <t>Operating Room</t>
        </is>
      </c>
      <c r="G204" s="26" t="inlineStr">
        <is>
          <t>2026-09-01</t>
        </is>
      </c>
      <c r="H204" s="26" t="inlineStr">
        <is>
          <t>OR-MAJOR-1H</t>
        </is>
      </c>
      <c r="I204" s="26" t="inlineStr">
        <is>
          <t>Major Operating Room, First Hour</t>
        </is>
      </c>
      <c r="J204" s="26" t="inlineStr">
        <is>
          <t>0360</t>
        </is>
      </c>
      <c r="K204" s="26" t="n"/>
      <c r="L204" s="26" t="n"/>
      <c r="M204" s="26" t="n">
        <v>4</v>
      </c>
      <c r="N204" s="13" t="n">
        <v>10250</v>
      </c>
      <c r="O204" s="13">
        <f>M204*N204</f>
        <v/>
      </c>
      <c r="P204" s="13" t="n">
        <v>24531.38</v>
      </c>
      <c r="Q204" s="13">
        <f>P204*15%</f>
        <v/>
      </c>
      <c r="R204" s="13">
        <f>O204-P204</f>
        <v/>
      </c>
      <c r="S204" s="26" t="inlineStr">
        <is>
          <t>Care Gap Health</t>
        </is>
      </c>
      <c r="T204" s="26" t="inlineStr">
        <is>
          <t>Care Gap Value PPO</t>
        </is>
      </c>
      <c r="U204" s="26" t="n"/>
      <c r="V204" s="26" t="inlineStr">
        <is>
          <t>Eleanor Brooks, MD</t>
        </is>
      </c>
      <c r="W204" s="26" t="inlineStr">
        <is>
          <t>Assigned Department Provider</t>
        </is>
      </c>
      <c r="X204" s="26" t="inlineStr">
        <is>
          <t>Perioperative</t>
        </is>
      </c>
      <c r="Y204" s="26" t="inlineStr">
        <is>
          <t>Procedure end</t>
        </is>
      </c>
      <c r="Z204" s="26" t="inlineStr">
        <is>
          <t>Posted</t>
        </is>
      </c>
      <c r="AA204" s="26" t="inlineStr">
        <is>
          <t>Matched</t>
        </is>
      </c>
      <c r="AB204" s="26" t="inlineStr">
        <is>
          <t>Passed</t>
        </is>
      </c>
      <c r="AC204" s="26" t="n"/>
      <c r="AD204" s="26" t="inlineStr">
        <is>
          <t>Procedure-specific</t>
        </is>
      </c>
      <c r="AE204" s="26" t="inlineStr">
        <is>
          <t>M17.11</t>
        </is>
      </c>
      <c r="AF204" s="26" t="inlineStr">
        <is>
          <t>21</t>
        </is>
      </c>
      <c r="AG204" s="26" t="inlineStr">
        <is>
          <t>2026-09-01 16:30</t>
        </is>
      </c>
      <c r="AH204" s="26" t="inlineStr">
        <is>
          <t>Synthetic Care Gap charge; 10% below Athena allowed amount</t>
        </is>
      </c>
    </row>
    <row r="205">
      <c r="A205" s="26" t="inlineStr">
        <is>
          <t>IPD-CHG-0101-ATH</t>
        </is>
      </c>
      <c r="B205" s="26" t="inlineStr">
        <is>
          <t>HAR-202600101-ATH</t>
        </is>
      </c>
      <c r="C205" s="26" t="inlineStr">
        <is>
          <t>CSN-IPD-780101-ATH</t>
        </is>
      </c>
      <c r="D205" s="26" t="inlineStr">
        <is>
          <t>Inpatient</t>
        </is>
      </c>
      <c r="E205" s="26" t="inlineStr">
        <is>
          <t>Demo Regional Medical Center</t>
        </is>
      </c>
      <c r="F205" s="26" t="inlineStr">
        <is>
          <t>Operating Room</t>
        </is>
      </c>
      <c r="G205" s="26" t="inlineStr">
        <is>
          <t>2026-09-02</t>
        </is>
      </c>
      <c r="H205" s="26" t="inlineStr">
        <is>
          <t>OR-ADD-15</t>
        </is>
      </c>
      <c r="I205" s="26" t="inlineStr">
        <is>
          <t>Operating Room, Additional 15 Minutes</t>
        </is>
      </c>
      <c r="J205" s="26" t="inlineStr">
        <is>
          <t>0360</t>
        </is>
      </c>
      <c r="K205" s="26" t="n"/>
      <c r="L205" s="26" t="n"/>
      <c r="M205" s="26" t="n">
        <v>3</v>
      </c>
      <c r="N205" s="13" t="n">
        <v>1280</v>
      </c>
      <c r="O205" s="13">
        <f>M205*N205</f>
        <v/>
      </c>
      <c r="P205" s="13" t="n">
        <v>1760.71</v>
      </c>
      <c r="Q205" s="13">
        <f>P205*20%</f>
        <v/>
      </c>
      <c r="R205" s="13">
        <f>O205-P205</f>
        <v/>
      </c>
      <c r="S205" s="26" t="inlineStr">
        <is>
          <t>Athena Health Insurance</t>
        </is>
      </c>
      <c r="T205" s="26" t="inlineStr">
        <is>
          <t>Athena PPO</t>
        </is>
      </c>
      <c r="U205" s="26" t="n"/>
      <c r="V205" s="26" t="inlineStr">
        <is>
          <t>Eleanor Brooks, MD</t>
        </is>
      </c>
      <c r="W205" s="26" t="inlineStr">
        <is>
          <t>Assigned Department Provider</t>
        </is>
      </c>
      <c r="X205" s="26" t="inlineStr">
        <is>
          <t>Perioperative</t>
        </is>
      </c>
      <c r="Y205" s="26" t="inlineStr">
        <is>
          <t>Procedure end</t>
        </is>
      </c>
      <c r="Z205" s="26" t="inlineStr">
        <is>
          <t>Posted</t>
        </is>
      </c>
      <c r="AA205" s="26" t="inlineStr">
        <is>
          <t>Matched</t>
        </is>
      </c>
      <c r="AB205" s="26" t="inlineStr">
        <is>
          <t>Passed</t>
        </is>
      </c>
      <c r="AC205" s="26" t="n"/>
      <c r="AD205" s="26" t="inlineStr">
        <is>
          <t>Procedure-specific</t>
        </is>
      </c>
      <c r="AE205" s="26" t="inlineStr">
        <is>
          <t>M17.11</t>
        </is>
      </c>
      <c r="AF205" s="26" t="inlineStr">
        <is>
          <t>21</t>
        </is>
      </c>
      <c r="AG205" s="26" t="inlineStr">
        <is>
          <t>2026-09-02 16:30</t>
        </is>
      </c>
      <c r="AH205" s="26" t="inlineStr">
        <is>
          <t>Synthetic Athena negotiated charge</t>
        </is>
      </c>
    </row>
    <row r="206">
      <c r="A206" s="26" t="inlineStr">
        <is>
          <t>IPD-CHG-0101-CGH</t>
        </is>
      </c>
      <c r="B206" s="26" t="inlineStr">
        <is>
          <t>HAR-202600101-CGH</t>
        </is>
      </c>
      <c r="C206" s="26" t="inlineStr">
        <is>
          <t>CSN-IPD-780101-CGH</t>
        </is>
      </c>
      <c r="D206" s="26" t="inlineStr">
        <is>
          <t>Inpatient</t>
        </is>
      </c>
      <c r="E206" s="26" t="inlineStr">
        <is>
          <t>Demo Regional Medical Center</t>
        </is>
      </c>
      <c r="F206" s="26" t="inlineStr">
        <is>
          <t>Operating Room</t>
        </is>
      </c>
      <c r="G206" s="26" t="inlineStr">
        <is>
          <t>2026-09-02</t>
        </is>
      </c>
      <c r="H206" s="26" t="inlineStr">
        <is>
          <t>OR-ADD-15</t>
        </is>
      </c>
      <c r="I206" s="26" t="inlineStr">
        <is>
          <t>Operating Room, Additional 15 Minutes</t>
        </is>
      </c>
      <c r="J206" s="26" t="inlineStr">
        <is>
          <t>0360</t>
        </is>
      </c>
      <c r="K206" s="26" t="n"/>
      <c r="L206" s="26" t="n"/>
      <c r="M206" s="26" t="n">
        <v>3</v>
      </c>
      <c r="N206" s="13" t="n">
        <v>1280</v>
      </c>
      <c r="O206" s="13">
        <f>M206*N206</f>
        <v/>
      </c>
      <c r="P206" s="13" t="n">
        <v>1584.64</v>
      </c>
      <c r="Q206" s="13">
        <f>P206*15%</f>
        <v/>
      </c>
      <c r="R206" s="13">
        <f>O206-P206</f>
        <v/>
      </c>
      <c r="S206" s="26" t="inlineStr">
        <is>
          <t>Care Gap Health</t>
        </is>
      </c>
      <c r="T206" s="26" t="inlineStr">
        <is>
          <t>Care Gap Value PPO</t>
        </is>
      </c>
      <c r="U206" s="26" t="n"/>
      <c r="V206" s="26" t="inlineStr">
        <is>
          <t>Eleanor Brooks, MD</t>
        </is>
      </c>
      <c r="W206" s="26" t="inlineStr">
        <is>
          <t>Assigned Department Provider</t>
        </is>
      </c>
      <c r="X206" s="26" t="inlineStr">
        <is>
          <t>Perioperative</t>
        </is>
      </c>
      <c r="Y206" s="26" t="inlineStr">
        <is>
          <t>Procedure end</t>
        </is>
      </c>
      <c r="Z206" s="26" t="inlineStr">
        <is>
          <t>Posted</t>
        </is>
      </c>
      <c r="AA206" s="26" t="inlineStr">
        <is>
          <t>Matched</t>
        </is>
      </c>
      <c r="AB206" s="26" t="inlineStr">
        <is>
          <t>Passed</t>
        </is>
      </c>
      <c r="AC206" s="26" t="n"/>
      <c r="AD206" s="26" t="inlineStr">
        <is>
          <t>Procedure-specific</t>
        </is>
      </c>
      <c r="AE206" s="26" t="inlineStr">
        <is>
          <t>M17.11</t>
        </is>
      </c>
      <c r="AF206" s="26" t="inlineStr">
        <is>
          <t>21</t>
        </is>
      </c>
      <c r="AG206" s="26" t="inlineStr">
        <is>
          <t>2026-09-02 16:30</t>
        </is>
      </c>
      <c r="AH206" s="26" t="inlineStr">
        <is>
          <t>Synthetic Care Gap charge; 10% below Athena allowed amount</t>
        </is>
      </c>
    </row>
    <row r="207">
      <c r="A207" s="26" t="inlineStr">
        <is>
          <t>IPD-CHG-0102-ATH</t>
        </is>
      </c>
      <c r="B207" s="26" t="inlineStr">
        <is>
          <t>HAR-202600102-ATH</t>
        </is>
      </c>
      <c r="C207" s="26" t="inlineStr">
        <is>
          <t>CSN-IPD-780102-ATH</t>
        </is>
      </c>
      <c r="D207" s="26" t="inlineStr">
        <is>
          <t>Inpatient</t>
        </is>
      </c>
      <c r="E207" s="26" t="inlineStr">
        <is>
          <t>Demo Regional Medical Center</t>
        </is>
      </c>
      <c r="F207" s="26" t="inlineStr">
        <is>
          <t>Recovery Room</t>
        </is>
      </c>
      <c r="G207" s="26" t="inlineStr">
        <is>
          <t>2026-09-03</t>
        </is>
      </c>
      <c r="H207" s="26" t="inlineStr">
        <is>
          <t>PACU-1H</t>
        </is>
      </c>
      <c r="I207" s="26" t="inlineStr">
        <is>
          <t>Post-Anesthesia Care, First Hour</t>
        </is>
      </c>
      <c r="J207" s="26" t="inlineStr">
        <is>
          <t>0710</t>
        </is>
      </c>
      <c r="K207" s="26" t="n"/>
      <c r="L207" s="26" t="n"/>
      <c r="M207" s="26" t="n">
        <v>1</v>
      </c>
      <c r="N207" s="13" t="n">
        <v>2100</v>
      </c>
      <c r="O207" s="13">
        <f>M207*N207</f>
        <v/>
      </c>
      <c r="P207" s="13" t="n">
        <v>1181.43</v>
      </c>
      <c r="Q207" s="13">
        <f>P207*20%</f>
        <v/>
      </c>
      <c r="R207" s="13">
        <f>O207-P207</f>
        <v/>
      </c>
      <c r="S207" s="26" t="inlineStr">
        <is>
          <t>Athena Health Insurance</t>
        </is>
      </c>
      <c r="T207" s="26" t="inlineStr">
        <is>
          <t>Athena PPO</t>
        </is>
      </c>
      <c r="U207" s="26" t="n"/>
      <c r="V207" s="26" t="inlineStr">
        <is>
          <t>Eleanor Brooks, MD</t>
        </is>
      </c>
      <c r="W207" s="26" t="inlineStr">
        <is>
          <t>Assigned Department Provider</t>
        </is>
      </c>
      <c r="X207" s="26" t="inlineStr">
        <is>
          <t>Perioperative</t>
        </is>
      </c>
      <c r="Y207" s="26" t="inlineStr">
        <is>
          <t>PACU discharge</t>
        </is>
      </c>
      <c r="Z207" s="26" t="inlineStr">
        <is>
          <t>Posted</t>
        </is>
      </c>
      <c r="AA207" s="26" t="inlineStr">
        <is>
          <t>Matched</t>
        </is>
      </c>
      <c r="AB207" s="26" t="inlineStr">
        <is>
          <t>Passed</t>
        </is>
      </c>
      <c r="AC207" s="26" t="n"/>
      <c r="AD207" s="26" t="inlineStr">
        <is>
          <t>N/A</t>
        </is>
      </c>
      <c r="AE207" s="26" t="inlineStr">
        <is>
          <t>Z47.1</t>
        </is>
      </c>
      <c r="AF207" s="26" t="inlineStr">
        <is>
          <t>21</t>
        </is>
      </c>
      <c r="AG207" s="26" t="inlineStr">
        <is>
          <t>2026-09-03 16:30</t>
        </is>
      </c>
      <c r="AH207" s="26" t="inlineStr">
        <is>
          <t>Synthetic Athena negotiated charge</t>
        </is>
      </c>
    </row>
    <row r="208">
      <c r="A208" s="26" t="inlineStr">
        <is>
          <t>IPD-CHG-0102-CGH</t>
        </is>
      </c>
      <c r="B208" s="26" t="inlineStr">
        <is>
          <t>HAR-202600102-CGH</t>
        </is>
      </c>
      <c r="C208" s="26" t="inlineStr">
        <is>
          <t>CSN-IPD-780102-CGH</t>
        </is>
      </c>
      <c r="D208" s="26" t="inlineStr">
        <is>
          <t>Inpatient</t>
        </is>
      </c>
      <c r="E208" s="26" t="inlineStr">
        <is>
          <t>Demo Regional Medical Center</t>
        </is>
      </c>
      <c r="F208" s="26" t="inlineStr">
        <is>
          <t>Recovery Room</t>
        </is>
      </c>
      <c r="G208" s="26" t="inlineStr">
        <is>
          <t>2026-09-03</t>
        </is>
      </c>
      <c r="H208" s="26" t="inlineStr">
        <is>
          <t>PACU-1H</t>
        </is>
      </c>
      <c r="I208" s="26" t="inlineStr">
        <is>
          <t>Post-Anesthesia Care, First Hour</t>
        </is>
      </c>
      <c r="J208" s="26" t="inlineStr">
        <is>
          <t>0710</t>
        </is>
      </c>
      <c r="K208" s="26" t="n"/>
      <c r="L208" s="26" t="n"/>
      <c r="M208" s="26" t="n">
        <v>1</v>
      </c>
      <c r="N208" s="13" t="n">
        <v>2100</v>
      </c>
      <c r="O208" s="13">
        <f>M208*N208</f>
        <v/>
      </c>
      <c r="P208" s="13" t="n">
        <v>1063.29</v>
      </c>
      <c r="Q208" s="13">
        <f>P208*15%</f>
        <v/>
      </c>
      <c r="R208" s="13">
        <f>O208-P208</f>
        <v/>
      </c>
      <c r="S208" s="26" t="inlineStr">
        <is>
          <t>Care Gap Health</t>
        </is>
      </c>
      <c r="T208" s="26" t="inlineStr">
        <is>
          <t>Care Gap Value PPO</t>
        </is>
      </c>
      <c r="U208" s="26" t="n"/>
      <c r="V208" s="26" t="inlineStr">
        <is>
          <t>Eleanor Brooks, MD</t>
        </is>
      </c>
      <c r="W208" s="26" t="inlineStr">
        <is>
          <t>Assigned Department Provider</t>
        </is>
      </c>
      <c r="X208" s="26" t="inlineStr">
        <is>
          <t>Perioperative</t>
        </is>
      </c>
      <c r="Y208" s="26" t="inlineStr">
        <is>
          <t>PACU discharge</t>
        </is>
      </c>
      <c r="Z208" s="26" t="inlineStr">
        <is>
          <t>Posted</t>
        </is>
      </c>
      <c r="AA208" s="26" t="inlineStr">
        <is>
          <t>Matched</t>
        </is>
      </c>
      <c r="AB208" s="26" t="inlineStr">
        <is>
          <t>Passed</t>
        </is>
      </c>
      <c r="AC208" s="26" t="n"/>
      <c r="AD208" s="26" t="inlineStr">
        <is>
          <t>N/A</t>
        </is>
      </c>
      <c r="AE208" s="26" t="inlineStr">
        <is>
          <t>Z47.1</t>
        </is>
      </c>
      <c r="AF208" s="26" t="inlineStr">
        <is>
          <t>21</t>
        </is>
      </c>
      <c r="AG208" s="26" t="inlineStr">
        <is>
          <t>2026-09-03 16:30</t>
        </is>
      </c>
      <c r="AH208" s="26" t="inlineStr">
        <is>
          <t>Synthetic Care Gap charge; 10% below Athena allowed amount</t>
        </is>
      </c>
    </row>
    <row r="209">
      <c r="A209" s="26" t="inlineStr">
        <is>
          <t>IPD-CHG-0103-ATH</t>
        </is>
      </c>
      <c r="B209" s="26" t="inlineStr">
        <is>
          <t>HAR-202600103-ATH</t>
        </is>
      </c>
      <c r="C209" s="26" t="inlineStr">
        <is>
          <t>CSN-IPD-780103-ATH</t>
        </is>
      </c>
      <c r="D209" s="26" t="inlineStr">
        <is>
          <t>Inpatient</t>
        </is>
      </c>
      <c r="E209" s="26" t="inlineStr">
        <is>
          <t>Demo Regional Medical Center</t>
        </is>
      </c>
      <c r="F209" s="26" t="inlineStr">
        <is>
          <t>Surgical Supplies</t>
        </is>
      </c>
      <c r="G209" s="26" t="inlineStr">
        <is>
          <t>2026-09-04</t>
        </is>
      </c>
      <c r="H209" s="26" t="inlineStr">
        <is>
          <t>SUP-MAJOR-PACK</t>
        </is>
      </c>
      <c r="I209" s="26" t="inlineStr">
        <is>
          <t>Major Surgery Disposable Supply Pack</t>
        </is>
      </c>
      <c r="J209" s="26" t="inlineStr">
        <is>
          <t>0270</t>
        </is>
      </c>
      <c r="K209" s="26" t="n"/>
      <c r="L209" s="26" t="n"/>
      <c r="M209" s="26" t="n">
        <v>1</v>
      </c>
      <c r="N209" s="13" t="n">
        <v>4200</v>
      </c>
      <c r="O209" s="13">
        <f>M209*N209</f>
        <v/>
      </c>
      <c r="P209" s="13" t="n">
        <v>2456.75</v>
      </c>
      <c r="Q209" s="13">
        <f>P209*20%</f>
        <v/>
      </c>
      <c r="R209" s="13">
        <f>O209-P209</f>
        <v/>
      </c>
      <c r="S209" s="26" t="inlineStr">
        <is>
          <t>Athena Health Insurance</t>
        </is>
      </c>
      <c r="T209" s="26" t="inlineStr">
        <is>
          <t>Athena PPO</t>
        </is>
      </c>
      <c r="U209" s="26" t="n"/>
      <c r="V209" s="26" t="inlineStr">
        <is>
          <t>Eleanor Brooks, MD</t>
        </is>
      </c>
      <c r="W209" s="26" t="inlineStr">
        <is>
          <t>Assigned Department Provider</t>
        </is>
      </c>
      <c r="X209" s="26" t="inlineStr">
        <is>
          <t>Inventory</t>
        </is>
      </c>
      <c r="Y209" s="26" t="inlineStr">
        <is>
          <t>Supply issue</t>
        </is>
      </c>
      <c r="Z209" s="26" t="inlineStr">
        <is>
          <t>Posted</t>
        </is>
      </c>
      <c r="AA209" s="26" t="inlineStr">
        <is>
          <t>Matched</t>
        </is>
      </c>
      <c r="AB209" s="26" t="inlineStr">
        <is>
          <t>Passed</t>
        </is>
      </c>
      <c r="AC209" s="26" t="n"/>
      <c r="AD209" s="26" t="inlineStr">
        <is>
          <t>Contract rule</t>
        </is>
      </c>
      <c r="AE209" s="26" t="inlineStr">
        <is>
          <t>Z47.1</t>
        </is>
      </c>
      <c r="AF209" s="26" t="inlineStr">
        <is>
          <t>21</t>
        </is>
      </c>
      <c r="AG209" s="26" t="inlineStr">
        <is>
          <t>2026-09-04 16:30</t>
        </is>
      </c>
      <c r="AH209" s="26" t="inlineStr">
        <is>
          <t>Synthetic Athena negotiated charge</t>
        </is>
      </c>
    </row>
    <row r="210">
      <c r="A210" s="26" t="inlineStr">
        <is>
          <t>IPD-CHG-0103-CGH</t>
        </is>
      </c>
      <c r="B210" s="26" t="inlineStr">
        <is>
          <t>HAR-202600103-CGH</t>
        </is>
      </c>
      <c r="C210" s="26" t="inlineStr">
        <is>
          <t>CSN-IPD-780103-CGH</t>
        </is>
      </c>
      <c r="D210" s="26" t="inlineStr">
        <is>
          <t>Inpatient</t>
        </is>
      </c>
      <c r="E210" s="26" t="inlineStr">
        <is>
          <t>Demo Regional Medical Center</t>
        </is>
      </c>
      <c r="F210" s="26" t="inlineStr">
        <is>
          <t>Surgical Supplies</t>
        </is>
      </c>
      <c r="G210" s="26" t="inlineStr">
        <is>
          <t>2026-09-04</t>
        </is>
      </c>
      <c r="H210" s="26" t="inlineStr">
        <is>
          <t>SUP-MAJOR-PACK</t>
        </is>
      </c>
      <c r="I210" s="26" t="inlineStr">
        <is>
          <t>Major Surgery Disposable Supply Pack</t>
        </is>
      </c>
      <c r="J210" s="26" t="inlineStr">
        <is>
          <t>0270</t>
        </is>
      </c>
      <c r="K210" s="26" t="n"/>
      <c r="L210" s="26" t="n"/>
      <c r="M210" s="26" t="n">
        <v>1</v>
      </c>
      <c r="N210" s="13" t="n">
        <v>4200</v>
      </c>
      <c r="O210" s="13">
        <f>M210*N210</f>
        <v/>
      </c>
      <c r="P210" s="13" t="n">
        <v>2211.08</v>
      </c>
      <c r="Q210" s="13">
        <f>P210*15%</f>
        <v/>
      </c>
      <c r="R210" s="13">
        <f>O210-P210</f>
        <v/>
      </c>
      <c r="S210" s="26" t="inlineStr">
        <is>
          <t>Care Gap Health</t>
        </is>
      </c>
      <c r="T210" s="26" t="inlineStr">
        <is>
          <t>Care Gap Value PPO</t>
        </is>
      </c>
      <c r="U210" s="26" t="n"/>
      <c r="V210" s="26" t="inlineStr">
        <is>
          <t>Eleanor Brooks, MD</t>
        </is>
      </c>
      <c r="W210" s="26" t="inlineStr">
        <is>
          <t>Assigned Department Provider</t>
        </is>
      </c>
      <c r="X210" s="26" t="inlineStr">
        <is>
          <t>Inventory</t>
        </is>
      </c>
      <c r="Y210" s="26" t="inlineStr">
        <is>
          <t>Supply issue</t>
        </is>
      </c>
      <c r="Z210" s="26" t="inlineStr">
        <is>
          <t>Posted</t>
        </is>
      </c>
      <c r="AA210" s="26" t="inlineStr">
        <is>
          <t>Matched</t>
        </is>
      </c>
      <c r="AB210" s="26" t="inlineStr">
        <is>
          <t>Passed</t>
        </is>
      </c>
      <c r="AC210" s="26" t="n"/>
      <c r="AD210" s="26" t="inlineStr">
        <is>
          <t>Contract rule</t>
        </is>
      </c>
      <c r="AE210" s="26" t="inlineStr">
        <is>
          <t>Z47.1</t>
        </is>
      </c>
      <c r="AF210" s="26" t="inlineStr">
        <is>
          <t>21</t>
        </is>
      </c>
      <c r="AG210" s="26" t="inlineStr">
        <is>
          <t>2026-09-04 16:30</t>
        </is>
      </c>
      <c r="AH210" s="26" t="inlineStr">
        <is>
          <t>Synthetic Care Gap charge; 10% below Athena allowed amount</t>
        </is>
      </c>
    </row>
    <row r="211">
      <c r="A211" s="26" t="inlineStr">
        <is>
          <t>IPD-CHG-0104-ATH</t>
        </is>
      </c>
      <c r="B211" s="26" t="inlineStr">
        <is>
          <t>HAR-202600104-ATH</t>
        </is>
      </c>
      <c r="C211" s="26" t="inlineStr">
        <is>
          <t>CSN-IPD-780104-ATH</t>
        </is>
      </c>
      <c r="D211" s="26" t="inlineStr">
        <is>
          <t>Inpatient</t>
        </is>
      </c>
      <c r="E211" s="26" t="inlineStr">
        <is>
          <t>Demo Regional Medical Center</t>
        </is>
      </c>
      <c r="F211" s="26" t="inlineStr">
        <is>
          <t>Implants</t>
        </is>
      </c>
      <c r="G211" s="26" t="inlineStr">
        <is>
          <t>2026-09-05</t>
        </is>
      </c>
      <c r="H211" s="26" t="inlineStr">
        <is>
          <t>IMP-KNEE-CEM</t>
        </is>
      </c>
      <c r="I211" s="26" t="inlineStr">
        <is>
          <t>Cemented Knee Implant System</t>
        </is>
      </c>
      <c r="J211" s="26" t="inlineStr">
        <is>
          <t>0278</t>
        </is>
      </c>
      <c r="K211" s="26" t="n"/>
      <c r="L211" s="26" t="n"/>
      <c r="M211" s="26" t="n">
        <v>1</v>
      </c>
      <c r="N211" s="13" t="n">
        <v>20500</v>
      </c>
      <c r="O211" s="13">
        <f>M211*N211</f>
        <v/>
      </c>
      <c r="P211" s="13" t="n">
        <v>10240.1</v>
      </c>
      <c r="Q211" s="13">
        <f>P211*20%</f>
        <v/>
      </c>
      <c r="R211" s="13">
        <f>O211-P211</f>
        <v/>
      </c>
      <c r="S211" s="26" t="inlineStr">
        <is>
          <t>Athena Health Insurance</t>
        </is>
      </c>
      <c r="T211" s="26" t="inlineStr">
        <is>
          <t>Athena PPO</t>
        </is>
      </c>
      <c r="U211" s="26" t="n"/>
      <c r="V211" s="26" t="inlineStr">
        <is>
          <t>Eleanor Brooks, MD</t>
        </is>
      </c>
      <c r="W211" s="26" t="inlineStr">
        <is>
          <t>Assigned Department Provider</t>
        </is>
      </c>
      <c r="X211" s="26" t="inlineStr">
        <is>
          <t>Inventory</t>
        </is>
      </c>
      <c r="Y211" s="26" t="inlineStr">
        <is>
          <t>Implant scan</t>
        </is>
      </c>
      <c r="Z211" s="26" t="inlineStr">
        <is>
          <t>Posted</t>
        </is>
      </c>
      <c r="AA211" s="26" t="inlineStr">
        <is>
          <t>Matched</t>
        </is>
      </c>
      <c r="AB211" s="26" t="inlineStr">
        <is>
          <t>Passed</t>
        </is>
      </c>
      <c r="AC211" s="26" t="n"/>
      <c r="AD211" s="26" t="inlineStr">
        <is>
          <t>Contract rule</t>
        </is>
      </c>
      <c r="AE211" s="26" t="inlineStr">
        <is>
          <t>M17.11</t>
        </is>
      </c>
      <c r="AF211" s="26" t="inlineStr">
        <is>
          <t>21</t>
        </is>
      </c>
      <c r="AG211" s="26" t="inlineStr">
        <is>
          <t>2026-09-05 16:30</t>
        </is>
      </c>
      <c r="AH211" s="26" t="inlineStr">
        <is>
          <t>Synthetic Athena negotiated charge</t>
        </is>
      </c>
    </row>
    <row r="212">
      <c r="A212" s="26" t="inlineStr">
        <is>
          <t>IPD-CHG-0104-CGH</t>
        </is>
      </c>
      <c r="B212" s="26" t="inlineStr">
        <is>
          <t>HAR-202600104-CGH</t>
        </is>
      </c>
      <c r="C212" s="26" t="inlineStr">
        <is>
          <t>CSN-IPD-780104-CGH</t>
        </is>
      </c>
      <c r="D212" s="26" t="inlineStr">
        <is>
          <t>Inpatient</t>
        </is>
      </c>
      <c r="E212" s="26" t="inlineStr">
        <is>
          <t>Demo Regional Medical Center</t>
        </is>
      </c>
      <c r="F212" s="26" t="inlineStr">
        <is>
          <t>Implants</t>
        </is>
      </c>
      <c r="G212" s="26" t="inlineStr">
        <is>
          <t>2026-09-05</t>
        </is>
      </c>
      <c r="H212" s="26" t="inlineStr">
        <is>
          <t>IMP-KNEE-CEM</t>
        </is>
      </c>
      <c r="I212" s="26" t="inlineStr">
        <is>
          <t>Cemented Knee Implant System</t>
        </is>
      </c>
      <c r="J212" s="26" t="inlineStr">
        <is>
          <t>0278</t>
        </is>
      </c>
      <c r="K212" s="26" t="n"/>
      <c r="L212" s="26" t="n"/>
      <c r="M212" s="26" t="n">
        <v>1</v>
      </c>
      <c r="N212" s="13" t="n">
        <v>20500</v>
      </c>
      <c r="O212" s="13">
        <f>M212*N212</f>
        <v/>
      </c>
      <c r="P212" s="13" t="n">
        <v>9216.09</v>
      </c>
      <c r="Q212" s="13">
        <f>P212*15%</f>
        <v/>
      </c>
      <c r="R212" s="13">
        <f>O212-P212</f>
        <v/>
      </c>
      <c r="S212" s="26" t="inlineStr">
        <is>
          <t>Care Gap Health</t>
        </is>
      </c>
      <c r="T212" s="26" t="inlineStr">
        <is>
          <t>Care Gap Value PPO</t>
        </is>
      </c>
      <c r="U212" s="26" t="n"/>
      <c r="V212" s="26" t="inlineStr">
        <is>
          <t>Eleanor Brooks, MD</t>
        </is>
      </c>
      <c r="W212" s="26" t="inlineStr">
        <is>
          <t>Assigned Department Provider</t>
        </is>
      </c>
      <c r="X212" s="26" t="inlineStr">
        <is>
          <t>Inventory</t>
        </is>
      </c>
      <c r="Y212" s="26" t="inlineStr">
        <is>
          <t>Implant scan</t>
        </is>
      </c>
      <c r="Z212" s="26" t="inlineStr">
        <is>
          <t>Posted</t>
        </is>
      </c>
      <c r="AA212" s="26" t="inlineStr">
        <is>
          <t>Matched</t>
        </is>
      </c>
      <c r="AB212" s="26" t="inlineStr">
        <is>
          <t>Passed</t>
        </is>
      </c>
      <c r="AC212" s="26" t="n"/>
      <c r="AD212" s="26" t="inlineStr">
        <is>
          <t>Contract rule</t>
        </is>
      </c>
      <c r="AE212" s="26" t="inlineStr">
        <is>
          <t>M17.11</t>
        </is>
      </c>
      <c r="AF212" s="26" t="inlineStr">
        <is>
          <t>21</t>
        </is>
      </c>
      <c r="AG212" s="26" t="inlineStr">
        <is>
          <t>2026-09-05 16:30</t>
        </is>
      </c>
      <c r="AH212" s="26" t="inlineStr">
        <is>
          <t>Synthetic Care Gap charge; 10% below Athena allowed amount</t>
        </is>
      </c>
    </row>
    <row r="213">
      <c r="A213" s="26" t="inlineStr">
        <is>
          <t>IPD-CHG-0105-ATH</t>
        </is>
      </c>
      <c r="B213" s="26" t="inlineStr">
        <is>
          <t>HAR-202600105-ATH</t>
        </is>
      </c>
      <c r="C213" s="26" t="inlineStr">
        <is>
          <t>CSN-IPD-780105-ATH</t>
        </is>
      </c>
      <c r="D213" s="26" t="inlineStr">
        <is>
          <t>Inpatient</t>
        </is>
      </c>
      <c r="E213" s="26" t="inlineStr">
        <is>
          <t>Demo Regional Medical Center</t>
        </is>
      </c>
      <c r="F213" s="26" t="inlineStr">
        <is>
          <t>Implants</t>
        </is>
      </c>
      <c r="G213" s="26" t="inlineStr">
        <is>
          <t>2026-09-06</t>
        </is>
      </c>
      <c r="H213" s="26" t="inlineStr">
        <is>
          <t>IMP-SCREW</t>
        </is>
      </c>
      <c r="I213" s="26" t="inlineStr">
        <is>
          <t>Orthopedic Fixation Screw</t>
        </is>
      </c>
      <c r="J213" s="26" t="inlineStr">
        <is>
          <t>0278</t>
        </is>
      </c>
      <c r="K213" s="26" t="inlineStr">
        <is>
          <t>C1713</t>
        </is>
      </c>
      <c r="L213" s="26" t="n"/>
      <c r="M213" s="26" t="n">
        <v>1</v>
      </c>
      <c r="N213" s="13" t="n">
        <v>950</v>
      </c>
      <c r="O213" s="13">
        <f>M213*N213</f>
        <v/>
      </c>
      <c r="P213" s="13" t="n">
        <v>647.64</v>
      </c>
      <c r="Q213" s="13">
        <f>P213*20%</f>
        <v/>
      </c>
      <c r="R213" s="13">
        <f>O213-P213</f>
        <v/>
      </c>
      <c r="S213" s="26" t="inlineStr">
        <is>
          <t>Athena Health Insurance</t>
        </is>
      </c>
      <c r="T213" s="26" t="inlineStr">
        <is>
          <t>Athena PPO</t>
        </is>
      </c>
      <c r="U213" s="26" t="n"/>
      <c r="V213" s="26" t="inlineStr">
        <is>
          <t>Eleanor Brooks, MD</t>
        </is>
      </c>
      <c r="W213" s="26" t="inlineStr">
        <is>
          <t>Assigned Department Provider</t>
        </is>
      </c>
      <c r="X213" s="26" t="inlineStr">
        <is>
          <t>Inventory</t>
        </is>
      </c>
      <c r="Y213" s="26" t="inlineStr">
        <is>
          <t>Implant scan</t>
        </is>
      </c>
      <c r="Z213" s="26" t="inlineStr">
        <is>
          <t>Posted</t>
        </is>
      </c>
      <c r="AA213" s="26" t="inlineStr">
        <is>
          <t>Matched</t>
        </is>
      </c>
      <c r="AB213" s="26" t="inlineStr">
        <is>
          <t>Passed</t>
        </is>
      </c>
      <c r="AC213" s="26" t="n"/>
      <c r="AD213" s="26" t="inlineStr">
        <is>
          <t>Contract rule</t>
        </is>
      </c>
      <c r="AE213" s="26" t="inlineStr">
        <is>
          <t>M17.11</t>
        </is>
      </c>
      <c r="AF213" s="26" t="inlineStr">
        <is>
          <t>21</t>
        </is>
      </c>
      <c r="AG213" s="26" t="inlineStr">
        <is>
          <t>2026-09-06 16:30</t>
        </is>
      </c>
      <c r="AH213" s="26" t="inlineStr">
        <is>
          <t>Synthetic Athena negotiated charge</t>
        </is>
      </c>
    </row>
    <row r="214">
      <c r="A214" s="26" t="inlineStr">
        <is>
          <t>IPD-CHG-0105-CGH</t>
        </is>
      </c>
      <c r="B214" s="26" t="inlineStr">
        <is>
          <t>HAR-202600105-CGH</t>
        </is>
      </c>
      <c r="C214" s="26" t="inlineStr">
        <is>
          <t>CSN-IPD-780105-CGH</t>
        </is>
      </c>
      <c r="D214" s="26" t="inlineStr">
        <is>
          <t>Inpatient</t>
        </is>
      </c>
      <c r="E214" s="26" t="inlineStr">
        <is>
          <t>Demo Regional Medical Center</t>
        </is>
      </c>
      <c r="F214" s="26" t="inlineStr">
        <is>
          <t>Implants</t>
        </is>
      </c>
      <c r="G214" s="26" t="inlineStr">
        <is>
          <t>2026-09-06</t>
        </is>
      </c>
      <c r="H214" s="26" t="inlineStr">
        <is>
          <t>IMP-SCREW</t>
        </is>
      </c>
      <c r="I214" s="26" t="inlineStr">
        <is>
          <t>Orthopedic Fixation Screw</t>
        </is>
      </c>
      <c r="J214" s="26" t="inlineStr">
        <is>
          <t>0278</t>
        </is>
      </c>
      <c r="K214" s="26" t="inlineStr">
        <is>
          <t>C1713</t>
        </is>
      </c>
      <c r="L214" s="26" t="n"/>
      <c r="M214" s="26" t="n">
        <v>1</v>
      </c>
      <c r="N214" s="13" t="n">
        <v>950</v>
      </c>
      <c r="O214" s="13">
        <f>M214*N214</f>
        <v/>
      </c>
      <c r="P214" s="13" t="n">
        <v>582.88</v>
      </c>
      <c r="Q214" s="13">
        <f>P214*15%</f>
        <v/>
      </c>
      <c r="R214" s="13">
        <f>O214-P214</f>
        <v/>
      </c>
      <c r="S214" s="26" t="inlineStr">
        <is>
          <t>Care Gap Health</t>
        </is>
      </c>
      <c r="T214" s="26" t="inlineStr">
        <is>
          <t>Care Gap Value PPO</t>
        </is>
      </c>
      <c r="U214" s="26" t="n"/>
      <c r="V214" s="26" t="inlineStr">
        <is>
          <t>Eleanor Brooks, MD</t>
        </is>
      </c>
      <c r="W214" s="26" t="inlineStr">
        <is>
          <t>Assigned Department Provider</t>
        </is>
      </c>
      <c r="X214" s="26" t="inlineStr">
        <is>
          <t>Inventory</t>
        </is>
      </c>
      <c r="Y214" s="26" t="inlineStr">
        <is>
          <t>Implant scan</t>
        </is>
      </c>
      <c r="Z214" s="26" t="inlineStr">
        <is>
          <t>Posted</t>
        </is>
      </c>
      <c r="AA214" s="26" t="inlineStr">
        <is>
          <t>Matched</t>
        </is>
      </c>
      <c r="AB214" s="26" t="inlineStr">
        <is>
          <t>Passed</t>
        </is>
      </c>
      <c r="AC214" s="26" t="n"/>
      <c r="AD214" s="26" t="inlineStr">
        <is>
          <t>Contract rule</t>
        </is>
      </c>
      <c r="AE214" s="26" t="inlineStr">
        <is>
          <t>M17.11</t>
        </is>
      </c>
      <c r="AF214" s="26" t="inlineStr">
        <is>
          <t>21</t>
        </is>
      </c>
      <c r="AG214" s="26" t="inlineStr">
        <is>
          <t>2026-09-06 16:30</t>
        </is>
      </c>
      <c r="AH214" s="26" t="inlineStr">
        <is>
          <t>Synthetic Care Gap charge; 10% below Athena allowed amount</t>
        </is>
      </c>
    </row>
    <row r="215">
      <c r="A215" s="26" t="inlineStr">
        <is>
          <t>IPD-CHG-0106-ATH</t>
        </is>
      </c>
      <c r="B215" s="26" t="inlineStr">
        <is>
          <t>HAR-202600106-ATH</t>
        </is>
      </c>
      <c r="C215" s="26" t="inlineStr">
        <is>
          <t>CSN-IPD-780106-ATH</t>
        </is>
      </c>
      <c r="D215" s="26" t="inlineStr">
        <is>
          <t>Inpatient</t>
        </is>
      </c>
      <c r="E215" s="26" t="inlineStr">
        <is>
          <t>Demo Regional Medical Center</t>
        </is>
      </c>
      <c r="F215" s="26" t="inlineStr">
        <is>
          <t>Pharmacy</t>
        </is>
      </c>
      <c r="G215" s="26" t="inlineStr">
        <is>
          <t>2026-09-07</t>
        </is>
      </c>
      <c r="H215" s="26" t="inlineStr">
        <is>
          <t>DRUG-CEFA-1G</t>
        </is>
      </c>
      <c r="I215" s="26" t="inlineStr">
        <is>
          <t>Cefazolin 1 g Injection</t>
        </is>
      </c>
      <c r="J215" s="26" t="inlineStr">
        <is>
          <t>0250</t>
        </is>
      </c>
      <c r="K215" s="26" t="inlineStr">
        <is>
          <t>J0690</t>
        </is>
      </c>
      <c r="L215" s="26" t="n"/>
      <c r="M215" s="26" t="n">
        <v>2</v>
      </c>
      <c r="N215" s="13" t="n">
        <v>500</v>
      </c>
      <c r="O215" s="13">
        <f>M215*N215</f>
        <v/>
      </c>
      <c r="P215" s="13" t="n">
        <v>709.3099999999999</v>
      </c>
      <c r="Q215" s="13">
        <f>P215*20%</f>
        <v/>
      </c>
      <c r="R215" s="13">
        <f>O215-P215</f>
        <v/>
      </c>
      <c r="S215" s="26" t="inlineStr">
        <is>
          <t>Athena Health Insurance</t>
        </is>
      </c>
      <c r="T215" s="26" t="inlineStr">
        <is>
          <t>Athena PPO</t>
        </is>
      </c>
      <c r="U215" s="26" t="n"/>
      <c r="V215" s="26" t="inlineStr">
        <is>
          <t>Eleanor Brooks, MD</t>
        </is>
      </c>
      <c r="W215" s="26" t="inlineStr">
        <is>
          <t>Assigned Department Provider</t>
        </is>
      </c>
      <c r="X215" s="26" t="inlineStr">
        <is>
          <t>Pharmacy MAR</t>
        </is>
      </c>
      <c r="Y215" s="26" t="inlineStr">
        <is>
          <t>Medication administration</t>
        </is>
      </c>
      <c r="Z215" s="26" t="inlineStr">
        <is>
          <t>Posted</t>
        </is>
      </c>
      <c r="AA215" s="26" t="inlineStr">
        <is>
          <t>Matched</t>
        </is>
      </c>
      <c r="AB215" s="26" t="inlineStr">
        <is>
          <t>Passed</t>
        </is>
      </c>
      <c r="AC215" s="26" t="n"/>
      <c r="AD215" s="26" t="inlineStr">
        <is>
          <t>Dose/frequency</t>
        </is>
      </c>
      <c r="AE215" s="26" t="inlineStr">
        <is>
          <t>Z79.2</t>
        </is>
      </c>
      <c r="AF215" s="26" t="inlineStr">
        <is>
          <t>21</t>
        </is>
      </c>
      <c r="AG215" s="26" t="inlineStr">
        <is>
          <t>2026-09-07 16:30</t>
        </is>
      </c>
      <c r="AH215" s="26" t="inlineStr">
        <is>
          <t>Synthetic Athena negotiated charge</t>
        </is>
      </c>
    </row>
    <row r="216">
      <c r="A216" s="26" t="inlineStr">
        <is>
          <t>IPD-CHG-0106-CGH</t>
        </is>
      </c>
      <c r="B216" s="26" t="inlineStr">
        <is>
          <t>HAR-202600106-CGH</t>
        </is>
      </c>
      <c r="C216" s="26" t="inlineStr">
        <is>
          <t>CSN-IPD-780106-CGH</t>
        </is>
      </c>
      <c r="D216" s="26" t="inlineStr">
        <is>
          <t>Inpatient</t>
        </is>
      </c>
      <c r="E216" s="26" t="inlineStr">
        <is>
          <t>Demo Regional Medical Center</t>
        </is>
      </c>
      <c r="F216" s="26" t="inlineStr">
        <is>
          <t>Pharmacy</t>
        </is>
      </c>
      <c r="G216" s="26" t="inlineStr">
        <is>
          <t>2026-09-07</t>
        </is>
      </c>
      <c r="H216" s="26" t="inlineStr">
        <is>
          <t>DRUG-CEFA-1G</t>
        </is>
      </c>
      <c r="I216" s="26" t="inlineStr">
        <is>
          <t>Cefazolin 1 g Injection</t>
        </is>
      </c>
      <c r="J216" s="26" t="inlineStr">
        <is>
          <t>0250</t>
        </is>
      </c>
      <c r="K216" s="26" t="inlineStr">
        <is>
          <t>J0690</t>
        </is>
      </c>
      <c r="L216" s="26" t="n"/>
      <c r="M216" s="26" t="n">
        <v>2</v>
      </c>
      <c r="N216" s="13" t="n">
        <v>500</v>
      </c>
      <c r="O216" s="13">
        <f>M216*N216</f>
        <v/>
      </c>
      <c r="P216" s="13" t="n">
        <v>638.38</v>
      </c>
      <c r="Q216" s="13">
        <f>P216*15%</f>
        <v/>
      </c>
      <c r="R216" s="13">
        <f>O216-P216</f>
        <v/>
      </c>
      <c r="S216" s="26" t="inlineStr">
        <is>
          <t>Care Gap Health</t>
        </is>
      </c>
      <c r="T216" s="26" t="inlineStr">
        <is>
          <t>Care Gap Value PPO</t>
        </is>
      </c>
      <c r="U216" s="26" t="n"/>
      <c r="V216" s="26" t="inlineStr">
        <is>
          <t>Eleanor Brooks, MD</t>
        </is>
      </c>
      <c r="W216" s="26" t="inlineStr">
        <is>
          <t>Assigned Department Provider</t>
        </is>
      </c>
      <c r="X216" s="26" t="inlineStr">
        <is>
          <t>Pharmacy MAR</t>
        </is>
      </c>
      <c r="Y216" s="26" t="inlineStr">
        <is>
          <t>Medication administration</t>
        </is>
      </c>
      <c r="Z216" s="26" t="inlineStr">
        <is>
          <t>Posted</t>
        </is>
      </c>
      <c r="AA216" s="26" t="inlineStr">
        <is>
          <t>Matched</t>
        </is>
      </c>
      <c r="AB216" s="26" t="inlineStr">
        <is>
          <t>Passed</t>
        </is>
      </c>
      <c r="AC216" s="26" t="n"/>
      <c r="AD216" s="26" t="inlineStr">
        <is>
          <t>Dose/frequency</t>
        </is>
      </c>
      <c r="AE216" s="26" t="inlineStr">
        <is>
          <t>Z79.2</t>
        </is>
      </c>
      <c r="AF216" s="26" t="inlineStr">
        <is>
          <t>21</t>
        </is>
      </c>
      <c r="AG216" s="26" t="inlineStr">
        <is>
          <t>2026-09-07 16:30</t>
        </is>
      </c>
      <c r="AH216" s="26" t="inlineStr">
        <is>
          <t>Synthetic Care Gap charge; 10% below Athena allowed amount</t>
        </is>
      </c>
    </row>
    <row r="217">
      <c r="A217" s="26" t="inlineStr">
        <is>
          <t>IPD-CHG-0107-ATH</t>
        </is>
      </c>
      <c r="B217" s="26" t="inlineStr">
        <is>
          <t>HAR-202600107-ATH</t>
        </is>
      </c>
      <c r="C217" s="26" t="inlineStr">
        <is>
          <t>CSN-IPD-780107-ATH</t>
        </is>
      </c>
      <c r="D217" s="26" t="inlineStr">
        <is>
          <t>Inpatient</t>
        </is>
      </c>
      <c r="E217" s="26" t="inlineStr">
        <is>
          <t>Demo Regional Medical Center</t>
        </is>
      </c>
      <c r="F217" s="26" t="inlineStr">
        <is>
          <t>Pharmacy</t>
        </is>
      </c>
      <c r="G217" s="26" t="inlineStr">
        <is>
          <t>2026-09-08</t>
        </is>
      </c>
      <c r="H217" s="26" t="inlineStr">
        <is>
          <t>DRUG-VANC-500</t>
        </is>
      </c>
      <c r="I217" s="26" t="inlineStr">
        <is>
          <t>Vancomycin 500 mg Injection</t>
        </is>
      </c>
      <c r="J217" s="26" t="inlineStr">
        <is>
          <t>0250</t>
        </is>
      </c>
      <c r="K217" s="26" t="inlineStr">
        <is>
          <t>J3370</t>
        </is>
      </c>
      <c r="L217" s="26" t="n"/>
      <c r="M217" s="26" t="n">
        <v>3</v>
      </c>
      <c r="N217" s="13" t="n">
        <v>680</v>
      </c>
      <c r="O217" s="13">
        <f>M217*N217</f>
        <v/>
      </c>
      <c r="P217" s="13" t="n">
        <v>1319.02</v>
      </c>
      <c r="Q217" s="13">
        <f>P217*20%</f>
        <v/>
      </c>
      <c r="R217" s="13">
        <f>O217-P217</f>
        <v/>
      </c>
      <c r="S217" s="26" t="inlineStr">
        <is>
          <t>Athena Health Insurance</t>
        </is>
      </c>
      <c r="T217" s="26" t="inlineStr">
        <is>
          <t>Athena PPO</t>
        </is>
      </c>
      <c r="U217" s="26" t="n"/>
      <c r="V217" s="26" t="inlineStr">
        <is>
          <t>Eleanor Brooks, MD</t>
        </is>
      </c>
      <c r="W217" s="26" t="inlineStr">
        <is>
          <t>Assigned Department Provider</t>
        </is>
      </c>
      <c r="X217" s="26" t="inlineStr">
        <is>
          <t>Pharmacy MAR</t>
        </is>
      </c>
      <c r="Y217" s="26" t="inlineStr">
        <is>
          <t>Medication administration</t>
        </is>
      </c>
      <c r="Z217" s="26" t="inlineStr">
        <is>
          <t>Posted</t>
        </is>
      </c>
      <c r="AA217" s="26" t="inlineStr">
        <is>
          <t>Matched</t>
        </is>
      </c>
      <c r="AB217" s="26" t="inlineStr">
        <is>
          <t>Passed</t>
        </is>
      </c>
      <c r="AC217" s="26" t="n"/>
      <c r="AD217" s="26" t="inlineStr">
        <is>
          <t>Dose/frequency</t>
        </is>
      </c>
      <c r="AE217" s="26" t="inlineStr">
        <is>
          <t>Z79.2</t>
        </is>
      </c>
      <c r="AF217" s="26" t="inlineStr">
        <is>
          <t>21</t>
        </is>
      </c>
      <c r="AG217" s="26" t="inlineStr">
        <is>
          <t>2026-09-08 16:30</t>
        </is>
      </c>
      <c r="AH217" s="26" t="inlineStr">
        <is>
          <t>Synthetic Athena negotiated charge</t>
        </is>
      </c>
    </row>
    <row r="218">
      <c r="A218" s="26" t="inlineStr">
        <is>
          <t>IPD-CHG-0107-CGH</t>
        </is>
      </c>
      <c r="B218" s="26" t="inlineStr">
        <is>
          <t>HAR-202600107-CGH</t>
        </is>
      </c>
      <c r="C218" s="26" t="inlineStr">
        <is>
          <t>CSN-IPD-780107-CGH</t>
        </is>
      </c>
      <c r="D218" s="26" t="inlineStr">
        <is>
          <t>Inpatient</t>
        </is>
      </c>
      <c r="E218" s="26" t="inlineStr">
        <is>
          <t>Demo Regional Medical Center</t>
        </is>
      </c>
      <c r="F218" s="26" t="inlineStr">
        <is>
          <t>Pharmacy</t>
        </is>
      </c>
      <c r="G218" s="26" t="inlineStr">
        <is>
          <t>2026-09-08</t>
        </is>
      </c>
      <c r="H218" s="26" t="inlineStr">
        <is>
          <t>DRUG-VANC-500</t>
        </is>
      </c>
      <c r="I218" s="26" t="inlineStr">
        <is>
          <t>Vancomycin 500 mg Injection</t>
        </is>
      </c>
      <c r="J218" s="26" t="inlineStr">
        <is>
          <t>0250</t>
        </is>
      </c>
      <c r="K218" s="26" t="inlineStr">
        <is>
          <t>J3370</t>
        </is>
      </c>
      <c r="L218" s="26" t="n"/>
      <c r="M218" s="26" t="n">
        <v>3</v>
      </c>
      <c r="N218" s="13" t="n">
        <v>680</v>
      </c>
      <c r="O218" s="13">
        <f>M218*N218</f>
        <v/>
      </c>
      <c r="P218" s="13" t="n">
        <v>1187.12</v>
      </c>
      <c r="Q218" s="13">
        <f>P218*15%</f>
        <v/>
      </c>
      <c r="R218" s="13">
        <f>O218-P218</f>
        <v/>
      </c>
      <c r="S218" s="26" t="inlineStr">
        <is>
          <t>Care Gap Health</t>
        </is>
      </c>
      <c r="T218" s="26" t="inlineStr">
        <is>
          <t>Care Gap Value PPO</t>
        </is>
      </c>
      <c r="U218" s="26" t="n"/>
      <c r="V218" s="26" t="inlineStr">
        <is>
          <t>Eleanor Brooks, MD</t>
        </is>
      </c>
      <c r="W218" s="26" t="inlineStr">
        <is>
          <t>Assigned Department Provider</t>
        </is>
      </c>
      <c r="X218" s="26" t="inlineStr">
        <is>
          <t>Pharmacy MAR</t>
        </is>
      </c>
      <c r="Y218" s="26" t="inlineStr">
        <is>
          <t>Medication administration</t>
        </is>
      </c>
      <c r="Z218" s="26" t="inlineStr">
        <is>
          <t>Posted</t>
        </is>
      </c>
      <c r="AA218" s="26" t="inlineStr">
        <is>
          <t>Matched</t>
        </is>
      </c>
      <c r="AB218" s="26" t="inlineStr">
        <is>
          <t>Passed</t>
        </is>
      </c>
      <c r="AC218" s="26" t="n"/>
      <c r="AD218" s="26" t="inlineStr">
        <is>
          <t>Dose/frequency</t>
        </is>
      </c>
      <c r="AE218" s="26" t="inlineStr">
        <is>
          <t>Z79.2</t>
        </is>
      </c>
      <c r="AF218" s="26" t="inlineStr">
        <is>
          <t>21</t>
        </is>
      </c>
      <c r="AG218" s="26" t="inlineStr">
        <is>
          <t>2026-09-08 16:30</t>
        </is>
      </c>
      <c r="AH218" s="26" t="inlineStr">
        <is>
          <t>Synthetic Care Gap charge; 10% below Athena allowed amount</t>
        </is>
      </c>
    </row>
    <row r="219">
      <c r="A219" s="26" t="inlineStr">
        <is>
          <t>IPD-CHG-0108-ATH</t>
        </is>
      </c>
      <c r="B219" s="26" t="inlineStr">
        <is>
          <t>HAR-202600108-ATH</t>
        </is>
      </c>
      <c r="C219" s="26" t="inlineStr">
        <is>
          <t>CSN-IPD-780108-ATH</t>
        </is>
      </c>
      <c r="D219" s="26" t="inlineStr">
        <is>
          <t>Inpatient</t>
        </is>
      </c>
      <c r="E219" s="26" t="inlineStr">
        <is>
          <t>Demo Regional Medical Center</t>
        </is>
      </c>
      <c r="F219" s="26" t="inlineStr">
        <is>
          <t>Pharmacy</t>
        </is>
      </c>
      <c r="G219" s="26" t="inlineStr">
        <is>
          <t>2026-09-09</t>
        </is>
      </c>
      <c r="H219" s="26" t="inlineStr">
        <is>
          <t>IV-NS-1L</t>
        </is>
      </c>
      <c r="I219" s="26" t="inlineStr">
        <is>
          <t>Normal Saline 1,000 mL</t>
        </is>
      </c>
      <c r="J219" s="26" t="inlineStr">
        <is>
          <t>0258</t>
        </is>
      </c>
      <c r="K219" s="26" t="inlineStr">
        <is>
          <t>J7030</t>
        </is>
      </c>
      <c r="L219" s="26" t="n"/>
      <c r="M219" s="26" t="n">
        <v>3</v>
      </c>
      <c r="N219" s="13" t="n">
        <v>90</v>
      </c>
      <c r="O219" s="13">
        <f>M219*N219</f>
        <v/>
      </c>
      <c r="P219" s="13" t="n">
        <v>129.69</v>
      </c>
      <c r="Q219" s="13">
        <f>P219*20%</f>
        <v/>
      </c>
      <c r="R219" s="13">
        <f>O219-P219</f>
        <v/>
      </c>
      <c r="S219" s="26" t="inlineStr">
        <is>
          <t>Athena Health Insurance</t>
        </is>
      </c>
      <c r="T219" s="26" t="inlineStr">
        <is>
          <t>Athena PPO</t>
        </is>
      </c>
      <c r="U219" s="26" t="n"/>
      <c r="V219" s="26" t="inlineStr">
        <is>
          <t>Eleanor Brooks, MD</t>
        </is>
      </c>
      <c r="W219" s="26" t="inlineStr">
        <is>
          <t>Assigned Department Provider</t>
        </is>
      </c>
      <c r="X219" s="26" t="inlineStr">
        <is>
          <t>Pharmacy MAR</t>
        </is>
      </c>
      <c r="Y219" s="26" t="inlineStr">
        <is>
          <t>Medication administration</t>
        </is>
      </c>
      <c r="Z219" s="26" t="inlineStr">
        <is>
          <t>Posted</t>
        </is>
      </c>
      <c r="AA219" s="26" t="inlineStr">
        <is>
          <t>Matched</t>
        </is>
      </c>
      <c r="AB219" s="26" t="inlineStr">
        <is>
          <t>Passed</t>
        </is>
      </c>
      <c r="AC219" s="26" t="n"/>
      <c r="AD219" s="26" t="inlineStr">
        <is>
          <t>N/A</t>
        </is>
      </c>
      <c r="AE219" s="26" t="inlineStr">
        <is>
          <t>E86.0</t>
        </is>
      </c>
      <c r="AF219" s="26" t="inlineStr">
        <is>
          <t>21</t>
        </is>
      </c>
      <c r="AG219" s="26" t="inlineStr">
        <is>
          <t>2026-09-09 16:30</t>
        </is>
      </c>
      <c r="AH219" s="26" t="inlineStr">
        <is>
          <t>Synthetic Athena negotiated charge</t>
        </is>
      </c>
    </row>
    <row r="220">
      <c r="A220" s="26" t="inlineStr">
        <is>
          <t>IPD-CHG-0108-CGH</t>
        </is>
      </c>
      <c r="B220" s="26" t="inlineStr">
        <is>
          <t>HAR-202600108-CGH</t>
        </is>
      </c>
      <c r="C220" s="26" t="inlineStr">
        <is>
          <t>CSN-IPD-780108-CGH</t>
        </is>
      </c>
      <c r="D220" s="26" t="inlineStr">
        <is>
          <t>Inpatient</t>
        </is>
      </c>
      <c r="E220" s="26" t="inlineStr">
        <is>
          <t>Demo Regional Medical Center</t>
        </is>
      </c>
      <c r="F220" s="26" t="inlineStr">
        <is>
          <t>Pharmacy</t>
        </is>
      </c>
      <c r="G220" s="26" t="inlineStr">
        <is>
          <t>2026-09-09</t>
        </is>
      </c>
      <c r="H220" s="26" t="inlineStr">
        <is>
          <t>IV-NS-1L</t>
        </is>
      </c>
      <c r="I220" s="26" t="inlineStr">
        <is>
          <t>Normal Saline 1,000 mL</t>
        </is>
      </c>
      <c r="J220" s="26" t="inlineStr">
        <is>
          <t>0258</t>
        </is>
      </c>
      <c r="K220" s="26" t="inlineStr">
        <is>
          <t>J7030</t>
        </is>
      </c>
      <c r="L220" s="26" t="n"/>
      <c r="M220" s="26" t="n">
        <v>3</v>
      </c>
      <c r="N220" s="13" t="n">
        <v>90</v>
      </c>
      <c r="O220" s="13">
        <f>M220*N220</f>
        <v/>
      </c>
      <c r="P220" s="13" t="n">
        <v>116.72</v>
      </c>
      <c r="Q220" s="13">
        <f>P220*15%</f>
        <v/>
      </c>
      <c r="R220" s="13">
        <f>O220-P220</f>
        <v/>
      </c>
      <c r="S220" s="26" t="inlineStr">
        <is>
          <t>Care Gap Health</t>
        </is>
      </c>
      <c r="T220" s="26" t="inlineStr">
        <is>
          <t>Care Gap Value PPO</t>
        </is>
      </c>
      <c r="U220" s="26" t="n"/>
      <c r="V220" s="26" t="inlineStr">
        <is>
          <t>Eleanor Brooks, MD</t>
        </is>
      </c>
      <c r="W220" s="26" t="inlineStr">
        <is>
          <t>Assigned Department Provider</t>
        </is>
      </c>
      <c r="X220" s="26" t="inlineStr">
        <is>
          <t>Pharmacy MAR</t>
        </is>
      </c>
      <c r="Y220" s="26" t="inlineStr">
        <is>
          <t>Medication administration</t>
        </is>
      </c>
      <c r="Z220" s="26" t="inlineStr">
        <is>
          <t>Posted</t>
        </is>
      </c>
      <c r="AA220" s="26" t="inlineStr">
        <is>
          <t>Matched</t>
        </is>
      </c>
      <c r="AB220" s="26" t="inlineStr">
        <is>
          <t>Passed</t>
        </is>
      </c>
      <c r="AC220" s="26" t="n"/>
      <c r="AD220" s="26" t="inlineStr">
        <is>
          <t>N/A</t>
        </is>
      </c>
      <c r="AE220" s="26" t="inlineStr">
        <is>
          <t>E86.0</t>
        </is>
      </c>
      <c r="AF220" s="26" t="inlineStr">
        <is>
          <t>21</t>
        </is>
      </c>
      <c r="AG220" s="26" t="inlineStr">
        <is>
          <t>2026-09-09 16:30</t>
        </is>
      </c>
      <c r="AH220" s="26" t="inlineStr">
        <is>
          <t>Synthetic Care Gap charge; 10% below Athena allowed amount</t>
        </is>
      </c>
    </row>
    <row r="221">
      <c r="A221" s="26" t="inlineStr">
        <is>
          <t>IPD-CHG-0109-ATH</t>
        </is>
      </c>
      <c r="B221" s="26" t="inlineStr">
        <is>
          <t>HAR-202600109-ATH</t>
        </is>
      </c>
      <c r="C221" s="26" t="inlineStr">
        <is>
          <t>CSN-IPD-780109-ATH</t>
        </is>
      </c>
      <c r="D221" s="26" t="inlineStr">
        <is>
          <t>Inpatient</t>
        </is>
      </c>
      <c r="E221" s="26" t="inlineStr">
        <is>
          <t>Demo Regional Medical Center</t>
        </is>
      </c>
      <c r="F221" s="26" t="inlineStr">
        <is>
          <t>Laboratory</t>
        </is>
      </c>
      <c r="G221" s="26" t="inlineStr">
        <is>
          <t>2026-09-10</t>
        </is>
      </c>
      <c r="H221" s="26" t="inlineStr">
        <is>
          <t>LAB-CBC</t>
        </is>
      </c>
      <c r="I221" s="26" t="inlineStr">
        <is>
          <t>Complete Blood Count with Differential</t>
        </is>
      </c>
      <c r="J221" s="26" t="inlineStr">
        <is>
          <t>0300</t>
        </is>
      </c>
      <c r="K221" s="26" t="inlineStr">
        <is>
          <t>85025</t>
        </is>
      </c>
      <c r="L221" s="26" t="n"/>
      <c r="M221" s="26" t="n">
        <v>1</v>
      </c>
      <c r="N221" s="13" t="n">
        <v>155</v>
      </c>
      <c r="O221" s="13">
        <f>M221*N221</f>
        <v/>
      </c>
      <c r="P221" s="13" t="n">
        <v>79.59</v>
      </c>
      <c r="Q221" s="13">
        <f>P221*20%</f>
        <v/>
      </c>
      <c r="R221" s="13">
        <f>O221-P221</f>
        <v/>
      </c>
      <c r="S221" s="26" t="inlineStr">
        <is>
          <t>Athena Health Insurance</t>
        </is>
      </c>
      <c r="T221" s="26" t="inlineStr">
        <is>
          <t>Athena PPO</t>
        </is>
      </c>
      <c r="U221" s="26" t="n"/>
      <c r="V221" s="26" t="inlineStr">
        <is>
          <t>Eleanor Brooks, MD</t>
        </is>
      </c>
      <c r="W221" s="26" t="inlineStr">
        <is>
          <t>Assigned Department Provider</t>
        </is>
      </c>
      <c r="X221" s="26" t="inlineStr">
        <is>
          <t>LIS</t>
        </is>
      </c>
      <c r="Y221" s="26" t="inlineStr">
        <is>
          <t>Final result</t>
        </is>
      </c>
      <c r="Z221" s="26" t="inlineStr">
        <is>
          <t>Posted</t>
        </is>
      </c>
      <c r="AA221" s="26" t="inlineStr">
        <is>
          <t>Matched</t>
        </is>
      </c>
      <c r="AB221" s="26" t="inlineStr">
        <is>
          <t>Passed</t>
        </is>
      </c>
      <c r="AC221" s="26" t="n"/>
      <c r="AD221" s="26" t="inlineStr">
        <is>
          <t>Diagnosis/LCD</t>
        </is>
      </c>
      <c r="AE221" s="26" t="inlineStr">
        <is>
          <t>D64.9</t>
        </is>
      </c>
      <c r="AF221" s="26" t="inlineStr">
        <is>
          <t>21</t>
        </is>
      </c>
      <c r="AG221" s="26" t="inlineStr">
        <is>
          <t>2026-09-10 16:30</t>
        </is>
      </c>
      <c r="AH221" s="26" t="inlineStr">
        <is>
          <t>Synthetic Athena negotiated charge</t>
        </is>
      </c>
    </row>
    <row r="222">
      <c r="A222" s="26" t="inlineStr">
        <is>
          <t>IPD-CHG-0109-CGH</t>
        </is>
      </c>
      <c r="B222" s="26" t="inlineStr">
        <is>
          <t>HAR-202600109-CGH</t>
        </is>
      </c>
      <c r="C222" s="26" t="inlineStr">
        <is>
          <t>CSN-IPD-780109-CGH</t>
        </is>
      </c>
      <c r="D222" s="26" t="inlineStr">
        <is>
          <t>Inpatient</t>
        </is>
      </c>
      <c r="E222" s="26" t="inlineStr">
        <is>
          <t>Demo Regional Medical Center</t>
        </is>
      </c>
      <c r="F222" s="26" t="inlineStr">
        <is>
          <t>Laboratory</t>
        </is>
      </c>
      <c r="G222" s="26" t="inlineStr">
        <is>
          <t>2026-09-10</t>
        </is>
      </c>
      <c r="H222" s="26" t="inlineStr">
        <is>
          <t>LAB-CBC</t>
        </is>
      </c>
      <c r="I222" s="26" t="inlineStr">
        <is>
          <t>Complete Blood Count with Differential</t>
        </is>
      </c>
      <c r="J222" s="26" t="inlineStr">
        <is>
          <t>0300</t>
        </is>
      </c>
      <c r="K222" s="26" t="inlineStr">
        <is>
          <t>85025</t>
        </is>
      </c>
      <c r="L222" s="26" t="n"/>
      <c r="M222" s="26" t="n">
        <v>1</v>
      </c>
      <c r="N222" s="13" t="n">
        <v>155</v>
      </c>
      <c r="O222" s="13">
        <f>M222*N222</f>
        <v/>
      </c>
      <c r="P222" s="13" t="n">
        <v>71.63</v>
      </c>
      <c r="Q222" s="13">
        <f>P222*15%</f>
        <v/>
      </c>
      <c r="R222" s="13">
        <f>O222-P222</f>
        <v/>
      </c>
      <c r="S222" s="26" t="inlineStr">
        <is>
          <t>Care Gap Health</t>
        </is>
      </c>
      <c r="T222" s="26" t="inlineStr">
        <is>
          <t>Care Gap Value PPO</t>
        </is>
      </c>
      <c r="U222" s="26" t="n"/>
      <c r="V222" s="26" t="inlineStr">
        <is>
          <t>Eleanor Brooks, MD</t>
        </is>
      </c>
      <c r="W222" s="26" t="inlineStr">
        <is>
          <t>Assigned Department Provider</t>
        </is>
      </c>
      <c r="X222" s="26" t="inlineStr">
        <is>
          <t>LIS</t>
        </is>
      </c>
      <c r="Y222" s="26" t="inlineStr">
        <is>
          <t>Final result</t>
        </is>
      </c>
      <c r="Z222" s="26" t="inlineStr">
        <is>
          <t>Posted</t>
        </is>
      </c>
      <c r="AA222" s="26" t="inlineStr">
        <is>
          <t>Matched</t>
        </is>
      </c>
      <c r="AB222" s="26" t="inlineStr">
        <is>
          <t>Passed</t>
        </is>
      </c>
      <c r="AC222" s="26" t="n"/>
      <c r="AD222" s="26" t="inlineStr">
        <is>
          <t>Diagnosis/LCD</t>
        </is>
      </c>
      <c r="AE222" s="26" t="inlineStr">
        <is>
          <t>D64.9</t>
        </is>
      </c>
      <c r="AF222" s="26" t="inlineStr">
        <is>
          <t>21</t>
        </is>
      </c>
      <c r="AG222" s="26" t="inlineStr">
        <is>
          <t>2026-09-10 16:30</t>
        </is>
      </c>
      <c r="AH222" s="26" t="inlineStr">
        <is>
          <t>Synthetic Care Gap charge; 10% below Athena allowed amount</t>
        </is>
      </c>
    </row>
    <row r="223">
      <c r="A223" s="26" t="inlineStr">
        <is>
          <t>IPD-CHG-0110-ATH</t>
        </is>
      </c>
      <c r="B223" s="26" t="inlineStr">
        <is>
          <t>HAR-202600110-ATH</t>
        </is>
      </c>
      <c r="C223" s="26" t="inlineStr">
        <is>
          <t>CSN-IPD-780110-ATH</t>
        </is>
      </c>
      <c r="D223" s="26" t="inlineStr">
        <is>
          <t>Inpatient</t>
        </is>
      </c>
      <c r="E223" s="26" t="inlineStr">
        <is>
          <t>Demo Regional Medical Center</t>
        </is>
      </c>
      <c r="F223" s="26" t="inlineStr">
        <is>
          <t>Laboratory</t>
        </is>
      </c>
      <c r="G223" s="26" t="inlineStr">
        <is>
          <t>2026-09-11</t>
        </is>
      </c>
      <c r="H223" s="26" t="inlineStr">
        <is>
          <t>LAB-CMP</t>
        </is>
      </c>
      <c r="I223" s="26" t="inlineStr">
        <is>
          <t>Comprehensive Metabolic Panel</t>
        </is>
      </c>
      <c r="J223" s="26" t="inlineStr">
        <is>
          <t>0301</t>
        </is>
      </c>
      <c r="K223" s="26" t="inlineStr">
        <is>
          <t>80053</t>
        </is>
      </c>
      <c r="L223" s="26" t="n"/>
      <c r="M223" s="26" t="n">
        <v>1</v>
      </c>
      <c r="N223" s="13" t="n">
        <v>245</v>
      </c>
      <c r="O223" s="13">
        <f>M223*N223</f>
        <v/>
      </c>
      <c r="P223" s="13" t="n">
        <v>176.04</v>
      </c>
      <c r="Q223" s="13">
        <f>P223*20%</f>
        <v/>
      </c>
      <c r="R223" s="13">
        <f>O223-P223</f>
        <v/>
      </c>
      <c r="S223" s="26" t="inlineStr">
        <is>
          <t>Athena Health Insurance</t>
        </is>
      </c>
      <c r="T223" s="26" t="inlineStr">
        <is>
          <t>Athena PPO</t>
        </is>
      </c>
      <c r="U223" s="26" t="n"/>
      <c r="V223" s="26" t="inlineStr">
        <is>
          <t>Eleanor Brooks, MD</t>
        </is>
      </c>
      <c r="W223" s="26" t="inlineStr">
        <is>
          <t>Assigned Department Provider</t>
        </is>
      </c>
      <c r="X223" s="26" t="inlineStr">
        <is>
          <t>LIS</t>
        </is>
      </c>
      <c r="Y223" s="26" t="inlineStr">
        <is>
          <t>Final result</t>
        </is>
      </c>
      <c r="Z223" s="26" t="inlineStr">
        <is>
          <t>Posted</t>
        </is>
      </c>
      <c r="AA223" s="26" t="inlineStr">
        <is>
          <t>Matched</t>
        </is>
      </c>
      <c r="AB223" s="26" t="inlineStr">
        <is>
          <t>Passed</t>
        </is>
      </c>
      <c r="AC223" s="26" t="n"/>
      <c r="AD223" s="26" t="inlineStr">
        <is>
          <t>Diagnosis/LCD</t>
        </is>
      </c>
      <c r="AE223" s="26" t="inlineStr">
        <is>
          <t>E11.9</t>
        </is>
      </c>
      <c r="AF223" s="26" t="inlineStr">
        <is>
          <t>21</t>
        </is>
      </c>
      <c r="AG223" s="26" t="inlineStr">
        <is>
          <t>2026-09-11 16:30</t>
        </is>
      </c>
      <c r="AH223" s="26" t="inlineStr">
        <is>
          <t>Synthetic Athena negotiated charge</t>
        </is>
      </c>
    </row>
    <row r="224">
      <c r="A224" s="26" t="inlineStr">
        <is>
          <t>IPD-CHG-0110-CGH</t>
        </is>
      </c>
      <c r="B224" s="26" t="inlineStr">
        <is>
          <t>HAR-202600110-CGH</t>
        </is>
      </c>
      <c r="C224" s="26" t="inlineStr">
        <is>
          <t>CSN-IPD-780110-CGH</t>
        </is>
      </c>
      <c r="D224" s="26" t="inlineStr">
        <is>
          <t>Inpatient</t>
        </is>
      </c>
      <c r="E224" s="26" t="inlineStr">
        <is>
          <t>Demo Regional Medical Center</t>
        </is>
      </c>
      <c r="F224" s="26" t="inlineStr">
        <is>
          <t>Laboratory</t>
        </is>
      </c>
      <c r="G224" s="26" t="inlineStr">
        <is>
          <t>2026-09-11</t>
        </is>
      </c>
      <c r="H224" s="26" t="inlineStr">
        <is>
          <t>LAB-CMP</t>
        </is>
      </c>
      <c r="I224" s="26" t="inlineStr">
        <is>
          <t>Comprehensive Metabolic Panel</t>
        </is>
      </c>
      <c r="J224" s="26" t="inlineStr">
        <is>
          <t>0301</t>
        </is>
      </c>
      <c r="K224" s="26" t="inlineStr">
        <is>
          <t>80053</t>
        </is>
      </c>
      <c r="L224" s="26" t="n"/>
      <c r="M224" s="26" t="n">
        <v>1</v>
      </c>
      <c r="N224" s="13" t="n">
        <v>245</v>
      </c>
      <c r="O224" s="13">
        <f>M224*N224</f>
        <v/>
      </c>
      <c r="P224" s="13" t="n">
        <v>158.44</v>
      </c>
      <c r="Q224" s="13">
        <f>P224*15%</f>
        <v/>
      </c>
      <c r="R224" s="13">
        <f>O224-P224</f>
        <v/>
      </c>
      <c r="S224" s="26" t="inlineStr">
        <is>
          <t>Care Gap Health</t>
        </is>
      </c>
      <c r="T224" s="26" t="inlineStr">
        <is>
          <t>Care Gap Value PPO</t>
        </is>
      </c>
      <c r="U224" s="26" t="n"/>
      <c r="V224" s="26" t="inlineStr">
        <is>
          <t>Eleanor Brooks, MD</t>
        </is>
      </c>
      <c r="W224" s="26" t="inlineStr">
        <is>
          <t>Assigned Department Provider</t>
        </is>
      </c>
      <c r="X224" s="26" t="inlineStr">
        <is>
          <t>LIS</t>
        </is>
      </c>
      <c r="Y224" s="26" t="inlineStr">
        <is>
          <t>Final result</t>
        </is>
      </c>
      <c r="Z224" s="26" t="inlineStr">
        <is>
          <t>Posted</t>
        </is>
      </c>
      <c r="AA224" s="26" t="inlineStr">
        <is>
          <t>Matched</t>
        </is>
      </c>
      <c r="AB224" s="26" t="inlineStr">
        <is>
          <t>Passed</t>
        </is>
      </c>
      <c r="AC224" s="26" t="n"/>
      <c r="AD224" s="26" t="inlineStr">
        <is>
          <t>Diagnosis/LCD</t>
        </is>
      </c>
      <c r="AE224" s="26" t="inlineStr">
        <is>
          <t>E11.9</t>
        </is>
      </c>
      <c r="AF224" s="26" t="inlineStr">
        <is>
          <t>21</t>
        </is>
      </c>
      <c r="AG224" s="26" t="inlineStr">
        <is>
          <t>2026-09-11 16:30</t>
        </is>
      </c>
      <c r="AH224" s="26" t="inlineStr">
        <is>
          <t>Synthetic Care Gap charge; 10% below Athena allowed amount</t>
        </is>
      </c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inlineStr">
        <is>
          <t>TOTAL</t>
        </is>
      </c>
      <c r="N226" s="13" t="n"/>
      <c r="O226" s="13">
        <f>SUM(O5:O224)</f>
        <v/>
      </c>
      <c r="P226" s="13">
        <f>SUM(P5:P224)</f>
        <v/>
      </c>
      <c r="Q226" s="13">
        <f>SUM(Q5:Q224)</f>
        <v/>
      </c>
      <c r="R226" s="13">
        <f>SUM(R5:R224)</f>
        <v/>
      </c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</row>
  </sheetData>
  <mergeCells count="2">
    <mergeCell ref="A2:AH2"/>
    <mergeCell ref="A1:AH1"/>
  </mergeCells>
  <conditionalFormatting sqref="AB5:AB114">
    <cfRule type="expression" priority="1" dxfId="0">
      <formula>AB5="Review"</formula>
    </cfRule>
  </conditionalFormatting>
  <conditionalFormatting sqref="Z5:Z114">
    <cfRule type="expression" priority="2" dxfId="1">
      <formula>Z5="Hold"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32" min="1" max="1"/>
    <col width="18" customWidth="1" style="32" min="2" max="3"/>
    <col width="14" customWidth="1" style="32" min="4" max="4"/>
    <col width="22" customWidth="1" style="32" min="5" max="5"/>
    <col width="24" customWidth="1" style="32" min="6" max="6"/>
    <col width="14" customWidth="1" style="32" min="7" max="7"/>
    <col width="17" customWidth="1" style="32" min="8" max="8"/>
    <col width="38" customWidth="1" style="32" min="9" max="9"/>
    <col width="12" customWidth="1" style="32" min="10" max="10"/>
    <col width="14" customWidth="1" style="32" min="11" max="11"/>
    <col width="10" customWidth="1" style="32" min="12" max="13"/>
    <col width="16" customWidth="1" style="32" min="14" max="14"/>
    <col width="18" customWidth="1" style="32" min="15" max="15"/>
    <col width="20" customWidth="1" style="32" min="16" max="16"/>
    <col width="22" customWidth="1" style="32" min="17" max="17"/>
    <col width="23" customWidth="1" style="32" min="18" max="18"/>
    <col width="16" customWidth="1" style="32" min="19" max="20"/>
    <col width="18" customWidth="1" style="32" min="21" max="21"/>
    <col width="24" customWidth="1" style="32" min="22" max="23"/>
    <col width="18" customWidth="1" style="32" min="24" max="24"/>
    <col width="25" customWidth="1" style="32" min="25" max="25"/>
    <col width="15" customWidth="1" style="32" min="26" max="26"/>
    <col width="20" customWidth="1" style="32" min="27" max="27"/>
    <col width="17" customWidth="1" style="32" min="28" max="28"/>
    <col width="18" customWidth="1" style="32" min="29" max="29"/>
    <col width="28" customWidth="1" style="32" min="30" max="30"/>
    <col width="18" customWidth="1" style="32" min="31" max="31"/>
    <col width="14" customWidth="1" style="32" min="32" max="32"/>
    <col width="21" customWidth="1" style="32" min="33" max="33"/>
    <col width="28" customWidth="1" style="32" min="34" max="34"/>
  </cols>
  <sheetData>
    <row r="1" ht="27.95" customHeight="1" s="32">
      <c r="A1" s="25" t="inlineStr">
        <is>
          <t>Outpatient Charge Detail</t>
        </is>
      </c>
    </row>
    <row r="2" ht="30" customHeight="1" s="32">
      <c r="A2" s="24" t="inlineStr">
        <is>
          <t>100 original synthetic outpatient charge lines, each represented for Athena Health Insurance and Care Gap Health (200 payer-priced rows).</t>
        </is>
      </c>
    </row>
    <row r="4" ht="42" customHeight="1" s="32">
      <c r="A4" s="18" t="inlineStr">
        <is>
          <t>Charge Line ID</t>
        </is>
      </c>
      <c r="B4" s="18" t="inlineStr">
        <is>
          <t>Patient Account</t>
        </is>
      </c>
      <c r="C4" s="18" t="inlineStr">
        <is>
          <t>Encounter ID</t>
        </is>
      </c>
      <c r="D4" s="18" t="inlineStr">
        <is>
          <t>Patient Class</t>
        </is>
      </c>
      <c r="E4" s="18" t="inlineStr">
        <is>
          <t>Facility</t>
        </is>
      </c>
      <c r="F4" s="18" t="inlineStr">
        <is>
          <t>Department</t>
        </is>
      </c>
      <c r="G4" s="18" t="inlineStr">
        <is>
          <t>Service Date</t>
        </is>
      </c>
      <c r="H4" s="18" t="inlineStr">
        <is>
          <t>Charge Code</t>
        </is>
      </c>
      <c r="I4" s="18" t="inlineStr">
        <is>
          <t>Charge Description</t>
        </is>
      </c>
      <c r="J4" s="18" t="inlineStr">
        <is>
          <t>Revenue Code</t>
        </is>
      </c>
      <c r="K4" s="18" t="inlineStr">
        <is>
          <t>CPT/HCPCS</t>
        </is>
      </c>
      <c r="L4" s="18" t="inlineStr">
        <is>
          <t>Modifier</t>
        </is>
      </c>
      <c r="M4" s="18" t="inlineStr">
        <is>
          <t>Quantity</t>
        </is>
      </c>
      <c r="N4" s="18" t="inlineStr">
        <is>
          <t>Unit Charge ($)</t>
        </is>
      </c>
      <c r="O4" s="18" t="inlineStr">
        <is>
          <t>Extended Gross ($)</t>
        </is>
      </c>
      <c r="P4" s="18" t="inlineStr">
        <is>
          <t>Expected Allowed ($)</t>
        </is>
      </c>
      <c r="Q4" s="18" t="inlineStr">
        <is>
          <t>Patient Responsibility ($)</t>
        </is>
      </c>
      <c r="R4" s="18" t="inlineStr">
        <is>
          <t>Contractual Adjustment ($)</t>
        </is>
      </c>
      <c r="S4" s="18" t="inlineStr">
        <is>
          <t>Payer</t>
        </is>
      </c>
      <c r="T4" s="18" t="inlineStr">
        <is>
          <t>Plan</t>
        </is>
      </c>
      <c r="U4" s="18" t="inlineStr">
        <is>
          <t>Authorization ID</t>
        </is>
      </c>
      <c r="V4" s="18" t="inlineStr">
        <is>
          <t>Ordering Provider</t>
        </is>
      </c>
      <c r="W4" s="18" t="inlineStr">
        <is>
          <t>Performing Provider</t>
        </is>
      </c>
      <c r="X4" s="18" t="inlineStr">
        <is>
          <t>Source System</t>
        </is>
      </c>
      <c r="Y4" s="18" t="inlineStr">
        <is>
          <t>Charge Trigger</t>
        </is>
      </c>
      <c r="Z4" s="18" t="inlineStr">
        <is>
          <t>Charge Status</t>
        </is>
      </c>
      <c r="AA4" s="18" t="inlineStr">
        <is>
          <t>Reconciliation Status</t>
        </is>
      </c>
      <c r="AB4" s="18" t="inlineStr">
        <is>
          <t>Claim Edit Status</t>
        </is>
      </c>
      <c r="AC4" s="18" t="inlineStr">
        <is>
          <t>Workqueue</t>
        </is>
      </c>
      <c r="AD4" s="18" t="inlineStr">
        <is>
          <t>Medical Necessity</t>
        </is>
      </c>
      <c r="AE4" s="18" t="inlineStr">
        <is>
          <t>Diagnosis Link</t>
        </is>
      </c>
      <c r="AF4" s="18" t="inlineStr">
        <is>
          <t>Place of Service</t>
        </is>
      </c>
      <c r="AG4" s="18" t="inlineStr">
        <is>
          <t>Posting Date/Time</t>
        </is>
      </c>
      <c r="AH4" s="18" t="inlineStr">
        <is>
          <t>Notes</t>
        </is>
      </c>
    </row>
    <row r="5">
      <c r="A5" s="26" t="inlineStr">
        <is>
          <t>OPD-CHG-0001-ATH</t>
        </is>
      </c>
      <c r="B5" s="26" t="inlineStr">
        <is>
          <t>OP-202600001-ATH</t>
        </is>
      </c>
      <c r="C5" s="26" t="inlineStr">
        <is>
          <t>CSN-OPD-780001-ATH</t>
        </is>
      </c>
      <c r="D5" s="26" t="inlineStr">
        <is>
          <t>Outpatient</t>
        </is>
      </c>
      <c r="E5" s="26" t="inlineStr">
        <is>
          <t>Demo Regional Medical Center</t>
        </is>
      </c>
      <c r="F5" s="26" t="inlineStr">
        <is>
          <t>Emergency Department</t>
        </is>
      </c>
      <c r="G5" s="26" t="inlineStr">
        <is>
          <t>2026-09-02</t>
        </is>
      </c>
      <c r="H5" s="26" t="inlineStr">
        <is>
          <t>ED-LEVEL-1</t>
        </is>
      </c>
      <c r="I5" s="26" t="inlineStr">
        <is>
          <t>Emergency Department Visit Level 1</t>
        </is>
      </c>
      <c r="J5" s="26" t="inlineStr">
        <is>
          <t>0450</t>
        </is>
      </c>
      <c r="K5" s="26" t="inlineStr">
        <is>
          <t>99281</t>
        </is>
      </c>
      <c r="L5" s="26" t="n"/>
      <c r="M5" s="26" t="n">
        <v>1</v>
      </c>
      <c r="N5" s="13" t="n">
        <v>360</v>
      </c>
      <c r="O5" s="13">
        <f>M5*N5</f>
        <v/>
      </c>
      <c r="P5" s="13" t="n">
        <v>221.39</v>
      </c>
      <c r="Q5" s="13">
        <f>P5*20%</f>
        <v/>
      </c>
      <c r="R5" s="13">
        <f>O5-P5</f>
        <v/>
      </c>
      <c r="S5" s="26" t="inlineStr">
        <is>
          <t>Athena Health Insurance</t>
        </is>
      </c>
      <c r="T5" s="26" t="inlineStr">
        <is>
          <t>Athena PPO</t>
        </is>
      </c>
      <c r="U5" s="26" t="n"/>
      <c r="V5" s="26" t="inlineStr">
        <is>
          <t>Eleanor Brooks, MD</t>
        </is>
      </c>
      <c r="W5" s="26" t="inlineStr">
        <is>
          <t>Assigned Department Provider</t>
        </is>
      </c>
      <c r="X5" s="26" t="inlineStr">
        <is>
          <t>ED</t>
        </is>
      </c>
      <c r="Y5" s="26" t="inlineStr">
        <is>
          <t>Encounter close</t>
        </is>
      </c>
      <c r="Z5" s="26" t="inlineStr">
        <is>
          <t>Posted</t>
        </is>
      </c>
      <c r="AA5" s="26" t="inlineStr">
        <is>
          <t>Matched</t>
        </is>
      </c>
      <c r="AB5" s="26" t="inlineStr">
        <is>
          <t>Passed</t>
        </is>
      </c>
      <c r="AC5" s="26" t="n"/>
      <c r="AD5" s="26" t="inlineStr">
        <is>
          <t>Documentation</t>
        </is>
      </c>
      <c r="AE5" s="26" t="inlineStr">
        <is>
          <t>R50.9</t>
        </is>
      </c>
      <c r="AF5" s="26" t="inlineStr">
        <is>
          <t>22</t>
        </is>
      </c>
      <c r="AG5" s="26" t="inlineStr">
        <is>
          <t>2026-09-02 16:30</t>
        </is>
      </c>
      <c r="AH5" s="26" t="inlineStr">
        <is>
          <t>Synthetic Athena negotiated charge</t>
        </is>
      </c>
    </row>
    <row r="6">
      <c r="A6" s="26" t="inlineStr">
        <is>
          <t>OPD-CHG-0001-CGH</t>
        </is>
      </c>
      <c r="B6" s="26" t="inlineStr">
        <is>
          <t>OP-202600001-CGH</t>
        </is>
      </c>
      <c r="C6" s="26" t="inlineStr">
        <is>
          <t>CSN-OPD-780001-CGH</t>
        </is>
      </c>
      <c r="D6" s="26" t="inlineStr">
        <is>
          <t>Outpatient</t>
        </is>
      </c>
      <c r="E6" s="26" t="inlineStr">
        <is>
          <t>Demo Regional Medical Center</t>
        </is>
      </c>
      <c r="F6" s="26" t="inlineStr">
        <is>
          <t>Emergency Department</t>
        </is>
      </c>
      <c r="G6" s="26" t="inlineStr">
        <is>
          <t>2026-09-02</t>
        </is>
      </c>
      <c r="H6" s="26" t="inlineStr">
        <is>
          <t>ED-LEVEL-1</t>
        </is>
      </c>
      <c r="I6" s="26" t="inlineStr">
        <is>
          <t>Emergency Department Visit Level 1</t>
        </is>
      </c>
      <c r="J6" s="26" t="inlineStr">
        <is>
          <t>0450</t>
        </is>
      </c>
      <c r="K6" s="26" t="inlineStr">
        <is>
          <t>99281</t>
        </is>
      </c>
      <c r="L6" s="26" t="n"/>
      <c r="M6" s="26" t="n">
        <v>1</v>
      </c>
      <c r="N6" s="13" t="n">
        <v>360</v>
      </c>
      <c r="O6" s="13">
        <f>M6*N6</f>
        <v/>
      </c>
      <c r="P6" s="13" t="n">
        <v>199.25</v>
      </c>
      <c r="Q6" s="13">
        <f>P6*15%</f>
        <v/>
      </c>
      <c r="R6" s="13">
        <f>O6-P6</f>
        <v/>
      </c>
      <c r="S6" s="26" t="inlineStr">
        <is>
          <t>Care Gap Health</t>
        </is>
      </c>
      <c r="T6" s="26" t="inlineStr">
        <is>
          <t>Care Gap Value PPO</t>
        </is>
      </c>
      <c r="U6" s="26" t="n"/>
      <c r="V6" s="26" t="inlineStr">
        <is>
          <t>Eleanor Brooks, MD</t>
        </is>
      </c>
      <c r="W6" s="26" t="inlineStr">
        <is>
          <t>Assigned Department Provider</t>
        </is>
      </c>
      <c r="X6" s="26" t="inlineStr">
        <is>
          <t>ED</t>
        </is>
      </c>
      <c r="Y6" s="26" t="inlineStr">
        <is>
          <t>Encounter close</t>
        </is>
      </c>
      <c r="Z6" s="26" t="inlineStr">
        <is>
          <t>Posted</t>
        </is>
      </c>
      <c r="AA6" s="26" t="inlineStr">
        <is>
          <t>Matched</t>
        </is>
      </c>
      <c r="AB6" s="26" t="inlineStr">
        <is>
          <t>Passed</t>
        </is>
      </c>
      <c r="AC6" s="26" t="n"/>
      <c r="AD6" s="26" t="inlineStr">
        <is>
          <t>Documentation</t>
        </is>
      </c>
      <c r="AE6" s="26" t="inlineStr">
        <is>
          <t>R50.9</t>
        </is>
      </c>
      <c r="AF6" s="26" t="inlineStr">
        <is>
          <t>22</t>
        </is>
      </c>
      <c r="AG6" s="26" t="inlineStr">
        <is>
          <t>2026-09-02 16:30</t>
        </is>
      </c>
      <c r="AH6" s="26" t="inlineStr">
        <is>
          <t>Synthetic Care Gap charge; 10% below Athena allowed amount</t>
        </is>
      </c>
    </row>
    <row r="7">
      <c r="A7" s="26" t="inlineStr">
        <is>
          <t>OPD-CHG-0002-ATH</t>
        </is>
      </c>
      <c r="B7" s="26" t="inlineStr">
        <is>
          <t>OP-202600002-ATH</t>
        </is>
      </c>
      <c r="C7" s="26" t="inlineStr">
        <is>
          <t>CSN-OPD-780002-ATH</t>
        </is>
      </c>
      <c r="D7" s="26" t="inlineStr">
        <is>
          <t>Outpatient</t>
        </is>
      </c>
      <c r="E7" s="26" t="inlineStr">
        <is>
          <t>Demo Regional Medical Center</t>
        </is>
      </c>
      <c r="F7" s="26" t="inlineStr">
        <is>
          <t>Emergency Department</t>
        </is>
      </c>
      <c r="G7" s="26" t="inlineStr">
        <is>
          <t>2026-09-03</t>
        </is>
      </c>
      <c r="H7" s="26" t="inlineStr">
        <is>
          <t>ED-LEVEL-2</t>
        </is>
      </c>
      <c r="I7" s="26" t="inlineStr">
        <is>
          <t>Emergency Department Visit Level 2</t>
        </is>
      </c>
      <c r="J7" s="26" t="inlineStr">
        <is>
          <t>0450</t>
        </is>
      </c>
      <c r="K7" s="26" t="inlineStr">
        <is>
          <t>99282</t>
        </is>
      </c>
      <c r="L7" s="26" t="n"/>
      <c r="M7" s="26" t="n">
        <v>1</v>
      </c>
      <c r="N7" s="13" t="n">
        <v>670</v>
      </c>
      <c r="O7" s="13">
        <f>M7*N7</f>
        <v/>
      </c>
      <c r="P7" s="13" t="n">
        <v>369.46</v>
      </c>
      <c r="Q7" s="13">
        <f>P7*20%</f>
        <v/>
      </c>
      <c r="R7" s="13">
        <f>O7-P7</f>
        <v/>
      </c>
      <c r="S7" s="26" t="inlineStr">
        <is>
          <t>Athena Health Insurance</t>
        </is>
      </c>
      <c r="T7" s="26" t="inlineStr">
        <is>
          <t>Athena PPO</t>
        </is>
      </c>
      <c r="U7" s="26" t="n"/>
      <c r="V7" s="26" t="inlineStr">
        <is>
          <t>Eleanor Brooks, MD</t>
        </is>
      </c>
      <c r="W7" s="26" t="inlineStr">
        <is>
          <t>Assigned Department Provider</t>
        </is>
      </c>
      <c r="X7" s="26" t="inlineStr">
        <is>
          <t>ED</t>
        </is>
      </c>
      <c r="Y7" s="26" t="inlineStr">
        <is>
          <t>Encounter close</t>
        </is>
      </c>
      <c r="Z7" s="26" t="inlineStr">
        <is>
          <t>Posted</t>
        </is>
      </c>
      <c r="AA7" s="26" t="inlineStr">
        <is>
          <t>Matched</t>
        </is>
      </c>
      <c r="AB7" s="26" t="inlineStr">
        <is>
          <t>Passed</t>
        </is>
      </c>
      <c r="AC7" s="26" t="n"/>
      <c r="AD7" s="26" t="inlineStr">
        <is>
          <t>Documentation</t>
        </is>
      </c>
      <c r="AE7" s="26" t="inlineStr">
        <is>
          <t>R51.9</t>
        </is>
      </c>
      <c r="AF7" s="26" t="inlineStr">
        <is>
          <t>22</t>
        </is>
      </c>
      <c r="AG7" s="26" t="inlineStr">
        <is>
          <t>2026-09-03 16:30</t>
        </is>
      </c>
      <c r="AH7" s="26" t="inlineStr">
        <is>
          <t>Synthetic Athena negotiated charge</t>
        </is>
      </c>
    </row>
    <row r="8">
      <c r="A8" s="26" t="inlineStr">
        <is>
          <t>OPD-CHG-0002-CGH</t>
        </is>
      </c>
      <c r="B8" s="26" t="inlineStr">
        <is>
          <t>OP-202600002-CGH</t>
        </is>
      </c>
      <c r="C8" s="26" t="inlineStr">
        <is>
          <t>CSN-OPD-780002-CGH</t>
        </is>
      </c>
      <c r="D8" s="26" t="inlineStr">
        <is>
          <t>Outpatient</t>
        </is>
      </c>
      <c r="E8" s="26" t="inlineStr">
        <is>
          <t>Demo Regional Medical Center</t>
        </is>
      </c>
      <c r="F8" s="26" t="inlineStr">
        <is>
          <t>Emergency Department</t>
        </is>
      </c>
      <c r="G8" s="26" t="inlineStr">
        <is>
          <t>2026-09-03</t>
        </is>
      </c>
      <c r="H8" s="26" t="inlineStr">
        <is>
          <t>ED-LEVEL-2</t>
        </is>
      </c>
      <c r="I8" s="26" t="inlineStr">
        <is>
          <t>Emergency Department Visit Level 2</t>
        </is>
      </c>
      <c r="J8" s="26" t="inlineStr">
        <is>
          <t>0450</t>
        </is>
      </c>
      <c r="K8" s="26" t="inlineStr">
        <is>
          <t>99282</t>
        </is>
      </c>
      <c r="L8" s="26" t="n"/>
      <c r="M8" s="26" t="n">
        <v>1</v>
      </c>
      <c r="N8" s="13" t="n">
        <v>670</v>
      </c>
      <c r="O8" s="13">
        <f>M8*N8</f>
        <v/>
      </c>
      <c r="P8" s="13" t="n">
        <v>332.51</v>
      </c>
      <c r="Q8" s="13">
        <f>P8*15%</f>
        <v/>
      </c>
      <c r="R8" s="13">
        <f>O8-P8</f>
        <v/>
      </c>
      <c r="S8" s="26" t="inlineStr">
        <is>
          <t>Care Gap Health</t>
        </is>
      </c>
      <c r="T8" s="26" t="inlineStr">
        <is>
          <t>Care Gap Value PPO</t>
        </is>
      </c>
      <c r="U8" s="26" t="n"/>
      <c r="V8" s="26" t="inlineStr">
        <is>
          <t>Eleanor Brooks, MD</t>
        </is>
      </c>
      <c r="W8" s="26" t="inlineStr">
        <is>
          <t>Assigned Department Provider</t>
        </is>
      </c>
      <c r="X8" s="26" t="inlineStr">
        <is>
          <t>ED</t>
        </is>
      </c>
      <c r="Y8" s="26" t="inlineStr">
        <is>
          <t>Encounter close</t>
        </is>
      </c>
      <c r="Z8" s="26" t="inlineStr">
        <is>
          <t>Posted</t>
        </is>
      </c>
      <c r="AA8" s="26" t="inlineStr">
        <is>
          <t>Matched</t>
        </is>
      </c>
      <c r="AB8" s="26" t="inlineStr">
        <is>
          <t>Passed</t>
        </is>
      </c>
      <c r="AC8" s="26" t="n"/>
      <c r="AD8" s="26" t="inlineStr">
        <is>
          <t>Documentation</t>
        </is>
      </c>
      <c r="AE8" s="26" t="inlineStr">
        <is>
          <t>R51.9</t>
        </is>
      </c>
      <c r="AF8" s="26" t="inlineStr">
        <is>
          <t>22</t>
        </is>
      </c>
      <c r="AG8" s="26" t="inlineStr">
        <is>
          <t>2026-09-03 16:30</t>
        </is>
      </c>
      <c r="AH8" s="26" t="inlineStr">
        <is>
          <t>Synthetic Care Gap charge; 10% below Athena allowed amount</t>
        </is>
      </c>
    </row>
    <row r="9">
      <c r="A9" s="26" t="inlineStr">
        <is>
          <t>OPD-CHG-0003-ATH</t>
        </is>
      </c>
      <c r="B9" s="26" t="inlineStr">
        <is>
          <t>OP-202600003-ATH</t>
        </is>
      </c>
      <c r="C9" s="26" t="inlineStr">
        <is>
          <t>CSN-OPD-780003-ATH</t>
        </is>
      </c>
      <c r="D9" s="26" t="inlineStr">
        <is>
          <t>Outpatient</t>
        </is>
      </c>
      <c r="E9" s="26" t="inlineStr">
        <is>
          <t>Demo Regional Medical Center</t>
        </is>
      </c>
      <c r="F9" s="26" t="inlineStr">
        <is>
          <t>Emergency Department</t>
        </is>
      </c>
      <c r="G9" s="26" t="inlineStr">
        <is>
          <t>2026-09-04</t>
        </is>
      </c>
      <c r="H9" s="26" t="inlineStr">
        <is>
          <t>ED-LEVEL-3</t>
        </is>
      </c>
      <c r="I9" s="26" t="inlineStr">
        <is>
          <t>Emergency Department Visit Level 3</t>
        </is>
      </c>
      <c r="J9" s="26" t="inlineStr">
        <is>
          <t>0450</t>
        </is>
      </c>
      <c r="K9" s="26" t="inlineStr">
        <is>
          <t>99283</t>
        </is>
      </c>
      <c r="L9" s="26" t="n"/>
      <c r="M9" s="26" t="n">
        <v>1</v>
      </c>
      <c r="N9" s="13" t="n">
        <v>1280</v>
      </c>
      <c r="O9" s="13">
        <f>M9*N9</f>
        <v/>
      </c>
      <c r="P9" s="13" t="n">
        <v>736.35</v>
      </c>
      <c r="Q9" s="13">
        <f>P9*20%</f>
        <v/>
      </c>
      <c r="R9" s="13">
        <f>O9-P9</f>
        <v/>
      </c>
      <c r="S9" s="26" t="inlineStr">
        <is>
          <t>Athena Health Insurance</t>
        </is>
      </c>
      <c r="T9" s="26" t="inlineStr">
        <is>
          <t>Athena PPO</t>
        </is>
      </c>
      <c r="U9" s="26" t="n"/>
      <c r="V9" s="26" t="inlineStr">
        <is>
          <t>Eleanor Brooks, MD</t>
        </is>
      </c>
      <c r="W9" s="26" t="inlineStr">
        <is>
          <t>Assigned Department Provider</t>
        </is>
      </c>
      <c r="X9" s="26" t="inlineStr">
        <is>
          <t>ED</t>
        </is>
      </c>
      <c r="Y9" s="26" t="inlineStr">
        <is>
          <t>Encounter close</t>
        </is>
      </c>
      <c r="Z9" s="26" t="inlineStr">
        <is>
          <t>Posted</t>
        </is>
      </c>
      <c r="AA9" s="26" t="inlineStr">
        <is>
          <t>Matched</t>
        </is>
      </c>
      <c r="AB9" s="26" t="inlineStr">
        <is>
          <t>Passed</t>
        </is>
      </c>
      <c r="AC9" s="26" t="n"/>
      <c r="AD9" s="26" t="inlineStr">
        <is>
          <t>Documentation</t>
        </is>
      </c>
      <c r="AE9" s="26" t="inlineStr">
        <is>
          <t>R10.9</t>
        </is>
      </c>
      <c r="AF9" s="26" t="inlineStr">
        <is>
          <t>22</t>
        </is>
      </c>
      <c r="AG9" s="26" t="inlineStr">
        <is>
          <t>2026-09-04 16:30</t>
        </is>
      </c>
      <c r="AH9" s="26" t="inlineStr">
        <is>
          <t>Synthetic Athena negotiated charge</t>
        </is>
      </c>
    </row>
    <row r="10">
      <c r="A10" s="26" t="inlineStr">
        <is>
          <t>OPD-CHG-0003-CGH</t>
        </is>
      </c>
      <c r="B10" s="26" t="inlineStr">
        <is>
          <t>OP-202600003-CGH</t>
        </is>
      </c>
      <c r="C10" s="26" t="inlineStr">
        <is>
          <t>CSN-OPD-780003-CGH</t>
        </is>
      </c>
      <c r="D10" s="26" t="inlineStr">
        <is>
          <t>Outpatient</t>
        </is>
      </c>
      <c r="E10" s="26" t="inlineStr">
        <is>
          <t>Demo Regional Medical Center</t>
        </is>
      </c>
      <c r="F10" s="26" t="inlineStr">
        <is>
          <t>Emergency Department</t>
        </is>
      </c>
      <c r="G10" s="26" t="inlineStr">
        <is>
          <t>2026-09-04</t>
        </is>
      </c>
      <c r="H10" s="26" t="inlineStr">
        <is>
          <t>ED-LEVEL-3</t>
        </is>
      </c>
      <c r="I10" s="26" t="inlineStr">
        <is>
          <t>Emergency Department Visit Level 3</t>
        </is>
      </c>
      <c r="J10" s="26" t="inlineStr">
        <is>
          <t>0450</t>
        </is>
      </c>
      <c r="K10" s="26" t="inlineStr">
        <is>
          <t>99283</t>
        </is>
      </c>
      <c r="L10" s="26" t="n"/>
      <c r="M10" s="26" t="n">
        <v>1</v>
      </c>
      <c r="N10" s="13" t="n">
        <v>1280</v>
      </c>
      <c r="O10" s="13">
        <f>M10*N10</f>
        <v/>
      </c>
      <c r="P10" s="13" t="n">
        <v>662.72</v>
      </c>
      <c r="Q10" s="13">
        <f>P10*15%</f>
        <v/>
      </c>
      <c r="R10" s="13">
        <f>O10-P10</f>
        <v/>
      </c>
      <c r="S10" s="26" t="inlineStr">
        <is>
          <t>Care Gap Health</t>
        </is>
      </c>
      <c r="T10" s="26" t="inlineStr">
        <is>
          <t>Care Gap Value PPO</t>
        </is>
      </c>
      <c r="U10" s="26" t="n"/>
      <c r="V10" s="26" t="inlineStr">
        <is>
          <t>Eleanor Brooks, MD</t>
        </is>
      </c>
      <c r="W10" s="26" t="inlineStr">
        <is>
          <t>Assigned Department Provider</t>
        </is>
      </c>
      <c r="X10" s="26" t="inlineStr">
        <is>
          <t>ED</t>
        </is>
      </c>
      <c r="Y10" s="26" t="inlineStr">
        <is>
          <t>Encounter close</t>
        </is>
      </c>
      <c r="Z10" s="26" t="inlineStr">
        <is>
          <t>Posted</t>
        </is>
      </c>
      <c r="AA10" s="26" t="inlineStr">
        <is>
          <t>Matched</t>
        </is>
      </c>
      <c r="AB10" s="26" t="inlineStr">
        <is>
          <t>Passed</t>
        </is>
      </c>
      <c r="AC10" s="26" t="n"/>
      <c r="AD10" s="26" t="inlineStr">
        <is>
          <t>Documentation</t>
        </is>
      </c>
      <c r="AE10" s="26" t="inlineStr">
        <is>
          <t>R10.9</t>
        </is>
      </c>
      <c r="AF10" s="26" t="inlineStr">
        <is>
          <t>22</t>
        </is>
      </c>
      <c r="AG10" s="26" t="inlineStr">
        <is>
          <t>2026-09-04 16:30</t>
        </is>
      </c>
      <c r="AH10" s="26" t="inlineStr">
        <is>
          <t>Synthetic Care Gap charge; 10% below Athena allowed amount</t>
        </is>
      </c>
    </row>
    <row r="11">
      <c r="A11" s="26" t="inlineStr">
        <is>
          <t>OPD-CHG-0004-ATH</t>
        </is>
      </c>
      <c r="B11" s="26" t="inlineStr">
        <is>
          <t>OP-202600004-ATH</t>
        </is>
      </c>
      <c r="C11" s="26" t="inlineStr">
        <is>
          <t>CSN-OPD-780004-ATH</t>
        </is>
      </c>
      <c r="D11" s="26" t="inlineStr">
        <is>
          <t>Outpatient</t>
        </is>
      </c>
      <c r="E11" s="26" t="inlineStr">
        <is>
          <t>Demo Regional Medical Center</t>
        </is>
      </c>
      <c r="F11" s="26" t="inlineStr">
        <is>
          <t>Emergency Department</t>
        </is>
      </c>
      <c r="G11" s="26" t="inlineStr">
        <is>
          <t>2026-09-05</t>
        </is>
      </c>
      <c r="H11" s="26" t="inlineStr">
        <is>
          <t>ED-LEVEL-4</t>
        </is>
      </c>
      <c r="I11" s="26" t="inlineStr">
        <is>
          <t>Emergency Department Visit Level 4</t>
        </is>
      </c>
      <c r="J11" s="26" t="inlineStr">
        <is>
          <t>0450</t>
        </is>
      </c>
      <c r="K11" s="26" t="inlineStr">
        <is>
          <t>99284</t>
        </is>
      </c>
      <c r="L11" s="26" t="n"/>
      <c r="M11" s="26" t="n">
        <v>1</v>
      </c>
      <c r="N11" s="13" t="n">
        <v>2350</v>
      </c>
      <c r="O11" s="13">
        <f>M11*N11</f>
        <v/>
      </c>
      <c r="P11" s="13" t="n">
        <v>1072.31</v>
      </c>
      <c r="Q11" s="13">
        <f>P11*20%</f>
        <v/>
      </c>
      <c r="R11" s="13">
        <f>O11-P11</f>
        <v/>
      </c>
      <c r="S11" s="26" t="inlineStr">
        <is>
          <t>Athena Health Insurance</t>
        </is>
      </c>
      <c r="T11" s="26" t="inlineStr">
        <is>
          <t>Athena PPO</t>
        </is>
      </c>
      <c r="U11" s="26" t="n"/>
      <c r="V11" s="26" t="inlineStr">
        <is>
          <t>Eleanor Brooks, MD</t>
        </is>
      </c>
      <c r="W11" s="26" t="inlineStr">
        <is>
          <t>Assigned Department Provider</t>
        </is>
      </c>
      <c r="X11" s="26" t="inlineStr">
        <is>
          <t>ED</t>
        </is>
      </c>
      <c r="Y11" s="26" t="inlineStr">
        <is>
          <t>Encounter close</t>
        </is>
      </c>
      <c r="Z11" s="26" t="inlineStr">
        <is>
          <t>Posted</t>
        </is>
      </c>
      <c r="AA11" s="26" t="inlineStr">
        <is>
          <t>Matched</t>
        </is>
      </c>
      <c r="AB11" s="26" t="inlineStr">
        <is>
          <t>Passed</t>
        </is>
      </c>
      <c r="AC11" s="26" t="n"/>
      <c r="AD11" s="26" t="inlineStr">
        <is>
          <t>Documentation</t>
        </is>
      </c>
      <c r="AE11" s="26" t="inlineStr">
        <is>
          <t>R06.02</t>
        </is>
      </c>
      <c r="AF11" s="26" t="inlineStr">
        <is>
          <t>22</t>
        </is>
      </c>
      <c r="AG11" s="26" t="inlineStr">
        <is>
          <t>2026-09-05 16:30</t>
        </is>
      </c>
      <c r="AH11" s="26" t="inlineStr">
        <is>
          <t>Synthetic Athena negotiated charge</t>
        </is>
      </c>
    </row>
    <row r="12">
      <c r="A12" s="26" t="inlineStr">
        <is>
          <t>OPD-CHG-0004-CGH</t>
        </is>
      </c>
      <c r="B12" s="26" t="inlineStr">
        <is>
          <t>OP-202600004-CGH</t>
        </is>
      </c>
      <c r="C12" s="26" t="inlineStr">
        <is>
          <t>CSN-OPD-780004-CGH</t>
        </is>
      </c>
      <c r="D12" s="26" t="inlineStr">
        <is>
          <t>Outpatient</t>
        </is>
      </c>
      <c r="E12" s="26" t="inlineStr">
        <is>
          <t>Demo Regional Medical Center</t>
        </is>
      </c>
      <c r="F12" s="26" t="inlineStr">
        <is>
          <t>Emergency Department</t>
        </is>
      </c>
      <c r="G12" s="26" t="inlineStr">
        <is>
          <t>2026-09-05</t>
        </is>
      </c>
      <c r="H12" s="26" t="inlineStr">
        <is>
          <t>ED-LEVEL-4</t>
        </is>
      </c>
      <c r="I12" s="26" t="inlineStr">
        <is>
          <t>Emergency Department Visit Level 4</t>
        </is>
      </c>
      <c r="J12" s="26" t="inlineStr">
        <is>
          <t>0450</t>
        </is>
      </c>
      <c r="K12" s="26" t="inlineStr">
        <is>
          <t>99284</t>
        </is>
      </c>
      <c r="L12" s="26" t="n"/>
      <c r="M12" s="26" t="n">
        <v>1</v>
      </c>
      <c r="N12" s="13" t="n">
        <v>2350</v>
      </c>
      <c r="O12" s="13">
        <f>M12*N12</f>
        <v/>
      </c>
      <c r="P12" s="13" t="n">
        <v>965.08</v>
      </c>
      <c r="Q12" s="13">
        <f>P12*15%</f>
        <v/>
      </c>
      <c r="R12" s="13">
        <f>O12-P12</f>
        <v/>
      </c>
      <c r="S12" s="26" t="inlineStr">
        <is>
          <t>Care Gap Health</t>
        </is>
      </c>
      <c r="T12" s="26" t="inlineStr">
        <is>
          <t>Care Gap Value PPO</t>
        </is>
      </c>
      <c r="U12" s="26" t="n"/>
      <c r="V12" s="26" t="inlineStr">
        <is>
          <t>Eleanor Brooks, MD</t>
        </is>
      </c>
      <c r="W12" s="26" t="inlineStr">
        <is>
          <t>Assigned Department Provider</t>
        </is>
      </c>
      <c r="X12" s="26" t="inlineStr">
        <is>
          <t>ED</t>
        </is>
      </c>
      <c r="Y12" s="26" t="inlineStr">
        <is>
          <t>Encounter close</t>
        </is>
      </c>
      <c r="Z12" s="26" t="inlineStr">
        <is>
          <t>Posted</t>
        </is>
      </c>
      <c r="AA12" s="26" t="inlineStr">
        <is>
          <t>Matched</t>
        </is>
      </c>
      <c r="AB12" s="26" t="inlineStr">
        <is>
          <t>Passed</t>
        </is>
      </c>
      <c r="AC12" s="26" t="n"/>
      <c r="AD12" s="26" t="inlineStr">
        <is>
          <t>Documentation</t>
        </is>
      </c>
      <c r="AE12" s="26" t="inlineStr">
        <is>
          <t>R06.02</t>
        </is>
      </c>
      <c r="AF12" s="26" t="inlineStr">
        <is>
          <t>22</t>
        </is>
      </c>
      <c r="AG12" s="26" t="inlineStr">
        <is>
          <t>2026-09-05 16:30</t>
        </is>
      </c>
      <c r="AH12" s="26" t="inlineStr">
        <is>
          <t>Synthetic Care Gap charge; 10% below Athena allowed amount</t>
        </is>
      </c>
    </row>
    <row r="13">
      <c r="A13" s="26" t="inlineStr">
        <is>
          <t>OPD-CHG-0005-ATH</t>
        </is>
      </c>
      <c r="B13" s="26" t="inlineStr">
        <is>
          <t>OP-202600005-ATH</t>
        </is>
      </c>
      <c r="C13" s="26" t="inlineStr">
        <is>
          <t>CSN-OPD-780005-ATH</t>
        </is>
      </c>
      <c r="D13" s="26" t="inlineStr">
        <is>
          <t>Outpatient</t>
        </is>
      </c>
      <c r="E13" s="26" t="inlineStr">
        <is>
          <t>Demo Regional Medical Center</t>
        </is>
      </c>
      <c r="F13" s="26" t="inlineStr">
        <is>
          <t>Emergency Department</t>
        </is>
      </c>
      <c r="G13" s="26" t="inlineStr">
        <is>
          <t>2026-09-06</t>
        </is>
      </c>
      <c r="H13" s="26" t="inlineStr">
        <is>
          <t>ED-LEVEL-5</t>
        </is>
      </c>
      <c r="I13" s="26" t="inlineStr">
        <is>
          <t>Emergency Department Visit Level 5</t>
        </is>
      </c>
      <c r="J13" s="26" t="inlineStr">
        <is>
          <t>0450</t>
        </is>
      </c>
      <c r="K13" s="26" t="inlineStr">
        <is>
          <t>99285</t>
        </is>
      </c>
      <c r="L13" s="26" t="n"/>
      <c r="M13" s="26" t="n">
        <v>1</v>
      </c>
      <c r="N13" s="13" t="n">
        <v>4300</v>
      </c>
      <c r="O13" s="13">
        <f>M13*N13</f>
        <v/>
      </c>
      <c r="P13" s="13" t="n">
        <v>2095.86</v>
      </c>
      <c r="Q13" s="13">
        <f>P13*20%</f>
        <v/>
      </c>
      <c r="R13" s="13">
        <f>O13-P13</f>
        <v/>
      </c>
      <c r="S13" s="26" t="inlineStr">
        <is>
          <t>Athena Health Insurance</t>
        </is>
      </c>
      <c r="T13" s="26" t="inlineStr">
        <is>
          <t>Athena PPO</t>
        </is>
      </c>
      <c r="U13" s="26" t="n"/>
      <c r="V13" s="26" t="inlineStr">
        <is>
          <t>Eleanor Brooks, MD</t>
        </is>
      </c>
      <c r="W13" s="26" t="inlineStr">
        <is>
          <t>Assigned Department Provider</t>
        </is>
      </c>
      <c r="X13" s="26" t="inlineStr">
        <is>
          <t>ED</t>
        </is>
      </c>
      <c r="Y13" s="26" t="inlineStr">
        <is>
          <t>Encounter close</t>
        </is>
      </c>
      <c r="Z13" s="26" t="inlineStr">
        <is>
          <t>Posted</t>
        </is>
      </c>
      <c r="AA13" s="26" t="inlineStr">
        <is>
          <t>Matched</t>
        </is>
      </c>
      <c r="AB13" s="26" t="inlineStr">
        <is>
          <t>Passed</t>
        </is>
      </c>
      <c r="AC13" s="26" t="n"/>
      <c r="AD13" s="26" t="inlineStr">
        <is>
          <t>Documentation</t>
        </is>
      </c>
      <c r="AE13" s="26" t="inlineStr">
        <is>
          <t>R07.9</t>
        </is>
      </c>
      <c r="AF13" s="26" t="inlineStr">
        <is>
          <t>22</t>
        </is>
      </c>
      <c r="AG13" s="26" t="inlineStr">
        <is>
          <t>2026-09-06 16:30</t>
        </is>
      </c>
      <c r="AH13" s="26" t="inlineStr">
        <is>
          <t>Synthetic Athena negotiated charge</t>
        </is>
      </c>
    </row>
    <row r="14">
      <c r="A14" s="26" t="inlineStr">
        <is>
          <t>OPD-CHG-0005-CGH</t>
        </is>
      </c>
      <c r="B14" s="26" t="inlineStr">
        <is>
          <t>OP-202600005-CGH</t>
        </is>
      </c>
      <c r="C14" s="26" t="inlineStr">
        <is>
          <t>CSN-OPD-780005-CGH</t>
        </is>
      </c>
      <c r="D14" s="26" t="inlineStr">
        <is>
          <t>Outpatient</t>
        </is>
      </c>
      <c r="E14" s="26" t="inlineStr">
        <is>
          <t>Demo Regional Medical Center</t>
        </is>
      </c>
      <c r="F14" s="26" t="inlineStr">
        <is>
          <t>Emergency Department</t>
        </is>
      </c>
      <c r="G14" s="26" t="inlineStr">
        <is>
          <t>2026-09-06</t>
        </is>
      </c>
      <c r="H14" s="26" t="inlineStr">
        <is>
          <t>ED-LEVEL-5</t>
        </is>
      </c>
      <c r="I14" s="26" t="inlineStr">
        <is>
          <t>Emergency Department Visit Level 5</t>
        </is>
      </c>
      <c r="J14" s="26" t="inlineStr">
        <is>
          <t>0450</t>
        </is>
      </c>
      <c r="K14" s="26" t="inlineStr">
        <is>
          <t>99285</t>
        </is>
      </c>
      <c r="L14" s="26" t="n"/>
      <c r="M14" s="26" t="n">
        <v>1</v>
      </c>
      <c r="N14" s="13" t="n">
        <v>4300</v>
      </c>
      <c r="O14" s="13">
        <f>M14*N14</f>
        <v/>
      </c>
      <c r="P14" s="13" t="n">
        <v>1886.27</v>
      </c>
      <c r="Q14" s="13">
        <f>P14*15%</f>
        <v/>
      </c>
      <c r="R14" s="13">
        <f>O14-P14</f>
        <v/>
      </c>
      <c r="S14" s="26" t="inlineStr">
        <is>
          <t>Care Gap Health</t>
        </is>
      </c>
      <c r="T14" s="26" t="inlineStr">
        <is>
          <t>Care Gap Value PPO</t>
        </is>
      </c>
      <c r="U14" s="26" t="n"/>
      <c r="V14" s="26" t="inlineStr">
        <is>
          <t>Eleanor Brooks, MD</t>
        </is>
      </c>
      <c r="W14" s="26" t="inlineStr">
        <is>
          <t>Assigned Department Provider</t>
        </is>
      </c>
      <c r="X14" s="26" t="inlineStr">
        <is>
          <t>ED</t>
        </is>
      </c>
      <c r="Y14" s="26" t="inlineStr">
        <is>
          <t>Encounter close</t>
        </is>
      </c>
      <c r="Z14" s="26" t="inlineStr">
        <is>
          <t>Posted</t>
        </is>
      </c>
      <c r="AA14" s="26" t="inlineStr">
        <is>
          <t>Matched</t>
        </is>
      </c>
      <c r="AB14" s="26" t="inlineStr">
        <is>
          <t>Passed</t>
        </is>
      </c>
      <c r="AC14" s="26" t="n"/>
      <c r="AD14" s="26" t="inlineStr">
        <is>
          <t>Documentation</t>
        </is>
      </c>
      <c r="AE14" s="26" t="inlineStr">
        <is>
          <t>R07.9</t>
        </is>
      </c>
      <c r="AF14" s="26" t="inlineStr">
        <is>
          <t>22</t>
        </is>
      </c>
      <c r="AG14" s="26" t="inlineStr">
        <is>
          <t>2026-09-06 16:30</t>
        </is>
      </c>
      <c r="AH14" s="26" t="inlineStr">
        <is>
          <t>Synthetic Care Gap charge; 10% below Athena allowed amount</t>
        </is>
      </c>
    </row>
    <row r="15">
      <c r="A15" s="26" t="inlineStr">
        <is>
          <t>OPD-CHG-0006-ATH</t>
        </is>
      </c>
      <c r="B15" s="26" t="inlineStr">
        <is>
          <t>OP-202600006-ATH</t>
        </is>
      </c>
      <c r="C15" s="26" t="inlineStr">
        <is>
          <t>CSN-OPD-780006-ATH</t>
        </is>
      </c>
      <c r="D15" s="26" t="inlineStr">
        <is>
          <t>Outpatient</t>
        </is>
      </c>
      <c r="E15" s="26" t="inlineStr">
        <is>
          <t>Demo Regional Medical Center</t>
        </is>
      </c>
      <c r="F15" s="26" t="inlineStr">
        <is>
          <t>Hospital Clinic</t>
        </is>
      </c>
      <c r="G15" s="26" t="inlineStr">
        <is>
          <t>2026-09-07</t>
        </is>
      </c>
      <c r="H15" s="26" t="inlineStr">
        <is>
          <t>CLINIC-L2</t>
        </is>
      </c>
      <c r="I15" s="26" t="inlineStr">
        <is>
          <t>Hospital Outpatient Clinic Visit Level 2</t>
        </is>
      </c>
      <c r="J15" s="26" t="inlineStr">
        <is>
          <t>0510</t>
        </is>
      </c>
      <c r="K15" s="26" t="inlineStr">
        <is>
          <t>99212</t>
        </is>
      </c>
      <c r="L15" s="26" t="n"/>
      <c r="M15" s="26" t="n">
        <v>1</v>
      </c>
      <c r="N15" s="13" t="n">
        <v>215</v>
      </c>
      <c r="O15" s="13">
        <f>M15*N15</f>
        <v/>
      </c>
      <c r="P15" s="13" t="n">
        <v>112.11</v>
      </c>
      <c r="Q15" s="13">
        <f>P15*20%</f>
        <v/>
      </c>
      <c r="R15" s="13">
        <f>O15-P15</f>
        <v/>
      </c>
      <c r="S15" s="26" t="inlineStr">
        <is>
          <t>Athena Health Insurance</t>
        </is>
      </c>
      <c r="T15" s="26" t="inlineStr">
        <is>
          <t>Athena PPO</t>
        </is>
      </c>
      <c r="U15" s="26" t="n"/>
      <c r="V15" s="26" t="inlineStr">
        <is>
          <t>Eleanor Brooks, MD</t>
        </is>
      </c>
      <c r="W15" s="26" t="inlineStr">
        <is>
          <t>Assigned Department Provider</t>
        </is>
      </c>
      <c r="X15" s="26" t="inlineStr">
        <is>
          <t>Ambulatory</t>
        </is>
      </c>
      <c r="Y15" s="26" t="inlineStr">
        <is>
          <t>Visit close</t>
        </is>
      </c>
      <c r="Z15" s="26" t="inlineStr">
        <is>
          <t>Posted</t>
        </is>
      </c>
      <c r="AA15" s="26" t="inlineStr">
        <is>
          <t>Matched</t>
        </is>
      </c>
      <c r="AB15" s="26" t="inlineStr">
        <is>
          <t>Passed</t>
        </is>
      </c>
      <c r="AC15" s="26" t="n"/>
      <c r="AD15" s="26" t="inlineStr">
        <is>
          <t>E/M documentation</t>
        </is>
      </c>
      <c r="AE15" s="26" t="inlineStr">
        <is>
          <t>I10</t>
        </is>
      </c>
      <c r="AF15" s="26" t="inlineStr">
        <is>
          <t>22</t>
        </is>
      </c>
      <c r="AG15" s="26" t="inlineStr">
        <is>
          <t>2026-09-07 16:30</t>
        </is>
      </c>
      <c r="AH15" s="26" t="inlineStr">
        <is>
          <t>Synthetic Athena negotiated charge</t>
        </is>
      </c>
    </row>
    <row r="16">
      <c r="A16" s="26" t="inlineStr">
        <is>
          <t>OPD-CHG-0006-CGH</t>
        </is>
      </c>
      <c r="B16" s="26" t="inlineStr">
        <is>
          <t>OP-202600006-CGH</t>
        </is>
      </c>
      <c r="C16" s="26" t="inlineStr">
        <is>
          <t>CSN-OPD-780006-CGH</t>
        </is>
      </c>
      <c r="D16" s="26" t="inlineStr">
        <is>
          <t>Outpatient</t>
        </is>
      </c>
      <c r="E16" s="26" t="inlineStr">
        <is>
          <t>Demo Regional Medical Center</t>
        </is>
      </c>
      <c r="F16" s="26" t="inlineStr">
        <is>
          <t>Hospital Clinic</t>
        </is>
      </c>
      <c r="G16" s="26" t="inlineStr">
        <is>
          <t>2026-09-07</t>
        </is>
      </c>
      <c r="H16" s="26" t="inlineStr">
        <is>
          <t>CLINIC-L2</t>
        </is>
      </c>
      <c r="I16" s="26" t="inlineStr">
        <is>
          <t>Hospital Outpatient Clinic Visit Level 2</t>
        </is>
      </c>
      <c r="J16" s="26" t="inlineStr">
        <is>
          <t>0510</t>
        </is>
      </c>
      <c r="K16" s="26" t="inlineStr">
        <is>
          <t>99212</t>
        </is>
      </c>
      <c r="L16" s="26" t="n"/>
      <c r="M16" s="26" t="n">
        <v>1</v>
      </c>
      <c r="N16" s="13" t="n">
        <v>215</v>
      </c>
      <c r="O16" s="13">
        <f>M16*N16</f>
        <v/>
      </c>
      <c r="P16" s="13" t="n">
        <v>100.9</v>
      </c>
      <c r="Q16" s="13">
        <f>P16*15%</f>
        <v/>
      </c>
      <c r="R16" s="13">
        <f>O16-P16</f>
        <v/>
      </c>
      <c r="S16" s="26" t="inlineStr">
        <is>
          <t>Care Gap Health</t>
        </is>
      </c>
      <c r="T16" s="26" t="inlineStr">
        <is>
          <t>Care Gap Value PPO</t>
        </is>
      </c>
      <c r="U16" s="26" t="n"/>
      <c r="V16" s="26" t="inlineStr">
        <is>
          <t>Eleanor Brooks, MD</t>
        </is>
      </c>
      <c r="W16" s="26" t="inlineStr">
        <is>
          <t>Assigned Department Provider</t>
        </is>
      </c>
      <c r="X16" s="26" t="inlineStr">
        <is>
          <t>Ambulatory</t>
        </is>
      </c>
      <c r="Y16" s="26" t="inlineStr">
        <is>
          <t>Visit close</t>
        </is>
      </c>
      <c r="Z16" s="26" t="inlineStr">
        <is>
          <t>Posted</t>
        </is>
      </c>
      <c r="AA16" s="26" t="inlineStr">
        <is>
          <t>Matched</t>
        </is>
      </c>
      <c r="AB16" s="26" t="inlineStr">
        <is>
          <t>Passed</t>
        </is>
      </c>
      <c r="AC16" s="26" t="n"/>
      <c r="AD16" s="26" t="inlineStr">
        <is>
          <t>E/M documentation</t>
        </is>
      </c>
      <c r="AE16" s="26" t="inlineStr">
        <is>
          <t>I10</t>
        </is>
      </c>
      <c r="AF16" s="26" t="inlineStr">
        <is>
          <t>22</t>
        </is>
      </c>
      <c r="AG16" s="26" t="inlineStr">
        <is>
          <t>2026-09-07 16:30</t>
        </is>
      </c>
      <c r="AH16" s="26" t="inlineStr">
        <is>
          <t>Synthetic Care Gap charge; 10% below Athena allowed amount</t>
        </is>
      </c>
    </row>
    <row r="17">
      <c r="A17" s="26" t="inlineStr">
        <is>
          <t>OPD-CHG-0007-ATH</t>
        </is>
      </c>
      <c r="B17" s="26" t="inlineStr">
        <is>
          <t>OP-202600007-ATH</t>
        </is>
      </c>
      <c r="C17" s="26" t="inlineStr">
        <is>
          <t>CSN-OPD-780007-ATH</t>
        </is>
      </c>
      <c r="D17" s="26" t="inlineStr">
        <is>
          <t>Outpatient</t>
        </is>
      </c>
      <c r="E17" s="26" t="inlineStr">
        <is>
          <t>Demo Regional Medical Center</t>
        </is>
      </c>
      <c r="F17" s="26" t="inlineStr">
        <is>
          <t>Hospital Clinic</t>
        </is>
      </c>
      <c r="G17" s="26" t="inlineStr">
        <is>
          <t>2026-09-08</t>
        </is>
      </c>
      <c r="H17" s="26" t="inlineStr">
        <is>
          <t>CLINIC-L3</t>
        </is>
      </c>
      <c r="I17" s="26" t="inlineStr">
        <is>
          <t>Hospital Outpatient Clinic Visit Level 3</t>
        </is>
      </c>
      <c r="J17" s="26" t="inlineStr">
        <is>
          <t>0510</t>
        </is>
      </c>
      <c r="K17" s="26" t="inlineStr">
        <is>
          <t>99213</t>
        </is>
      </c>
      <c r="L17" s="26" t="n"/>
      <c r="M17" s="26" t="n">
        <v>1</v>
      </c>
      <c r="N17" s="13" t="n">
        <v>315</v>
      </c>
      <c r="O17" s="13">
        <f>M17*N17</f>
        <v/>
      </c>
      <c r="P17" s="13" t="n">
        <v>187.9</v>
      </c>
      <c r="Q17" s="13">
        <f>P17*20%</f>
        <v/>
      </c>
      <c r="R17" s="13">
        <f>O17-P17</f>
        <v/>
      </c>
      <c r="S17" s="26" t="inlineStr">
        <is>
          <t>Athena Health Insurance</t>
        </is>
      </c>
      <c r="T17" s="26" t="inlineStr">
        <is>
          <t>Athena PPO</t>
        </is>
      </c>
      <c r="U17" s="26" t="n"/>
      <c r="V17" s="26" t="inlineStr">
        <is>
          <t>Eleanor Brooks, MD</t>
        </is>
      </c>
      <c r="W17" s="26" t="inlineStr">
        <is>
          <t>Assigned Department Provider</t>
        </is>
      </c>
      <c r="X17" s="26" t="inlineStr">
        <is>
          <t>Ambulatory</t>
        </is>
      </c>
      <c r="Y17" s="26" t="inlineStr">
        <is>
          <t>Visit close</t>
        </is>
      </c>
      <c r="Z17" s="26" t="inlineStr">
        <is>
          <t>Posted</t>
        </is>
      </c>
      <c r="AA17" s="26" t="inlineStr">
        <is>
          <t>Matched</t>
        </is>
      </c>
      <c r="AB17" s="26" t="inlineStr">
        <is>
          <t>Passed</t>
        </is>
      </c>
      <c r="AC17" s="26" t="n"/>
      <c r="AD17" s="26" t="inlineStr">
        <is>
          <t>E/M documentation</t>
        </is>
      </c>
      <c r="AE17" s="26" t="inlineStr">
        <is>
          <t>E11.9</t>
        </is>
      </c>
      <c r="AF17" s="26" t="inlineStr">
        <is>
          <t>22</t>
        </is>
      </c>
      <c r="AG17" s="26" t="inlineStr">
        <is>
          <t>2026-09-08 16:30</t>
        </is>
      </c>
      <c r="AH17" s="26" t="inlineStr">
        <is>
          <t>Synthetic Athena negotiated charge</t>
        </is>
      </c>
    </row>
    <row r="18">
      <c r="A18" s="26" t="inlineStr">
        <is>
          <t>OPD-CHG-0007-CGH</t>
        </is>
      </c>
      <c r="B18" s="26" t="inlineStr">
        <is>
          <t>OP-202600007-CGH</t>
        </is>
      </c>
      <c r="C18" s="26" t="inlineStr">
        <is>
          <t>CSN-OPD-780007-CGH</t>
        </is>
      </c>
      <c r="D18" s="26" t="inlineStr">
        <is>
          <t>Outpatient</t>
        </is>
      </c>
      <c r="E18" s="26" t="inlineStr">
        <is>
          <t>Demo Regional Medical Center</t>
        </is>
      </c>
      <c r="F18" s="26" t="inlineStr">
        <is>
          <t>Hospital Clinic</t>
        </is>
      </c>
      <c r="G18" s="26" t="inlineStr">
        <is>
          <t>2026-09-08</t>
        </is>
      </c>
      <c r="H18" s="26" t="inlineStr">
        <is>
          <t>CLINIC-L3</t>
        </is>
      </c>
      <c r="I18" s="26" t="inlineStr">
        <is>
          <t>Hospital Outpatient Clinic Visit Level 3</t>
        </is>
      </c>
      <c r="J18" s="26" t="inlineStr">
        <is>
          <t>0510</t>
        </is>
      </c>
      <c r="K18" s="26" t="inlineStr">
        <is>
          <t>99213</t>
        </is>
      </c>
      <c r="L18" s="26" t="n"/>
      <c r="M18" s="26" t="n">
        <v>1</v>
      </c>
      <c r="N18" s="13" t="n">
        <v>315</v>
      </c>
      <c r="O18" s="13">
        <f>M18*N18</f>
        <v/>
      </c>
      <c r="P18" s="13" t="n">
        <v>169.11</v>
      </c>
      <c r="Q18" s="13">
        <f>P18*15%</f>
        <v/>
      </c>
      <c r="R18" s="13">
        <f>O18-P18</f>
        <v/>
      </c>
      <c r="S18" s="26" t="inlineStr">
        <is>
          <t>Care Gap Health</t>
        </is>
      </c>
      <c r="T18" s="26" t="inlineStr">
        <is>
          <t>Care Gap Value PPO</t>
        </is>
      </c>
      <c r="U18" s="26" t="n"/>
      <c r="V18" s="26" t="inlineStr">
        <is>
          <t>Eleanor Brooks, MD</t>
        </is>
      </c>
      <c r="W18" s="26" t="inlineStr">
        <is>
          <t>Assigned Department Provider</t>
        </is>
      </c>
      <c r="X18" s="26" t="inlineStr">
        <is>
          <t>Ambulatory</t>
        </is>
      </c>
      <c r="Y18" s="26" t="inlineStr">
        <is>
          <t>Visit close</t>
        </is>
      </c>
      <c r="Z18" s="26" t="inlineStr">
        <is>
          <t>Posted</t>
        </is>
      </c>
      <c r="AA18" s="26" t="inlineStr">
        <is>
          <t>Matched</t>
        </is>
      </c>
      <c r="AB18" s="26" t="inlineStr">
        <is>
          <t>Passed</t>
        </is>
      </c>
      <c r="AC18" s="26" t="n"/>
      <c r="AD18" s="26" t="inlineStr">
        <is>
          <t>E/M documentation</t>
        </is>
      </c>
      <c r="AE18" s="26" t="inlineStr">
        <is>
          <t>E11.9</t>
        </is>
      </c>
      <c r="AF18" s="26" t="inlineStr">
        <is>
          <t>22</t>
        </is>
      </c>
      <c r="AG18" s="26" t="inlineStr">
        <is>
          <t>2026-09-08 16:30</t>
        </is>
      </c>
      <c r="AH18" s="26" t="inlineStr">
        <is>
          <t>Synthetic Care Gap charge; 10% below Athena allowed amount</t>
        </is>
      </c>
    </row>
    <row r="19">
      <c r="A19" s="26" t="inlineStr">
        <is>
          <t>OPD-CHG-0008-ATH</t>
        </is>
      </c>
      <c r="B19" s="26" t="inlineStr">
        <is>
          <t>OP-202600008-ATH</t>
        </is>
      </c>
      <c r="C19" s="26" t="inlineStr">
        <is>
          <t>CSN-OPD-780008-ATH</t>
        </is>
      </c>
      <c r="D19" s="26" t="inlineStr">
        <is>
          <t>Outpatient</t>
        </is>
      </c>
      <c r="E19" s="26" t="inlineStr">
        <is>
          <t>Demo Regional Medical Center</t>
        </is>
      </c>
      <c r="F19" s="26" t="inlineStr">
        <is>
          <t>Hospital Clinic</t>
        </is>
      </c>
      <c r="G19" s="26" t="inlineStr">
        <is>
          <t>2026-09-09</t>
        </is>
      </c>
      <c r="H19" s="26" t="inlineStr">
        <is>
          <t>CLINIC-L4</t>
        </is>
      </c>
      <c r="I19" s="26" t="inlineStr">
        <is>
          <t>Hospital Outpatient Clinic Visit Level 4</t>
        </is>
      </c>
      <c r="J19" s="26" t="inlineStr">
        <is>
          <t>0510</t>
        </is>
      </c>
      <c r="K19" s="26" t="inlineStr">
        <is>
          <t>99214</t>
        </is>
      </c>
      <c r="L19" s="26" t="n"/>
      <c r="M19" s="26" t="n">
        <v>1</v>
      </c>
      <c r="N19" s="13" t="n">
        <v>410</v>
      </c>
      <c r="O19" s="13">
        <f>M19*N19</f>
        <v/>
      </c>
      <c r="P19" s="13" t="n">
        <v>200.5</v>
      </c>
      <c r="Q19" s="13">
        <f>P19*20%</f>
        <v/>
      </c>
      <c r="R19" s="13">
        <f>O19-P19</f>
        <v/>
      </c>
      <c r="S19" s="26" t="inlineStr">
        <is>
          <t>Athena Health Insurance</t>
        </is>
      </c>
      <c r="T19" s="26" t="inlineStr">
        <is>
          <t>Athena PPO</t>
        </is>
      </c>
      <c r="U19" s="26" t="n"/>
      <c r="V19" s="26" t="inlineStr">
        <is>
          <t>Eleanor Brooks, MD</t>
        </is>
      </c>
      <c r="W19" s="26" t="inlineStr">
        <is>
          <t>Assigned Department Provider</t>
        </is>
      </c>
      <c r="X19" s="26" t="inlineStr">
        <is>
          <t>Ambulatory</t>
        </is>
      </c>
      <c r="Y19" s="26" t="inlineStr">
        <is>
          <t>Visit close</t>
        </is>
      </c>
      <c r="Z19" s="26" t="inlineStr">
        <is>
          <t>Posted</t>
        </is>
      </c>
      <c r="AA19" s="26" t="inlineStr">
        <is>
          <t>Matched</t>
        </is>
      </c>
      <c r="AB19" s="26" t="inlineStr">
        <is>
          <t>Passed</t>
        </is>
      </c>
      <c r="AC19" s="26" t="n"/>
      <c r="AD19" s="26" t="inlineStr">
        <is>
          <t>E/M documentation</t>
        </is>
      </c>
      <c r="AE19" s="26" t="inlineStr">
        <is>
          <t>J45.40</t>
        </is>
      </c>
      <c r="AF19" s="26" t="inlineStr">
        <is>
          <t>22</t>
        </is>
      </c>
      <c r="AG19" s="26" t="inlineStr">
        <is>
          <t>2026-09-09 16:30</t>
        </is>
      </c>
      <c r="AH19" s="26" t="inlineStr">
        <is>
          <t>Synthetic Athena negotiated charge</t>
        </is>
      </c>
    </row>
    <row r="20">
      <c r="A20" s="26" t="inlineStr">
        <is>
          <t>OPD-CHG-0008-CGH</t>
        </is>
      </c>
      <c r="B20" s="26" t="inlineStr">
        <is>
          <t>OP-202600008-CGH</t>
        </is>
      </c>
      <c r="C20" s="26" t="inlineStr">
        <is>
          <t>CSN-OPD-780008-CGH</t>
        </is>
      </c>
      <c r="D20" s="26" t="inlineStr">
        <is>
          <t>Outpatient</t>
        </is>
      </c>
      <c r="E20" s="26" t="inlineStr">
        <is>
          <t>Demo Regional Medical Center</t>
        </is>
      </c>
      <c r="F20" s="26" t="inlineStr">
        <is>
          <t>Hospital Clinic</t>
        </is>
      </c>
      <c r="G20" s="26" t="inlineStr">
        <is>
          <t>2026-09-09</t>
        </is>
      </c>
      <c r="H20" s="26" t="inlineStr">
        <is>
          <t>CLINIC-L4</t>
        </is>
      </c>
      <c r="I20" s="26" t="inlineStr">
        <is>
          <t>Hospital Outpatient Clinic Visit Level 4</t>
        </is>
      </c>
      <c r="J20" s="26" t="inlineStr">
        <is>
          <t>0510</t>
        </is>
      </c>
      <c r="K20" s="26" t="inlineStr">
        <is>
          <t>99214</t>
        </is>
      </c>
      <c r="L20" s="26" t="n"/>
      <c r="M20" s="26" t="n">
        <v>1</v>
      </c>
      <c r="N20" s="13" t="n">
        <v>410</v>
      </c>
      <c r="O20" s="13">
        <f>M20*N20</f>
        <v/>
      </c>
      <c r="P20" s="13" t="n">
        <v>180.45</v>
      </c>
      <c r="Q20" s="13">
        <f>P20*15%</f>
        <v/>
      </c>
      <c r="R20" s="13">
        <f>O20-P20</f>
        <v/>
      </c>
      <c r="S20" s="26" t="inlineStr">
        <is>
          <t>Care Gap Health</t>
        </is>
      </c>
      <c r="T20" s="26" t="inlineStr">
        <is>
          <t>Care Gap Value PPO</t>
        </is>
      </c>
      <c r="U20" s="26" t="n"/>
      <c r="V20" s="26" t="inlineStr">
        <is>
          <t>Eleanor Brooks, MD</t>
        </is>
      </c>
      <c r="W20" s="26" t="inlineStr">
        <is>
          <t>Assigned Department Provider</t>
        </is>
      </c>
      <c r="X20" s="26" t="inlineStr">
        <is>
          <t>Ambulatory</t>
        </is>
      </c>
      <c r="Y20" s="26" t="inlineStr">
        <is>
          <t>Visit close</t>
        </is>
      </c>
      <c r="Z20" s="26" t="inlineStr">
        <is>
          <t>Posted</t>
        </is>
      </c>
      <c r="AA20" s="26" t="inlineStr">
        <is>
          <t>Matched</t>
        </is>
      </c>
      <c r="AB20" s="26" t="inlineStr">
        <is>
          <t>Passed</t>
        </is>
      </c>
      <c r="AC20" s="26" t="n"/>
      <c r="AD20" s="26" t="inlineStr">
        <is>
          <t>E/M documentation</t>
        </is>
      </c>
      <c r="AE20" s="26" t="inlineStr">
        <is>
          <t>J45.40</t>
        </is>
      </c>
      <c r="AF20" s="26" t="inlineStr">
        <is>
          <t>22</t>
        </is>
      </c>
      <c r="AG20" s="26" t="inlineStr">
        <is>
          <t>2026-09-09 16:30</t>
        </is>
      </c>
      <c r="AH20" s="26" t="inlineStr">
        <is>
          <t>Synthetic Care Gap charge; 10% below Athena allowed amount</t>
        </is>
      </c>
    </row>
    <row r="21">
      <c r="A21" s="26" t="inlineStr">
        <is>
          <t>OPD-CHG-0009-ATH</t>
        </is>
      </c>
      <c r="B21" s="26" t="inlineStr">
        <is>
          <t>OP-202600009-ATH</t>
        </is>
      </c>
      <c r="C21" s="26" t="inlineStr">
        <is>
          <t>CSN-OPD-780009-ATH</t>
        </is>
      </c>
      <c r="D21" s="26" t="inlineStr">
        <is>
          <t>Outpatient</t>
        </is>
      </c>
      <c r="E21" s="26" t="inlineStr">
        <is>
          <t>Demo Regional Medical Center</t>
        </is>
      </c>
      <c r="F21" s="26" t="inlineStr">
        <is>
          <t>Hospital Clinic</t>
        </is>
      </c>
      <c r="G21" s="26" t="inlineStr">
        <is>
          <t>2026-09-10</t>
        </is>
      </c>
      <c r="H21" s="26" t="inlineStr">
        <is>
          <t>CLINIC-L5</t>
        </is>
      </c>
      <c r="I21" s="26" t="inlineStr">
        <is>
          <t>Hospital Outpatient Clinic Visit Level 5</t>
        </is>
      </c>
      <c r="J21" s="26" t="inlineStr">
        <is>
          <t>0510</t>
        </is>
      </c>
      <c r="K21" s="26" t="inlineStr">
        <is>
          <t>99215</t>
        </is>
      </c>
      <c r="L21" s="26" t="n"/>
      <c r="M21" s="26" t="n">
        <v>1</v>
      </c>
      <c r="N21" s="13" t="n">
        <v>570</v>
      </c>
      <c r="O21" s="13">
        <f>M21*N21</f>
        <v/>
      </c>
      <c r="P21" s="13" t="n">
        <v>277.06</v>
      </c>
      <c r="Q21" s="13">
        <f>P21*20%</f>
        <v/>
      </c>
      <c r="R21" s="13">
        <f>O21-P21</f>
        <v/>
      </c>
      <c r="S21" s="26" t="inlineStr">
        <is>
          <t>Athena Health Insurance</t>
        </is>
      </c>
      <c r="T21" s="26" t="inlineStr">
        <is>
          <t>Athena PPO</t>
        </is>
      </c>
      <c r="U21" s="26" t="n"/>
      <c r="V21" s="26" t="inlineStr">
        <is>
          <t>Eleanor Brooks, MD</t>
        </is>
      </c>
      <c r="W21" s="26" t="inlineStr">
        <is>
          <t>Assigned Department Provider</t>
        </is>
      </c>
      <c r="X21" s="26" t="inlineStr">
        <is>
          <t>Ambulatory</t>
        </is>
      </c>
      <c r="Y21" s="26" t="inlineStr">
        <is>
          <t>Visit close</t>
        </is>
      </c>
      <c r="Z21" s="26" t="inlineStr">
        <is>
          <t>Posted</t>
        </is>
      </c>
      <c r="AA21" s="26" t="inlineStr">
        <is>
          <t>Matched</t>
        </is>
      </c>
      <c r="AB21" s="26" t="inlineStr">
        <is>
          <t>Passed</t>
        </is>
      </c>
      <c r="AC21" s="26" t="n"/>
      <c r="AD21" s="26" t="inlineStr">
        <is>
          <t>E/M documentation</t>
        </is>
      </c>
      <c r="AE21" s="26" t="inlineStr">
        <is>
          <t>I50.9</t>
        </is>
      </c>
      <c r="AF21" s="26" t="inlineStr">
        <is>
          <t>22</t>
        </is>
      </c>
      <c r="AG21" s="26" t="inlineStr">
        <is>
          <t>2026-09-10 16:30</t>
        </is>
      </c>
      <c r="AH21" s="26" t="inlineStr">
        <is>
          <t>Synthetic Athena negotiated charge</t>
        </is>
      </c>
    </row>
    <row r="22">
      <c r="A22" s="26" t="inlineStr">
        <is>
          <t>OPD-CHG-0009-CGH</t>
        </is>
      </c>
      <c r="B22" s="26" t="inlineStr">
        <is>
          <t>OP-202600009-CGH</t>
        </is>
      </c>
      <c r="C22" s="26" t="inlineStr">
        <is>
          <t>CSN-OPD-780009-CGH</t>
        </is>
      </c>
      <c r="D22" s="26" t="inlineStr">
        <is>
          <t>Outpatient</t>
        </is>
      </c>
      <c r="E22" s="26" t="inlineStr">
        <is>
          <t>Demo Regional Medical Center</t>
        </is>
      </c>
      <c r="F22" s="26" t="inlineStr">
        <is>
          <t>Hospital Clinic</t>
        </is>
      </c>
      <c r="G22" s="26" t="inlineStr">
        <is>
          <t>2026-09-10</t>
        </is>
      </c>
      <c r="H22" s="26" t="inlineStr">
        <is>
          <t>CLINIC-L5</t>
        </is>
      </c>
      <c r="I22" s="26" t="inlineStr">
        <is>
          <t>Hospital Outpatient Clinic Visit Level 5</t>
        </is>
      </c>
      <c r="J22" s="26" t="inlineStr">
        <is>
          <t>0510</t>
        </is>
      </c>
      <c r="K22" s="26" t="inlineStr">
        <is>
          <t>99215</t>
        </is>
      </c>
      <c r="L22" s="26" t="n"/>
      <c r="M22" s="26" t="n">
        <v>1</v>
      </c>
      <c r="N22" s="13" t="n">
        <v>570</v>
      </c>
      <c r="O22" s="13">
        <f>M22*N22</f>
        <v/>
      </c>
      <c r="P22" s="13" t="n">
        <v>249.35</v>
      </c>
      <c r="Q22" s="13">
        <f>P22*15%</f>
        <v/>
      </c>
      <c r="R22" s="13">
        <f>O22-P22</f>
        <v/>
      </c>
      <c r="S22" s="26" t="inlineStr">
        <is>
          <t>Care Gap Health</t>
        </is>
      </c>
      <c r="T22" s="26" t="inlineStr">
        <is>
          <t>Care Gap Value PPO</t>
        </is>
      </c>
      <c r="U22" s="26" t="n"/>
      <c r="V22" s="26" t="inlineStr">
        <is>
          <t>Eleanor Brooks, MD</t>
        </is>
      </c>
      <c r="W22" s="26" t="inlineStr">
        <is>
          <t>Assigned Department Provider</t>
        </is>
      </c>
      <c r="X22" s="26" t="inlineStr">
        <is>
          <t>Ambulatory</t>
        </is>
      </c>
      <c r="Y22" s="26" t="inlineStr">
        <is>
          <t>Visit close</t>
        </is>
      </c>
      <c r="Z22" s="26" t="inlineStr">
        <is>
          <t>Posted</t>
        </is>
      </c>
      <c r="AA22" s="26" t="inlineStr">
        <is>
          <t>Matched</t>
        </is>
      </c>
      <c r="AB22" s="26" t="inlineStr">
        <is>
          <t>Passed</t>
        </is>
      </c>
      <c r="AC22" s="26" t="n"/>
      <c r="AD22" s="26" t="inlineStr">
        <is>
          <t>E/M documentation</t>
        </is>
      </c>
      <c r="AE22" s="26" t="inlineStr">
        <is>
          <t>I50.9</t>
        </is>
      </c>
      <c r="AF22" s="26" t="inlineStr">
        <is>
          <t>22</t>
        </is>
      </c>
      <c r="AG22" s="26" t="inlineStr">
        <is>
          <t>2026-09-10 16:30</t>
        </is>
      </c>
      <c r="AH22" s="26" t="inlineStr">
        <is>
          <t>Synthetic Care Gap charge; 10% below Athena allowed amount</t>
        </is>
      </c>
    </row>
    <row r="23">
      <c r="A23" s="26" t="inlineStr">
        <is>
          <t>OPD-CHG-0010-ATH</t>
        </is>
      </c>
      <c r="B23" s="26" t="inlineStr">
        <is>
          <t>OP-202600010-ATH</t>
        </is>
      </c>
      <c r="C23" s="26" t="inlineStr">
        <is>
          <t>CSN-OPD-780010-ATH</t>
        </is>
      </c>
      <c r="D23" s="26" t="inlineStr">
        <is>
          <t>Outpatient</t>
        </is>
      </c>
      <c r="E23" s="26" t="inlineStr">
        <is>
          <t>Demo Regional Medical Center</t>
        </is>
      </c>
      <c r="F23" s="26" t="inlineStr">
        <is>
          <t>Radiology</t>
        </is>
      </c>
      <c r="G23" s="26" t="inlineStr">
        <is>
          <t>2026-09-11</t>
        </is>
      </c>
      <c r="H23" s="26" t="inlineStr">
        <is>
          <t>XR-CHEST-2V</t>
        </is>
      </c>
      <c r="I23" s="26" t="inlineStr">
        <is>
          <t>Chest X-ray, 2 Views</t>
        </is>
      </c>
      <c r="J23" s="26" t="inlineStr">
        <is>
          <t>0320</t>
        </is>
      </c>
      <c r="K23" s="26" t="inlineStr">
        <is>
          <t>71046</t>
        </is>
      </c>
      <c r="L23" s="26" t="n"/>
      <c r="M23" s="26" t="n">
        <v>1</v>
      </c>
      <c r="N23" s="13" t="n">
        <v>185</v>
      </c>
      <c r="O23" s="13">
        <f>M23*N23</f>
        <v/>
      </c>
      <c r="P23" s="13" t="n">
        <v>81.64</v>
      </c>
      <c r="Q23" s="13">
        <f>P23*20%</f>
        <v/>
      </c>
      <c r="R23" s="13">
        <f>O23-P23</f>
        <v/>
      </c>
      <c r="S23" s="26" t="inlineStr">
        <is>
          <t>Athena Health Insurance</t>
        </is>
      </c>
      <c r="T23" s="26" t="inlineStr">
        <is>
          <t>Athena PPO</t>
        </is>
      </c>
      <c r="U23" s="26" t="n"/>
      <c r="V23" s="26" t="inlineStr">
        <is>
          <t>Eleanor Brooks, MD</t>
        </is>
      </c>
      <c r="W23" s="26" t="inlineStr">
        <is>
          <t>Assigned Department Provider</t>
        </is>
      </c>
      <c r="X23" s="26" t="inlineStr">
        <is>
          <t>RIS/PACS</t>
        </is>
      </c>
      <c r="Y23" s="26" t="inlineStr">
        <is>
          <t>Exam completed</t>
        </is>
      </c>
      <c r="Z23" s="26" t="inlineStr">
        <is>
          <t>Posted</t>
        </is>
      </c>
      <c r="AA23" s="26" t="inlineStr">
        <is>
          <t>Matched</t>
        </is>
      </c>
      <c r="AB23" s="26" t="inlineStr">
        <is>
          <t>Passed</t>
        </is>
      </c>
      <c r="AC23" s="26" t="n"/>
      <c r="AD23" s="26" t="inlineStr">
        <is>
          <t>Diagnosis/LCD</t>
        </is>
      </c>
      <c r="AE23" s="26" t="inlineStr">
        <is>
          <t>R05.9</t>
        </is>
      </c>
      <c r="AF23" s="26" t="inlineStr">
        <is>
          <t>22</t>
        </is>
      </c>
      <c r="AG23" s="26" t="inlineStr">
        <is>
          <t>2026-09-11 16:30</t>
        </is>
      </c>
      <c r="AH23" s="26" t="inlineStr">
        <is>
          <t>Synthetic Athena negotiated charge</t>
        </is>
      </c>
    </row>
    <row r="24">
      <c r="A24" s="26" t="inlineStr">
        <is>
          <t>OPD-CHG-0010-CGH</t>
        </is>
      </c>
      <c r="B24" s="26" t="inlineStr">
        <is>
          <t>OP-202600010-CGH</t>
        </is>
      </c>
      <c r="C24" s="26" t="inlineStr">
        <is>
          <t>CSN-OPD-780010-CGH</t>
        </is>
      </c>
      <c r="D24" s="26" t="inlineStr">
        <is>
          <t>Outpatient</t>
        </is>
      </c>
      <c r="E24" s="26" t="inlineStr">
        <is>
          <t>Demo Regional Medical Center</t>
        </is>
      </c>
      <c r="F24" s="26" t="inlineStr">
        <is>
          <t>Radiology</t>
        </is>
      </c>
      <c r="G24" s="26" t="inlineStr">
        <is>
          <t>2026-09-11</t>
        </is>
      </c>
      <c r="H24" s="26" t="inlineStr">
        <is>
          <t>XR-CHEST-2V</t>
        </is>
      </c>
      <c r="I24" s="26" t="inlineStr">
        <is>
          <t>Chest X-ray, 2 Views</t>
        </is>
      </c>
      <c r="J24" s="26" t="inlineStr">
        <is>
          <t>0320</t>
        </is>
      </c>
      <c r="K24" s="26" t="inlineStr">
        <is>
          <t>71046</t>
        </is>
      </c>
      <c r="L24" s="26" t="n"/>
      <c r="M24" s="26" t="n">
        <v>1</v>
      </c>
      <c r="N24" s="13" t="n">
        <v>185</v>
      </c>
      <c r="O24" s="13">
        <f>M24*N24</f>
        <v/>
      </c>
      <c r="P24" s="13" t="n">
        <v>73.48</v>
      </c>
      <c r="Q24" s="13">
        <f>P24*15%</f>
        <v/>
      </c>
      <c r="R24" s="13">
        <f>O24-P24</f>
        <v/>
      </c>
      <c r="S24" s="26" t="inlineStr">
        <is>
          <t>Care Gap Health</t>
        </is>
      </c>
      <c r="T24" s="26" t="inlineStr">
        <is>
          <t>Care Gap Value PPO</t>
        </is>
      </c>
      <c r="U24" s="26" t="n"/>
      <c r="V24" s="26" t="inlineStr">
        <is>
          <t>Eleanor Brooks, MD</t>
        </is>
      </c>
      <c r="W24" s="26" t="inlineStr">
        <is>
          <t>Assigned Department Provider</t>
        </is>
      </c>
      <c r="X24" s="26" t="inlineStr">
        <is>
          <t>RIS/PACS</t>
        </is>
      </c>
      <c r="Y24" s="26" t="inlineStr">
        <is>
          <t>Exam completed</t>
        </is>
      </c>
      <c r="Z24" s="26" t="inlineStr">
        <is>
          <t>Posted</t>
        </is>
      </c>
      <c r="AA24" s="26" t="inlineStr">
        <is>
          <t>Matched</t>
        </is>
      </c>
      <c r="AB24" s="26" t="inlineStr">
        <is>
          <t>Passed</t>
        </is>
      </c>
      <c r="AC24" s="26" t="n"/>
      <c r="AD24" s="26" t="inlineStr">
        <is>
          <t>Diagnosis/LCD</t>
        </is>
      </c>
      <c r="AE24" s="26" t="inlineStr">
        <is>
          <t>R05.9</t>
        </is>
      </c>
      <c r="AF24" s="26" t="inlineStr">
        <is>
          <t>22</t>
        </is>
      </c>
      <c r="AG24" s="26" t="inlineStr">
        <is>
          <t>2026-09-11 16:30</t>
        </is>
      </c>
      <c r="AH24" s="26" t="inlineStr">
        <is>
          <t>Synthetic Care Gap charge; 10% below Athena allowed amount</t>
        </is>
      </c>
    </row>
    <row r="25">
      <c r="A25" s="26" t="inlineStr">
        <is>
          <t>OPD-CHG-0011-ATH</t>
        </is>
      </c>
      <c r="B25" s="26" t="inlineStr">
        <is>
          <t>OP-202600011-ATH</t>
        </is>
      </c>
      <c r="C25" s="26" t="inlineStr">
        <is>
          <t>CSN-OPD-780011-ATH</t>
        </is>
      </c>
      <c r="D25" s="26" t="inlineStr">
        <is>
          <t>Outpatient</t>
        </is>
      </c>
      <c r="E25" s="26" t="inlineStr">
        <is>
          <t>Demo Regional Medical Center</t>
        </is>
      </c>
      <c r="F25" s="26" t="inlineStr">
        <is>
          <t>Radiology</t>
        </is>
      </c>
      <c r="G25" s="26" t="inlineStr">
        <is>
          <t>2026-09-12</t>
        </is>
      </c>
      <c r="H25" s="26" t="inlineStr">
        <is>
          <t>CT-HEAD-WO</t>
        </is>
      </c>
      <c r="I25" s="26" t="inlineStr">
        <is>
          <t>CT Head Without Contrast</t>
        </is>
      </c>
      <c r="J25" s="26" t="inlineStr">
        <is>
          <t>0350</t>
        </is>
      </c>
      <c r="K25" s="26" t="inlineStr">
        <is>
          <t>70450</t>
        </is>
      </c>
      <c r="L25" s="26" t="n"/>
      <c r="M25" s="26" t="n">
        <v>1</v>
      </c>
      <c r="N25" s="13" t="n">
        <v>1900</v>
      </c>
      <c r="O25" s="13">
        <f>M25*N25</f>
        <v/>
      </c>
      <c r="P25" s="13" t="n">
        <v>1157.73</v>
      </c>
      <c r="Q25" s="13">
        <f>P25*20%</f>
        <v/>
      </c>
      <c r="R25" s="13">
        <f>O25-P25</f>
        <v/>
      </c>
      <c r="S25" s="26" t="inlineStr">
        <is>
          <t>Athena Health Insurance</t>
        </is>
      </c>
      <c r="T25" s="26" t="inlineStr">
        <is>
          <t>Athena PPO</t>
        </is>
      </c>
      <c r="U25" s="26" t="inlineStr">
        <is>
          <t>AUTH-700011</t>
        </is>
      </c>
      <c r="V25" s="26" t="inlineStr">
        <is>
          <t>Eleanor Brooks, MD</t>
        </is>
      </c>
      <c r="W25" s="26" t="inlineStr">
        <is>
          <t>Assigned Department Provider</t>
        </is>
      </c>
      <c r="X25" s="26" t="inlineStr">
        <is>
          <t>RIS/PACS</t>
        </is>
      </c>
      <c r="Y25" s="26" t="inlineStr">
        <is>
          <t>Exam completed</t>
        </is>
      </c>
      <c r="Z25" s="26" t="inlineStr">
        <is>
          <t>Posted</t>
        </is>
      </c>
      <c r="AA25" s="26" t="inlineStr">
        <is>
          <t>Matched</t>
        </is>
      </c>
      <c r="AB25" s="26" t="inlineStr">
        <is>
          <t>Passed</t>
        </is>
      </c>
      <c r="AC25" s="26" t="n"/>
      <c r="AD25" s="26" t="inlineStr">
        <is>
          <t>Prior authorization</t>
        </is>
      </c>
      <c r="AE25" s="26" t="inlineStr">
        <is>
          <t>R51.9</t>
        </is>
      </c>
      <c r="AF25" s="26" t="inlineStr">
        <is>
          <t>22</t>
        </is>
      </c>
      <c r="AG25" s="26" t="inlineStr">
        <is>
          <t>2026-09-12 16:30</t>
        </is>
      </c>
      <c r="AH25" s="26" t="inlineStr">
        <is>
          <t>Synthetic Athena negotiated charge</t>
        </is>
      </c>
    </row>
    <row r="26">
      <c r="A26" s="26" t="inlineStr">
        <is>
          <t>OPD-CHG-0011-CGH</t>
        </is>
      </c>
      <c r="B26" s="26" t="inlineStr">
        <is>
          <t>OP-202600011-CGH</t>
        </is>
      </c>
      <c r="C26" s="26" t="inlineStr">
        <is>
          <t>CSN-OPD-780011-CGH</t>
        </is>
      </c>
      <c r="D26" s="26" t="inlineStr">
        <is>
          <t>Outpatient</t>
        </is>
      </c>
      <c r="E26" s="26" t="inlineStr">
        <is>
          <t>Demo Regional Medical Center</t>
        </is>
      </c>
      <c r="F26" s="26" t="inlineStr">
        <is>
          <t>Radiology</t>
        </is>
      </c>
      <c r="G26" s="26" t="inlineStr">
        <is>
          <t>2026-09-12</t>
        </is>
      </c>
      <c r="H26" s="26" t="inlineStr">
        <is>
          <t>CT-HEAD-WO</t>
        </is>
      </c>
      <c r="I26" s="26" t="inlineStr">
        <is>
          <t>CT Head Without Contrast</t>
        </is>
      </c>
      <c r="J26" s="26" t="inlineStr">
        <is>
          <t>0350</t>
        </is>
      </c>
      <c r="K26" s="26" t="inlineStr">
        <is>
          <t>70450</t>
        </is>
      </c>
      <c r="L26" s="26" t="n"/>
      <c r="M26" s="26" t="n">
        <v>1</v>
      </c>
      <c r="N26" s="13" t="n">
        <v>1900</v>
      </c>
      <c r="O26" s="13">
        <f>M26*N26</f>
        <v/>
      </c>
      <c r="P26" s="13" t="n">
        <v>1041.96</v>
      </c>
      <c r="Q26" s="13">
        <f>P26*15%</f>
        <v/>
      </c>
      <c r="R26" s="13">
        <f>O26-P26</f>
        <v/>
      </c>
      <c r="S26" s="26" t="inlineStr">
        <is>
          <t>Care Gap Health</t>
        </is>
      </c>
      <c r="T26" s="26" t="inlineStr">
        <is>
          <t>Care Gap Value PPO</t>
        </is>
      </c>
      <c r="U26" s="26" t="inlineStr">
        <is>
          <t>AUTH-700011</t>
        </is>
      </c>
      <c r="V26" s="26" t="inlineStr">
        <is>
          <t>Eleanor Brooks, MD</t>
        </is>
      </c>
      <c r="W26" s="26" t="inlineStr">
        <is>
          <t>Assigned Department Provider</t>
        </is>
      </c>
      <c r="X26" s="26" t="inlineStr">
        <is>
          <t>RIS/PACS</t>
        </is>
      </c>
      <c r="Y26" s="26" t="inlineStr">
        <is>
          <t>Exam completed</t>
        </is>
      </c>
      <c r="Z26" s="26" t="inlineStr">
        <is>
          <t>Posted</t>
        </is>
      </c>
      <c r="AA26" s="26" t="inlineStr">
        <is>
          <t>Matched</t>
        </is>
      </c>
      <c r="AB26" s="26" t="inlineStr">
        <is>
          <t>Passed</t>
        </is>
      </c>
      <c r="AC26" s="26" t="n"/>
      <c r="AD26" s="26" t="inlineStr">
        <is>
          <t>Prior authorization</t>
        </is>
      </c>
      <c r="AE26" s="26" t="inlineStr">
        <is>
          <t>R51.9</t>
        </is>
      </c>
      <c r="AF26" s="26" t="inlineStr">
        <is>
          <t>22</t>
        </is>
      </c>
      <c r="AG26" s="26" t="inlineStr">
        <is>
          <t>2026-09-12 16:30</t>
        </is>
      </c>
      <c r="AH26" s="26" t="inlineStr">
        <is>
          <t>Synthetic Care Gap charge; 10% below Athena allowed amount</t>
        </is>
      </c>
    </row>
    <row r="27">
      <c r="A27" s="26" t="inlineStr">
        <is>
          <t>OPD-CHG-0012-ATH</t>
        </is>
      </c>
      <c r="B27" s="26" t="inlineStr">
        <is>
          <t>OP-202600012-ATH</t>
        </is>
      </c>
      <c r="C27" s="26" t="inlineStr">
        <is>
          <t>CSN-OPD-780012-ATH</t>
        </is>
      </c>
      <c r="D27" s="26" t="inlineStr">
        <is>
          <t>Outpatient</t>
        </is>
      </c>
      <c r="E27" s="26" t="inlineStr">
        <is>
          <t>Demo Regional Medical Center</t>
        </is>
      </c>
      <c r="F27" s="26" t="inlineStr">
        <is>
          <t>Radiology</t>
        </is>
      </c>
      <c r="G27" s="26" t="inlineStr">
        <is>
          <t>2026-09-13</t>
        </is>
      </c>
      <c r="H27" s="26" t="inlineStr">
        <is>
          <t>CT-CHEST-W</t>
        </is>
      </c>
      <c r="I27" s="26" t="inlineStr">
        <is>
          <t>CT Chest With Contrast</t>
        </is>
      </c>
      <c r="J27" s="26" t="inlineStr">
        <is>
          <t>0350</t>
        </is>
      </c>
      <c r="K27" s="26" t="inlineStr">
        <is>
          <t>71260</t>
        </is>
      </c>
      <c r="L27" s="26" t="n"/>
      <c r="M27" s="26" t="n">
        <v>1</v>
      </c>
      <c r="N27" s="13" t="n">
        <v>2500</v>
      </c>
      <c r="O27" s="13">
        <f>M27*N27</f>
        <v/>
      </c>
      <c r="P27" s="13" t="n">
        <v>1221.71</v>
      </c>
      <c r="Q27" s="13">
        <f>P27*20%</f>
        <v/>
      </c>
      <c r="R27" s="13">
        <f>O27-P27</f>
        <v/>
      </c>
      <c r="S27" s="26" t="inlineStr">
        <is>
          <t>Athena Health Insurance</t>
        </is>
      </c>
      <c r="T27" s="26" t="inlineStr">
        <is>
          <t>Athena PPO</t>
        </is>
      </c>
      <c r="U27" s="26" t="inlineStr">
        <is>
          <t>AUTH-700012</t>
        </is>
      </c>
      <c r="V27" s="26" t="inlineStr">
        <is>
          <t>Eleanor Brooks, MD</t>
        </is>
      </c>
      <c r="W27" s="26" t="inlineStr">
        <is>
          <t>Assigned Department Provider</t>
        </is>
      </c>
      <c r="X27" s="26" t="inlineStr">
        <is>
          <t>RIS/PACS</t>
        </is>
      </c>
      <c r="Y27" s="26" t="inlineStr">
        <is>
          <t>Exam completed</t>
        </is>
      </c>
      <c r="Z27" s="26" t="inlineStr">
        <is>
          <t>Posted</t>
        </is>
      </c>
      <c r="AA27" s="26" t="inlineStr">
        <is>
          <t>Matched</t>
        </is>
      </c>
      <c r="AB27" s="26" t="inlineStr">
        <is>
          <t>Passed</t>
        </is>
      </c>
      <c r="AC27" s="26" t="n"/>
      <c r="AD27" s="26" t="inlineStr">
        <is>
          <t>Prior authorization</t>
        </is>
      </c>
      <c r="AE27" s="26" t="inlineStr">
        <is>
          <t>R91.1</t>
        </is>
      </c>
      <c r="AF27" s="26" t="inlineStr">
        <is>
          <t>22</t>
        </is>
      </c>
      <c r="AG27" s="26" t="inlineStr">
        <is>
          <t>2026-09-13 16:30</t>
        </is>
      </c>
      <c r="AH27" s="26" t="inlineStr">
        <is>
          <t>Synthetic Athena negotiated charge</t>
        </is>
      </c>
    </row>
    <row r="28">
      <c r="A28" s="26" t="inlineStr">
        <is>
          <t>OPD-CHG-0012-CGH</t>
        </is>
      </c>
      <c r="B28" s="26" t="inlineStr">
        <is>
          <t>OP-202600012-CGH</t>
        </is>
      </c>
      <c r="C28" s="26" t="inlineStr">
        <is>
          <t>CSN-OPD-780012-CGH</t>
        </is>
      </c>
      <c r="D28" s="26" t="inlineStr">
        <is>
          <t>Outpatient</t>
        </is>
      </c>
      <c r="E28" s="26" t="inlineStr">
        <is>
          <t>Demo Regional Medical Center</t>
        </is>
      </c>
      <c r="F28" s="26" t="inlineStr">
        <is>
          <t>Radiology</t>
        </is>
      </c>
      <c r="G28" s="26" t="inlineStr">
        <is>
          <t>2026-09-13</t>
        </is>
      </c>
      <c r="H28" s="26" t="inlineStr">
        <is>
          <t>CT-CHEST-W</t>
        </is>
      </c>
      <c r="I28" s="26" t="inlineStr">
        <is>
          <t>CT Chest With Contrast</t>
        </is>
      </c>
      <c r="J28" s="26" t="inlineStr">
        <is>
          <t>0350</t>
        </is>
      </c>
      <c r="K28" s="26" t="inlineStr">
        <is>
          <t>71260</t>
        </is>
      </c>
      <c r="L28" s="26" t="n"/>
      <c r="M28" s="26" t="n">
        <v>1</v>
      </c>
      <c r="N28" s="13" t="n">
        <v>2500</v>
      </c>
      <c r="O28" s="13">
        <f>M28*N28</f>
        <v/>
      </c>
      <c r="P28" s="13" t="n">
        <v>1099.54</v>
      </c>
      <c r="Q28" s="13">
        <f>P28*15%</f>
        <v/>
      </c>
      <c r="R28" s="13">
        <f>O28-P28</f>
        <v/>
      </c>
      <c r="S28" s="26" t="inlineStr">
        <is>
          <t>Care Gap Health</t>
        </is>
      </c>
      <c r="T28" s="26" t="inlineStr">
        <is>
          <t>Care Gap Value PPO</t>
        </is>
      </c>
      <c r="U28" s="26" t="inlineStr">
        <is>
          <t>AUTH-700012</t>
        </is>
      </c>
      <c r="V28" s="26" t="inlineStr">
        <is>
          <t>Eleanor Brooks, MD</t>
        </is>
      </c>
      <c r="W28" s="26" t="inlineStr">
        <is>
          <t>Assigned Department Provider</t>
        </is>
      </c>
      <c r="X28" s="26" t="inlineStr">
        <is>
          <t>RIS/PACS</t>
        </is>
      </c>
      <c r="Y28" s="26" t="inlineStr">
        <is>
          <t>Exam completed</t>
        </is>
      </c>
      <c r="Z28" s="26" t="inlineStr">
        <is>
          <t>Posted</t>
        </is>
      </c>
      <c r="AA28" s="26" t="inlineStr">
        <is>
          <t>Matched</t>
        </is>
      </c>
      <c r="AB28" s="26" t="inlineStr">
        <is>
          <t>Passed</t>
        </is>
      </c>
      <c r="AC28" s="26" t="n"/>
      <c r="AD28" s="26" t="inlineStr">
        <is>
          <t>Prior authorization</t>
        </is>
      </c>
      <c r="AE28" s="26" t="inlineStr">
        <is>
          <t>R91.1</t>
        </is>
      </c>
      <c r="AF28" s="26" t="inlineStr">
        <is>
          <t>22</t>
        </is>
      </c>
      <c r="AG28" s="26" t="inlineStr">
        <is>
          <t>2026-09-13 16:30</t>
        </is>
      </c>
      <c r="AH28" s="26" t="inlineStr">
        <is>
          <t>Synthetic Care Gap charge; 10% below Athena allowed amount</t>
        </is>
      </c>
    </row>
    <row r="29">
      <c r="A29" s="26" t="inlineStr">
        <is>
          <t>OPD-CHG-0013-ATH</t>
        </is>
      </c>
      <c r="B29" s="26" t="inlineStr">
        <is>
          <t>OP-202600013-ATH</t>
        </is>
      </c>
      <c r="C29" s="26" t="inlineStr">
        <is>
          <t>CSN-OPD-780013-ATH</t>
        </is>
      </c>
      <c r="D29" s="26" t="inlineStr">
        <is>
          <t>Outpatient</t>
        </is>
      </c>
      <c r="E29" s="26" t="inlineStr">
        <is>
          <t>Demo Regional Medical Center</t>
        </is>
      </c>
      <c r="F29" s="26" t="inlineStr">
        <is>
          <t>Radiology</t>
        </is>
      </c>
      <c r="G29" s="26" t="inlineStr">
        <is>
          <t>2026-09-14</t>
        </is>
      </c>
      <c r="H29" s="26" t="inlineStr">
        <is>
          <t>MRI-BRAIN-WO</t>
        </is>
      </c>
      <c r="I29" s="26" t="inlineStr">
        <is>
          <t>MRI Brain Without Contrast</t>
        </is>
      </c>
      <c r="J29" s="26" t="inlineStr">
        <is>
          <t>0610</t>
        </is>
      </c>
      <c r="K29" s="26" t="inlineStr">
        <is>
          <t>70551</t>
        </is>
      </c>
      <c r="L29" s="26" t="n"/>
      <c r="M29" s="26" t="n">
        <v>1</v>
      </c>
      <c r="N29" s="13" t="n">
        <v>3250</v>
      </c>
      <c r="O29" s="13">
        <f>M29*N29</f>
        <v/>
      </c>
      <c r="P29" s="13" t="n">
        <v>2247.78</v>
      </c>
      <c r="Q29" s="13">
        <f>P29*20%</f>
        <v/>
      </c>
      <c r="R29" s="13">
        <f>O29-P29</f>
        <v/>
      </c>
      <c r="S29" s="26" t="inlineStr">
        <is>
          <t>Athena Health Insurance</t>
        </is>
      </c>
      <c r="T29" s="26" t="inlineStr">
        <is>
          <t>Athena PPO</t>
        </is>
      </c>
      <c r="U29" s="26" t="inlineStr">
        <is>
          <t>AUTH-700013</t>
        </is>
      </c>
      <c r="V29" s="26" t="inlineStr">
        <is>
          <t>Eleanor Brooks, MD</t>
        </is>
      </c>
      <c r="W29" s="26" t="inlineStr">
        <is>
          <t>Assigned Department Provider</t>
        </is>
      </c>
      <c r="X29" s="26" t="inlineStr">
        <is>
          <t>RIS/PACS</t>
        </is>
      </c>
      <c r="Y29" s="26" t="inlineStr">
        <is>
          <t>Exam completed</t>
        </is>
      </c>
      <c r="Z29" s="26" t="inlineStr">
        <is>
          <t>Posted</t>
        </is>
      </c>
      <c r="AA29" s="26" t="inlineStr">
        <is>
          <t>Matched</t>
        </is>
      </c>
      <c r="AB29" s="26" t="inlineStr">
        <is>
          <t>Passed</t>
        </is>
      </c>
      <c r="AC29" s="26" t="n"/>
      <c r="AD29" s="26" t="inlineStr">
        <is>
          <t>Prior authorization</t>
        </is>
      </c>
      <c r="AE29" s="26" t="inlineStr">
        <is>
          <t>G43.909</t>
        </is>
      </c>
      <c r="AF29" s="26" t="inlineStr">
        <is>
          <t>22</t>
        </is>
      </c>
      <c r="AG29" s="26" t="inlineStr">
        <is>
          <t>2026-09-14 16:30</t>
        </is>
      </c>
      <c r="AH29" s="26" t="inlineStr">
        <is>
          <t>Synthetic Athena negotiated charge</t>
        </is>
      </c>
    </row>
    <row r="30">
      <c r="A30" s="26" t="inlineStr">
        <is>
          <t>OPD-CHG-0013-CGH</t>
        </is>
      </c>
      <c r="B30" s="26" t="inlineStr">
        <is>
          <t>OP-202600013-CGH</t>
        </is>
      </c>
      <c r="C30" s="26" t="inlineStr">
        <is>
          <t>CSN-OPD-780013-CGH</t>
        </is>
      </c>
      <c r="D30" s="26" t="inlineStr">
        <is>
          <t>Outpatient</t>
        </is>
      </c>
      <c r="E30" s="26" t="inlineStr">
        <is>
          <t>Demo Regional Medical Center</t>
        </is>
      </c>
      <c r="F30" s="26" t="inlineStr">
        <is>
          <t>Radiology</t>
        </is>
      </c>
      <c r="G30" s="26" t="inlineStr">
        <is>
          <t>2026-09-14</t>
        </is>
      </c>
      <c r="H30" s="26" t="inlineStr">
        <is>
          <t>MRI-BRAIN-WO</t>
        </is>
      </c>
      <c r="I30" s="26" t="inlineStr">
        <is>
          <t>MRI Brain Without Contrast</t>
        </is>
      </c>
      <c r="J30" s="26" t="inlineStr">
        <is>
          <t>0610</t>
        </is>
      </c>
      <c r="K30" s="26" t="inlineStr">
        <is>
          <t>70551</t>
        </is>
      </c>
      <c r="L30" s="26" t="n"/>
      <c r="M30" s="26" t="n">
        <v>1</v>
      </c>
      <c r="N30" s="13" t="n">
        <v>3250</v>
      </c>
      <c r="O30" s="13">
        <f>M30*N30</f>
        <v/>
      </c>
      <c r="P30" s="13" t="n">
        <v>2023</v>
      </c>
      <c r="Q30" s="13">
        <f>P30*15%</f>
        <v/>
      </c>
      <c r="R30" s="13">
        <f>O30-P30</f>
        <v/>
      </c>
      <c r="S30" s="26" t="inlineStr">
        <is>
          <t>Care Gap Health</t>
        </is>
      </c>
      <c r="T30" s="26" t="inlineStr">
        <is>
          <t>Care Gap Value PPO</t>
        </is>
      </c>
      <c r="U30" s="26" t="inlineStr">
        <is>
          <t>AUTH-700013</t>
        </is>
      </c>
      <c r="V30" s="26" t="inlineStr">
        <is>
          <t>Eleanor Brooks, MD</t>
        </is>
      </c>
      <c r="W30" s="26" t="inlineStr">
        <is>
          <t>Assigned Department Provider</t>
        </is>
      </c>
      <c r="X30" s="26" t="inlineStr">
        <is>
          <t>RIS/PACS</t>
        </is>
      </c>
      <c r="Y30" s="26" t="inlineStr">
        <is>
          <t>Exam completed</t>
        </is>
      </c>
      <c r="Z30" s="26" t="inlineStr">
        <is>
          <t>Posted</t>
        </is>
      </c>
      <c r="AA30" s="26" t="inlineStr">
        <is>
          <t>Matched</t>
        </is>
      </c>
      <c r="AB30" s="26" t="inlineStr">
        <is>
          <t>Passed</t>
        </is>
      </c>
      <c r="AC30" s="26" t="n"/>
      <c r="AD30" s="26" t="inlineStr">
        <is>
          <t>Prior authorization</t>
        </is>
      </c>
      <c r="AE30" s="26" t="inlineStr">
        <is>
          <t>G43.909</t>
        </is>
      </c>
      <c r="AF30" s="26" t="inlineStr">
        <is>
          <t>22</t>
        </is>
      </c>
      <c r="AG30" s="26" t="inlineStr">
        <is>
          <t>2026-09-14 16:30</t>
        </is>
      </c>
      <c r="AH30" s="26" t="inlineStr">
        <is>
          <t>Synthetic Care Gap charge; 10% below Athena allowed amount</t>
        </is>
      </c>
    </row>
    <row r="31">
      <c r="A31" s="26" t="inlineStr">
        <is>
          <t>OPD-CHG-0014-ATH</t>
        </is>
      </c>
      <c r="B31" s="26" t="inlineStr">
        <is>
          <t>OP-202600014-ATH</t>
        </is>
      </c>
      <c r="C31" s="26" t="inlineStr">
        <is>
          <t>CSN-OPD-780014-ATH</t>
        </is>
      </c>
      <c r="D31" s="26" t="inlineStr">
        <is>
          <t>Outpatient</t>
        </is>
      </c>
      <c r="E31" s="26" t="inlineStr">
        <is>
          <t>Demo Regional Medical Center</t>
        </is>
      </c>
      <c r="F31" s="26" t="inlineStr">
        <is>
          <t>Radiology</t>
        </is>
      </c>
      <c r="G31" s="26" t="inlineStr">
        <is>
          <t>2026-09-15</t>
        </is>
      </c>
      <c r="H31" s="26" t="inlineStr">
        <is>
          <t>US-ABD-COMP</t>
        </is>
      </c>
      <c r="I31" s="26" t="inlineStr">
        <is>
          <t>Ultrasound Abdomen Complete</t>
        </is>
      </c>
      <c r="J31" s="26" t="inlineStr">
        <is>
          <t>0402</t>
        </is>
      </c>
      <c r="K31" s="26" t="inlineStr">
        <is>
          <t>76700</t>
        </is>
      </c>
      <c r="L31" s="26" t="n"/>
      <c r="M31" s="26" t="n">
        <v>1</v>
      </c>
      <c r="N31" s="13" t="n">
        <v>875</v>
      </c>
      <c r="O31" s="13">
        <f>M31*N31</f>
        <v/>
      </c>
      <c r="P31" s="13" t="n">
        <v>593.15</v>
      </c>
      <c r="Q31" s="13">
        <f>P31*20%</f>
        <v/>
      </c>
      <c r="R31" s="13">
        <f>O31-P31</f>
        <v/>
      </c>
      <c r="S31" s="26" t="inlineStr">
        <is>
          <t>Athena Health Insurance</t>
        </is>
      </c>
      <c r="T31" s="26" t="inlineStr">
        <is>
          <t>Athena PPO</t>
        </is>
      </c>
      <c r="U31" s="26" t="n"/>
      <c r="V31" s="26" t="inlineStr">
        <is>
          <t>Eleanor Brooks, MD</t>
        </is>
      </c>
      <c r="W31" s="26" t="inlineStr">
        <is>
          <t>Assigned Department Provider</t>
        </is>
      </c>
      <c r="X31" s="26" t="inlineStr">
        <is>
          <t>RIS/PACS</t>
        </is>
      </c>
      <c r="Y31" s="26" t="inlineStr">
        <is>
          <t>Exam completed</t>
        </is>
      </c>
      <c r="Z31" s="26" t="inlineStr">
        <is>
          <t>Posted</t>
        </is>
      </c>
      <c r="AA31" s="26" t="inlineStr">
        <is>
          <t>Matched</t>
        </is>
      </c>
      <c r="AB31" s="26" t="inlineStr">
        <is>
          <t>Passed</t>
        </is>
      </c>
      <c r="AC31" s="26" t="n"/>
      <c r="AD31" s="26" t="inlineStr">
        <is>
          <t>Diagnosis/LCD</t>
        </is>
      </c>
      <c r="AE31" s="26" t="inlineStr">
        <is>
          <t>R10.84</t>
        </is>
      </c>
      <c r="AF31" s="26" t="inlineStr">
        <is>
          <t>22</t>
        </is>
      </c>
      <c r="AG31" s="26" t="inlineStr">
        <is>
          <t>2026-09-15 16:30</t>
        </is>
      </c>
      <c r="AH31" s="26" t="inlineStr">
        <is>
          <t>Synthetic Athena negotiated charge</t>
        </is>
      </c>
    </row>
    <row r="32">
      <c r="A32" s="26" t="inlineStr">
        <is>
          <t>OPD-CHG-0014-CGH</t>
        </is>
      </c>
      <c r="B32" s="26" t="inlineStr">
        <is>
          <t>OP-202600014-CGH</t>
        </is>
      </c>
      <c r="C32" s="26" t="inlineStr">
        <is>
          <t>CSN-OPD-780014-CGH</t>
        </is>
      </c>
      <c r="D32" s="26" t="inlineStr">
        <is>
          <t>Outpatient</t>
        </is>
      </c>
      <c r="E32" s="26" t="inlineStr">
        <is>
          <t>Demo Regional Medical Center</t>
        </is>
      </c>
      <c r="F32" s="26" t="inlineStr">
        <is>
          <t>Radiology</t>
        </is>
      </c>
      <c r="G32" s="26" t="inlineStr">
        <is>
          <t>2026-09-15</t>
        </is>
      </c>
      <c r="H32" s="26" t="inlineStr">
        <is>
          <t>US-ABD-COMP</t>
        </is>
      </c>
      <c r="I32" s="26" t="inlineStr">
        <is>
          <t>Ultrasound Abdomen Complete</t>
        </is>
      </c>
      <c r="J32" s="26" t="inlineStr">
        <is>
          <t>0402</t>
        </is>
      </c>
      <c r="K32" s="26" t="inlineStr">
        <is>
          <t>76700</t>
        </is>
      </c>
      <c r="L32" s="26" t="n"/>
      <c r="M32" s="26" t="n">
        <v>1</v>
      </c>
      <c r="N32" s="13" t="n">
        <v>875</v>
      </c>
      <c r="O32" s="13">
        <f>M32*N32</f>
        <v/>
      </c>
      <c r="P32" s="13" t="n">
        <v>533.84</v>
      </c>
      <c r="Q32" s="13">
        <f>P32*15%</f>
        <v/>
      </c>
      <c r="R32" s="13">
        <f>O32-P32</f>
        <v/>
      </c>
      <c r="S32" s="26" t="inlineStr">
        <is>
          <t>Care Gap Health</t>
        </is>
      </c>
      <c r="T32" s="26" t="inlineStr">
        <is>
          <t>Care Gap Value PPO</t>
        </is>
      </c>
      <c r="U32" s="26" t="n"/>
      <c r="V32" s="26" t="inlineStr">
        <is>
          <t>Eleanor Brooks, MD</t>
        </is>
      </c>
      <c r="W32" s="26" t="inlineStr">
        <is>
          <t>Assigned Department Provider</t>
        </is>
      </c>
      <c r="X32" s="26" t="inlineStr">
        <is>
          <t>RIS/PACS</t>
        </is>
      </c>
      <c r="Y32" s="26" t="inlineStr">
        <is>
          <t>Exam completed</t>
        </is>
      </c>
      <c r="Z32" s="26" t="inlineStr">
        <is>
          <t>Posted</t>
        </is>
      </c>
      <c r="AA32" s="26" t="inlineStr">
        <is>
          <t>Matched</t>
        </is>
      </c>
      <c r="AB32" s="26" t="inlineStr">
        <is>
          <t>Passed</t>
        </is>
      </c>
      <c r="AC32" s="26" t="n"/>
      <c r="AD32" s="26" t="inlineStr">
        <is>
          <t>Diagnosis/LCD</t>
        </is>
      </c>
      <c r="AE32" s="26" t="inlineStr">
        <is>
          <t>R10.84</t>
        </is>
      </c>
      <c r="AF32" s="26" t="inlineStr">
        <is>
          <t>22</t>
        </is>
      </c>
      <c r="AG32" s="26" t="inlineStr">
        <is>
          <t>2026-09-15 16:30</t>
        </is>
      </c>
      <c r="AH32" s="26" t="inlineStr">
        <is>
          <t>Synthetic Care Gap charge; 10% below Athena allowed amount</t>
        </is>
      </c>
    </row>
    <row r="33">
      <c r="A33" s="26" t="inlineStr">
        <is>
          <t>OPD-CHG-0015-ATH</t>
        </is>
      </c>
      <c r="B33" s="26" t="inlineStr">
        <is>
          <t>OP-202600015-ATH</t>
        </is>
      </c>
      <c r="C33" s="26" t="inlineStr">
        <is>
          <t>CSN-OPD-780015-ATH</t>
        </is>
      </c>
      <c r="D33" s="26" t="inlineStr">
        <is>
          <t>Outpatient</t>
        </is>
      </c>
      <c r="E33" s="26" t="inlineStr">
        <is>
          <t>Demo Regional Medical Center</t>
        </is>
      </c>
      <c r="F33" s="26" t="inlineStr">
        <is>
          <t>Mammography</t>
        </is>
      </c>
      <c r="G33" s="26" t="inlineStr">
        <is>
          <t>2026-09-16</t>
        </is>
      </c>
      <c r="H33" s="26" t="inlineStr">
        <is>
          <t>MAMMO-SCREEN</t>
        </is>
      </c>
      <c r="I33" s="26" t="inlineStr">
        <is>
          <t>Screening Mammography, Bilateral</t>
        </is>
      </c>
      <c r="J33" s="26" t="inlineStr">
        <is>
          <t>0403</t>
        </is>
      </c>
      <c r="K33" s="26" t="inlineStr">
        <is>
          <t>77067</t>
        </is>
      </c>
      <c r="L33" s="26" t="n"/>
      <c r="M33" s="26" t="n">
        <v>1</v>
      </c>
      <c r="N33" s="13" t="n">
        <v>535</v>
      </c>
      <c r="O33" s="13">
        <f>M33*N33</f>
        <v/>
      </c>
      <c r="P33" s="13" t="n">
        <v>236.07</v>
      </c>
      <c r="Q33" s="13">
        <f>P33*20%</f>
        <v/>
      </c>
      <c r="R33" s="13">
        <f>O33-P33</f>
        <v/>
      </c>
      <c r="S33" s="26" t="inlineStr">
        <is>
          <t>Athena Health Insurance</t>
        </is>
      </c>
      <c r="T33" s="26" t="inlineStr">
        <is>
          <t>Athena PPO</t>
        </is>
      </c>
      <c r="U33" s="26" t="n"/>
      <c r="V33" s="26" t="inlineStr">
        <is>
          <t>Eleanor Brooks, MD</t>
        </is>
      </c>
      <c r="W33" s="26" t="inlineStr">
        <is>
          <t>Assigned Department Provider</t>
        </is>
      </c>
      <c r="X33" s="26" t="inlineStr">
        <is>
          <t>RIS/PACS</t>
        </is>
      </c>
      <c r="Y33" s="26" t="inlineStr">
        <is>
          <t>Exam completed</t>
        </is>
      </c>
      <c r="Z33" s="26" t="inlineStr">
        <is>
          <t>Posted</t>
        </is>
      </c>
      <c r="AA33" s="26" t="inlineStr">
        <is>
          <t>Matched</t>
        </is>
      </c>
      <c r="AB33" s="26" t="inlineStr">
        <is>
          <t>Passed</t>
        </is>
      </c>
      <c r="AC33" s="26" t="n"/>
      <c r="AD33" s="26" t="inlineStr">
        <is>
          <t>Preventive rule</t>
        </is>
      </c>
      <c r="AE33" s="26" t="inlineStr">
        <is>
          <t>Z12.31</t>
        </is>
      </c>
      <c r="AF33" s="26" t="inlineStr">
        <is>
          <t>22</t>
        </is>
      </c>
      <c r="AG33" s="26" t="inlineStr">
        <is>
          <t>2026-09-16 16:30</t>
        </is>
      </c>
      <c r="AH33" s="26" t="inlineStr">
        <is>
          <t>Synthetic Athena negotiated charge</t>
        </is>
      </c>
    </row>
    <row r="34">
      <c r="A34" s="26" t="inlineStr">
        <is>
          <t>OPD-CHG-0015-CGH</t>
        </is>
      </c>
      <c r="B34" s="26" t="inlineStr">
        <is>
          <t>OP-202600015-CGH</t>
        </is>
      </c>
      <c r="C34" s="26" t="inlineStr">
        <is>
          <t>CSN-OPD-780015-CGH</t>
        </is>
      </c>
      <c r="D34" s="26" t="inlineStr">
        <is>
          <t>Outpatient</t>
        </is>
      </c>
      <c r="E34" s="26" t="inlineStr">
        <is>
          <t>Demo Regional Medical Center</t>
        </is>
      </c>
      <c r="F34" s="26" t="inlineStr">
        <is>
          <t>Mammography</t>
        </is>
      </c>
      <c r="G34" s="26" t="inlineStr">
        <is>
          <t>2026-09-16</t>
        </is>
      </c>
      <c r="H34" s="26" t="inlineStr">
        <is>
          <t>MAMMO-SCREEN</t>
        </is>
      </c>
      <c r="I34" s="26" t="inlineStr">
        <is>
          <t>Screening Mammography, Bilateral</t>
        </is>
      </c>
      <c r="J34" s="26" t="inlineStr">
        <is>
          <t>0403</t>
        </is>
      </c>
      <c r="K34" s="26" t="inlineStr">
        <is>
          <t>77067</t>
        </is>
      </c>
      <c r="L34" s="26" t="n"/>
      <c r="M34" s="26" t="n">
        <v>1</v>
      </c>
      <c r="N34" s="13" t="n">
        <v>535</v>
      </c>
      <c r="O34" s="13">
        <f>M34*N34</f>
        <v/>
      </c>
      <c r="P34" s="13" t="n">
        <v>212.46</v>
      </c>
      <c r="Q34" s="13">
        <f>P34*15%</f>
        <v/>
      </c>
      <c r="R34" s="13">
        <f>O34-P34</f>
        <v/>
      </c>
      <c r="S34" s="26" t="inlineStr">
        <is>
          <t>Care Gap Health</t>
        </is>
      </c>
      <c r="T34" s="26" t="inlineStr">
        <is>
          <t>Care Gap Value PPO</t>
        </is>
      </c>
      <c r="U34" s="26" t="n"/>
      <c r="V34" s="26" t="inlineStr">
        <is>
          <t>Eleanor Brooks, MD</t>
        </is>
      </c>
      <c r="W34" s="26" t="inlineStr">
        <is>
          <t>Assigned Department Provider</t>
        </is>
      </c>
      <c r="X34" s="26" t="inlineStr">
        <is>
          <t>RIS/PACS</t>
        </is>
      </c>
      <c r="Y34" s="26" t="inlineStr">
        <is>
          <t>Exam completed</t>
        </is>
      </c>
      <c r="Z34" s="26" t="inlineStr">
        <is>
          <t>Posted</t>
        </is>
      </c>
      <c r="AA34" s="26" t="inlineStr">
        <is>
          <t>Matched</t>
        </is>
      </c>
      <c r="AB34" s="26" t="inlineStr">
        <is>
          <t>Passed</t>
        </is>
      </c>
      <c r="AC34" s="26" t="n"/>
      <c r="AD34" s="26" t="inlineStr">
        <is>
          <t>Preventive rule</t>
        </is>
      </c>
      <c r="AE34" s="26" t="inlineStr">
        <is>
          <t>Z12.31</t>
        </is>
      </c>
      <c r="AF34" s="26" t="inlineStr">
        <is>
          <t>22</t>
        </is>
      </c>
      <c r="AG34" s="26" t="inlineStr">
        <is>
          <t>2026-09-16 16:30</t>
        </is>
      </c>
      <c r="AH34" s="26" t="inlineStr">
        <is>
          <t>Synthetic Care Gap charge; 10% below Athena allowed amount</t>
        </is>
      </c>
    </row>
    <row r="35">
      <c r="A35" s="26" t="inlineStr">
        <is>
          <t>OPD-CHG-0016-ATH</t>
        </is>
      </c>
      <c r="B35" s="26" t="inlineStr">
        <is>
          <t>OP-202600016-ATH</t>
        </is>
      </c>
      <c r="C35" s="26" t="inlineStr">
        <is>
          <t>CSN-OPD-780016-ATH</t>
        </is>
      </c>
      <c r="D35" s="26" t="inlineStr">
        <is>
          <t>Outpatient</t>
        </is>
      </c>
      <c r="E35" s="26" t="inlineStr">
        <is>
          <t>Demo Regional Medical Center</t>
        </is>
      </c>
      <c r="F35" s="26" t="inlineStr">
        <is>
          <t>Laboratory</t>
        </is>
      </c>
      <c r="G35" s="26" t="inlineStr">
        <is>
          <t>2026-09-17</t>
        </is>
      </c>
      <c r="H35" s="26" t="inlineStr">
        <is>
          <t>CBC-OP</t>
        </is>
      </c>
      <c r="I35" s="26" t="inlineStr">
        <is>
          <t>Complete Blood Count with Differential</t>
        </is>
      </c>
      <c r="J35" s="26" t="inlineStr">
        <is>
          <t>0300</t>
        </is>
      </c>
      <c r="K35" s="26" t="inlineStr">
        <is>
          <t>85025</t>
        </is>
      </c>
      <c r="L35" s="26" t="n"/>
      <c r="M35" s="26" t="n">
        <v>1</v>
      </c>
      <c r="N35" s="13" t="n">
        <v>155</v>
      </c>
      <c r="O35" s="13">
        <f>M35*N35</f>
        <v/>
      </c>
      <c r="P35" s="13" t="n">
        <v>76.17</v>
      </c>
      <c r="Q35" s="13">
        <f>P35*20%</f>
        <v/>
      </c>
      <c r="R35" s="13">
        <f>O35-P35</f>
        <v/>
      </c>
      <c r="S35" s="26" t="inlineStr">
        <is>
          <t>Athena Health Insurance</t>
        </is>
      </c>
      <c r="T35" s="26" t="inlineStr">
        <is>
          <t>Athena PPO</t>
        </is>
      </c>
      <c r="U35" s="26" t="n"/>
      <c r="V35" s="26" t="inlineStr">
        <is>
          <t>Eleanor Brooks, MD</t>
        </is>
      </c>
      <c r="W35" s="26" t="inlineStr">
        <is>
          <t>Assigned Department Provider</t>
        </is>
      </c>
      <c r="X35" s="26" t="inlineStr">
        <is>
          <t>LIS</t>
        </is>
      </c>
      <c r="Y35" s="26" t="inlineStr">
        <is>
          <t>Final result</t>
        </is>
      </c>
      <c r="Z35" s="26" t="inlineStr">
        <is>
          <t>Posted</t>
        </is>
      </c>
      <c r="AA35" s="26" t="inlineStr">
        <is>
          <t>Matched</t>
        </is>
      </c>
      <c r="AB35" s="26" t="inlineStr">
        <is>
          <t>Passed</t>
        </is>
      </c>
      <c r="AC35" s="26" t="n"/>
      <c r="AD35" s="26" t="inlineStr">
        <is>
          <t>Diagnosis/LCD</t>
        </is>
      </c>
      <c r="AE35" s="26" t="inlineStr">
        <is>
          <t>R53.83</t>
        </is>
      </c>
      <c r="AF35" s="26" t="inlineStr">
        <is>
          <t>22</t>
        </is>
      </c>
      <c r="AG35" s="26" t="inlineStr">
        <is>
          <t>2026-09-17 16:30</t>
        </is>
      </c>
      <c r="AH35" s="26" t="inlineStr">
        <is>
          <t>Synthetic Athena negotiated charge</t>
        </is>
      </c>
    </row>
    <row r="36">
      <c r="A36" s="26" t="inlineStr">
        <is>
          <t>OPD-CHG-0016-CGH</t>
        </is>
      </c>
      <c r="B36" s="26" t="inlineStr">
        <is>
          <t>OP-202600016-CGH</t>
        </is>
      </c>
      <c r="C36" s="26" t="inlineStr">
        <is>
          <t>CSN-OPD-780016-CGH</t>
        </is>
      </c>
      <c r="D36" s="26" t="inlineStr">
        <is>
          <t>Outpatient</t>
        </is>
      </c>
      <c r="E36" s="26" t="inlineStr">
        <is>
          <t>Demo Regional Medical Center</t>
        </is>
      </c>
      <c r="F36" s="26" t="inlineStr">
        <is>
          <t>Laboratory</t>
        </is>
      </c>
      <c r="G36" s="26" t="inlineStr">
        <is>
          <t>2026-09-17</t>
        </is>
      </c>
      <c r="H36" s="26" t="inlineStr">
        <is>
          <t>CBC-OP</t>
        </is>
      </c>
      <c r="I36" s="26" t="inlineStr">
        <is>
          <t>Complete Blood Count with Differential</t>
        </is>
      </c>
      <c r="J36" s="26" t="inlineStr">
        <is>
          <t>0300</t>
        </is>
      </c>
      <c r="K36" s="26" t="inlineStr">
        <is>
          <t>85025</t>
        </is>
      </c>
      <c r="L36" s="26" t="n"/>
      <c r="M36" s="26" t="n">
        <v>1</v>
      </c>
      <c r="N36" s="13" t="n">
        <v>155</v>
      </c>
      <c r="O36" s="13">
        <f>M36*N36</f>
        <v/>
      </c>
      <c r="P36" s="13" t="n">
        <v>68.55</v>
      </c>
      <c r="Q36" s="13">
        <f>P36*15%</f>
        <v/>
      </c>
      <c r="R36" s="13">
        <f>O36-P36</f>
        <v/>
      </c>
      <c r="S36" s="26" t="inlineStr">
        <is>
          <t>Care Gap Health</t>
        </is>
      </c>
      <c r="T36" s="26" t="inlineStr">
        <is>
          <t>Care Gap Value PPO</t>
        </is>
      </c>
      <c r="U36" s="26" t="n"/>
      <c r="V36" s="26" t="inlineStr">
        <is>
          <t>Eleanor Brooks, MD</t>
        </is>
      </c>
      <c r="W36" s="26" t="inlineStr">
        <is>
          <t>Assigned Department Provider</t>
        </is>
      </c>
      <c r="X36" s="26" t="inlineStr">
        <is>
          <t>LIS</t>
        </is>
      </c>
      <c r="Y36" s="26" t="inlineStr">
        <is>
          <t>Final result</t>
        </is>
      </c>
      <c r="Z36" s="26" t="inlineStr">
        <is>
          <t>Posted</t>
        </is>
      </c>
      <c r="AA36" s="26" t="inlineStr">
        <is>
          <t>Matched</t>
        </is>
      </c>
      <c r="AB36" s="26" t="inlineStr">
        <is>
          <t>Passed</t>
        </is>
      </c>
      <c r="AC36" s="26" t="n"/>
      <c r="AD36" s="26" t="inlineStr">
        <is>
          <t>Diagnosis/LCD</t>
        </is>
      </c>
      <c r="AE36" s="26" t="inlineStr">
        <is>
          <t>R53.83</t>
        </is>
      </c>
      <c r="AF36" s="26" t="inlineStr">
        <is>
          <t>22</t>
        </is>
      </c>
      <c r="AG36" s="26" t="inlineStr">
        <is>
          <t>2026-09-17 16:30</t>
        </is>
      </c>
      <c r="AH36" s="26" t="inlineStr">
        <is>
          <t>Synthetic Care Gap charge; 10% below Athena allowed amount</t>
        </is>
      </c>
    </row>
    <row r="37">
      <c r="A37" s="26" t="inlineStr">
        <is>
          <t>OPD-CHG-0017-ATH</t>
        </is>
      </c>
      <c r="B37" s="26" t="inlineStr">
        <is>
          <t>OP-202600017-ATH</t>
        </is>
      </c>
      <c r="C37" s="26" t="inlineStr">
        <is>
          <t>CSN-OPD-780017-ATH</t>
        </is>
      </c>
      <c r="D37" s="26" t="inlineStr">
        <is>
          <t>Outpatient</t>
        </is>
      </c>
      <c r="E37" s="26" t="inlineStr">
        <is>
          <t>Demo Regional Medical Center</t>
        </is>
      </c>
      <c r="F37" s="26" t="inlineStr">
        <is>
          <t>Laboratory</t>
        </is>
      </c>
      <c r="G37" s="26" t="inlineStr">
        <is>
          <t>2026-09-18</t>
        </is>
      </c>
      <c r="H37" s="26" t="inlineStr">
        <is>
          <t>BMP-OP</t>
        </is>
      </c>
      <c r="I37" s="26" t="inlineStr">
        <is>
          <t>Basic Metabolic Panel</t>
        </is>
      </c>
      <c r="J37" s="26" t="inlineStr">
        <is>
          <t>0301</t>
        </is>
      </c>
      <c r="K37" s="26" t="inlineStr">
        <is>
          <t>80048</t>
        </is>
      </c>
      <c r="L37" s="26" t="n"/>
      <c r="M37" s="26" t="n">
        <v>1</v>
      </c>
      <c r="N37" s="13" t="n">
        <v>185</v>
      </c>
      <c r="O37" s="13">
        <f>M37*N37</f>
        <v/>
      </c>
      <c r="P37" s="13" t="n">
        <v>114.83</v>
      </c>
      <c r="Q37" s="13">
        <f>P37*20%</f>
        <v/>
      </c>
      <c r="R37" s="13">
        <f>O37-P37</f>
        <v/>
      </c>
      <c r="S37" s="26" t="inlineStr">
        <is>
          <t>Athena Health Insurance</t>
        </is>
      </c>
      <c r="T37" s="26" t="inlineStr">
        <is>
          <t>Athena PPO</t>
        </is>
      </c>
      <c r="U37" s="26" t="n"/>
      <c r="V37" s="26" t="inlineStr">
        <is>
          <t>Eleanor Brooks, MD</t>
        </is>
      </c>
      <c r="W37" s="26" t="inlineStr">
        <is>
          <t>Assigned Department Provider</t>
        </is>
      </c>
      <c r="X37" s="26" t="inlineStr">
        <is>
          <t>LIS</t>
        </is>
      </c>
      <c r="Y37" s="26" t="inlineStr">
        <is>
          <t>Final result</t>
        </is>
      </c>
      <c r="Z37" s="26" t="inlineStr">
        <is>
          <t>Posted</t>
        </is>
      </c>
      <c r="AA37" s="26" t="inlineStr">
        <is>
          <t>Matched</t>
        </is>
      </c>
      <c r="AB37" s="26" t="inlineStr">
        <is>
          <t>Passed</t>
        </is>
      </c>
      <c r="AC37" s="26" t="n"/>
      <c r="AD37" s="26" t="inlineStr">
        <is>
          <t>Diagnosis/LCD</t>
        </is>
      </c>
      <c r="AE37" s="26" t="inlineStr">
        <is>
          <t>I10</t>
        </is>
      </c>
      <c r="AF37" s="26" t="inlineStr">
        <is>
          <t>22</t>
        </is>
      </c>
      <c r="AG37" s="26" t="inlineStr">
        <is>
          <t>2026-09-18 16:30</t>
        </is>
      </c>
      <c r="AH37" s="26" t="inlineStr">
        <is>
          <t>Synthetic Athena negotiated charge</t>
        </is>
      </c>
    </row>
    <row r="38">
      <c r="A38" s="26" t="inlineStr">
        <is>
          <t>OPD-CHG-0017-CGH</t>
        </is>
      </c>
      <c r="B38" s="26" t="inlineStr">
        <is>
          <t>OP-202600017-CGH</t>
        </is>
      </c>
      <c r="C38" s="26" t="inlineStr">
        <is>
          <t>CSN-OPD-780017-CGH</t>
        </is>
      </c>
      <c r="D38" s="26" t="inlineStr">
        <is>
          <t>Outpatient</t>
        </is>
      </c>
      <c r="E38" s="26" t="inlineStr">
        <is>
          <t>Demo Regional Medical Center</t>
        </is>
      </c>
      <c r="F38" s="26" t="inlineStr">
        <is>
          <t>Laboratory</t>
        </is>
      </c>
      <c r="G38" s="26" t="inlineStr">
        <is>
          <t>2026-09-18</t>
        </is>
      </c>
      <c r="H38" s="26" t="inlineStr">
        <is>
          <t>BMP-OP</t>
        </is>
      </c>
      <c r="I38" s="26" t="inlineStr">
        <is>
          <t>Basic Metabolic Panel</t>
        </is>
      </c>
      <c r="J38" s="26" t="inlineStr">
        <is>
          <t>0301</t>
        </is>
      </c>
      <c r="K38" s="26" t="inlineStr">
        <is>
          <t>80048</t>
        </is>
      </c>
      <c r="L38" s="26" t="n"/>
      <c r="M38" s="26" t="n">
        <v>1</v>
      </c>
      <c r="N38" s="13" t="n">
        <v>185</v>
      </c>
      <c r="O38" s="13">
        <f>M38*N38</f>
        <v/>
      </c>
      <c r="P38" s="13" t="n">
        <v>103.35</v>
      </c>
      <c r="Q38" s="13">
        <f>P38*15%</f>
        <v/>
      </c>
      <c r="R38" s="13">
        <f>O38-P38</f>
        <v/>
      </c>
      <c r="S38" s="26" t="inlineStr">
        <is>
          <t>Care Gap Health</t>
        </is>
      </c>
      <c r="T38" s="26" t="inlineStr">
        <is>
          <t>Care Gap Value PPO</t>
        </is>
      </c>
      <c r="U38" s="26" t="n"/>
      <c r="V38" s="26" t="inlineStr">
        <is>
          <t>Eleanor Brooks, MD</t>
        </is>
      </c>
      <c r="W38" s="26" t="inlineStr">
        <is>
          <t>Assigned Department Provider</t>
        </is>
      </c>
      <c r="X38" s="26" t="inlineStr">
        <is>
          <t>LIS</t>
        </is>
      </c>
      <c r="Y38" s="26" t="inlineStr">
        <is>
          <t>Final result</t>
        </is>
      </c>
      <c r="Z38" s="26" t="inlineStr">
        <is>
          <t>Posted</t>
        </is>
      </c>
      <c r="AA38" s="26" t="inlineStr">
        <is>
          <t>Matched</t>
        </is>
      </c>
      <c r="AB38" s="26" t="inlineStr">
        <is>
          <t>Passed</t>
        </is>
      </c>
      <c r="AC38" s="26" t="n"/>
      <c r="AD38" s="26" t="inlineStr">
        <is>
          <t>Diagnosis/LCD</t>
        </is>
      </c>
      <c r="AE38" s="26" t="inlineStr">
        <is>
          <t>I10</t>
        </is>
      </c>
      <c r="AF38" s="26" t="inlineStr">
        <is>
          <t>22</t>
        </is>
      </c>
      <c r="AG38" s="26" t="inlineStr">
        <is>
          <t>2026-09-18 16:30</t>
        </is>
      </c>
      <c r="AH38" s="26" t="inlineStr">
        <is>
          <t>Synthetic Care Gap charge; 10% below Athena allowed amount</t>
        </is>
      </c>
    </row>
    <row r="39">
      <c r="A39" s="26" t="inlineStr">
        <is>
          <t>OPD-CHG-0018-ATH</t>
        </is>
      </c>
      <c r="B39" s="26" t="inlineStr">
        <is>
          <t>OP-202600018-ATH</t>
        </is>
      </c>
      <c r="C39" s="26" t="inlineStr">
        <is>
          <t>CSN-OPD-780018-ATH</t>
        </is>
      </c>
      <c r="D39" s="26" t="inlineStr">
        <is>
          <t>Outpatient</t>
        </is>
      </c>
      <c r="E39" s="26" t="inlineStr">
        <is>
          <t>Demo Regional Medical Center</t>
        </is>
      </c>
      <c r="F39" s="26" t="inlineStr">
        <is>
          <t>Laboratory</t>
        </is>
      </c>
      <c r="G39" s="26" t="inlineStr">
        <is>
          <t>2026-09-19</t>
        </is>
      </c>
      <c r="H39" s="26" t="inlineStr">
        <is>
          <t>A1C-OP</t>
        </is>
      </c>
      <c r="I39" s="26" t="inlineStr">
        <is>
          <t>Hemoglobin A1c</t>
        </is>
      </c>
      <c r="J39" s="26" t="inlineStr">
        <is>
          <t>0301</t>
        </is>
      </c>
      <c r="K39" s="26" t="inlineStr">
        <is>
          <t>83036</t>
        </is>
      </c>
      <c r="L39" s="26" t="n"/>
      <c r="M39" s="26" t="n">
        <v>1</v>
      </c>
      <c r="N39" s="13" t="n">
        <v>110</v>
      </c>
      <c r="O39" s="13">
        <f>M39*N39</f>
        <v/>
      </c>
      <c r="P39" s="13" t="n">
        <v>53.27</v>
      </c>
      <c r="Q39" s="13">
        <f>P39*20%</f>
        <v/>
      </c>
      <c r="R39" s="13">
        <f>O39-P39</f>
        <v/>
      </c>
      <c r="S39" s="26" t="inlineStr">
        <is>
          <t>Athena Health Insurance</t>
        </is>
      </c>
      <c r="T39" s="26" t="inlineStr">
        <is>
          <t>Athena PPO</t>
        </is>
      </c>
      <c r="U39" s="26" t="n"/>
      <c r="V39" s="26" t="inlineStr">
        <is>
          <t>Eleanor Brooks, MD</t>
        </is>
      </c>
      <c r="W39" s="26" t="inlineStr">
        <is>
          <t>Assigned Department Provider</t>
        </is>
      </c>
      <c r="X39" s="26" t="inlineStr">
        <is>
          <t>LIS</t>
        </is>
      </c>
      <c r="Y39" s="26" t="inlineStr">
        <is>
          <t>Final result</t>
        </is>
      </c>
      <c r="Z39" s="26" t="inlineStr">
        <is>
          <t>Posted</t>
        </is>
      </c>
      <c r="AA39" s="26" t="inlineStr">
        <is>
          <t>Matched</t>
        </is>
      </c>
      <c r="AB39" s="26" t="inlineStr">
        <is>
          <t>Passed</t>
        </is>
      </c>
      <c r="AC39" s="26" t="n"/>
      <c r="AD39" s="26" t="inlineStr">
        <is>
          <t>Diagnosis/LCD</t>
        </is>
      </c>
      <c r="AE39" s="26" t="inlineStr">
        <is>
          <t>E11.9</t>
        </is>
      </c>
      <c r="AF39" s="26" t="inlineStr">
        <is>
          <t>22</t>
        </is>
      </c>
      <c r="AG39" s="26" t="inlineStr">
        <is>
          <t>2026-09-19 16:30</t>
        </is>
      </c>
      <c r="AH39" s="26" t="inlineStr">
        <is>
          <t>Synthetic Athena negotiated charge</t>
        </is>
      </c>
    </row>
    <row r="40">
      <c r="A40" s="26" t="inlineStr">
        <is>
          <t>OPD-CHG-0018-CGH</t>
        </is>
      </c>
      <c r="B40" s="26" t="inlineStr">
        <is>
          <t>OP-202600018-CGH</t>
        </is>
      </c>
      <c r="C40" s="26" t="inlineStr">
        <is>
          <t>CSN-OPD-780018-CGH</t>
        </is>
      </c>
      <c r="D40" s="26" t="inlineStr">
        <is>
          <t>Outpatient</t>
        </is>
      </c>
      <c r="E40" s="26" t="inlineStr">
        <is>
          <t>Demo Regional Medical Center</t>
        </is>
      </c>
      <c r="F40" s="26" t="inlineStr">
        <is>
          <t>Laboratory</t>
        </is>
      </c>
      <c r="G40" s="26" t="inlineStr">
        <is>
          <t>2026-09-19</t>
        </is>
      </c>
      <c r="H40" s="26" t="inlineStr">
        <is>
          <t>A1C-OP</t>
        </is>
      </c>
      <c r="I40" s="26" t="inlineStr">
        <is>
          <t>Hemoglobin A1c</t>
        </is>
      </c>
      <c r="J40" s="26" t="inlineStr">
        <is>
          <t>0301</t>
        </is>
      </c>
      <c r="K40" s="26" t="inlineStr">
        <is>
          <t>83036</t>
        </is>
      </c>
      <c r="L40" s="26" t="n"/>
      <c r="M40" s="26" t="n">
        <v>1</v>
      </c>
      <c r="N40" s="13" t="n">
        <v>110</v>
      </c>
      <c r="O40" s="13">
        <f>M40*N40</f>
        <v/>
      </c>
      <c r="P40" s="13" t="n">
        <v>47.94</v>
      </c>
      <c r="Q40" s="13">
        <f>P40*15%</f>
        <v/>
      </c>
      <c r="R40" s="13">
        <f>O40-P40</f>
        <v/>
      </c>
      <c r="S40" s="26" t="inlineStr">
        <is>
          <t>Care Gap Health</t>
        </is>
      </c>
      <c r="T40" s="26" t="inlineStr">
        <is>
          <t>Care Gap Value PPO</t>
        </is>
      </c>
      <c r="U40" s="26" t="n"/>
      <c r="V40" s="26" t="inlineStr">
        <is>
          <t>Eleanor Brooks, MD</t>
        </is>
      </c>
      <c r="W40" s="26" t="inlineStr">
        <is>
          <t>Assigned Department Provider</t>
        </is>
      </c>
      <c r="X40" s="26" t="inlineStr">
        <is>
          <t>LIS</t>
        </is>
      </c>
      <c r="Y40" s="26" t="inlineStr">
        <is>
          <t>Final result</t>
        </is>
      </c>
      <c r="Z40" s="26" t="inlineStr">
        <is>
          <t>Posted</t>
        </is>
      </c>
      <c r="AA40" s="26" t="inlineStr">
        <is>
          <t>Matched</t>
        </is>
      </c>
      <c r="AB40" s="26" t="inlineStr">
        <is>
          <t>Passed</t>
        </is>
      </c>
      <c r="AC40" s="26" t="n"/>
      <c r="AD40" s="26" t="inlineStr">
        <is>
          <t>Diagnosis/LCD</t>
        </is>
      </c>
      <c r="AE40" s="26" t="inlineStr">
        <is>
          <t>E11.9</t>
        </is>
      </c>
      <c r="AF40" s="26" t="inlineStr">
        <is>
          <t>22</t>
        </is>
      </c>
      <c r="AG40" s="26" t="inlineStr">
        <is>
          <t>2026-09-19 16:30</t>
        </is>
      </c>
      <c r="AH40" s="26" t="inlineStr">
        <is>
          <t>Synthetic Care Gap charge; 10% below Athena allowed amount</t>
        </is>
      </c>
    </row>
    <row r="41">
      <c r="A41" s="26" t="inlineStr">
        <is>
          <t>OPD-CHG-0019-ATH</t>
        </is>
      </c>
      <c r="B41" s="26" t="inlineStr">
        <is>
          <t>OP-202600019-ATH</t>
        </is>
      </c>
      <c r="C41" s="26" t="inlineStr">
        <is>
          <t>CSN-OPD-780019-ATH</t>
        </is>
      </c>
      <c r="D41" s="26" t="inlineStr">
        <is>
          <t>Outpatient</t>
        </is>
      </c>
      <c r="E41" s="26" t="inlineStr">
        <is>
          <t>Demo Regional Medical Center</t>
        </is>
      </c>
      <c r="F41" s="26" t="inlineStr">
        <is>
          <t>Laboratory</t>
        </is>
      </c>
      <c r="G41" s="26" t="inlineStr">
        <is>
          <t>2026-09-20</t>
        </is>
      </c>
      <c r="H41" s="26" t="inlineStr">
        <is>
          <t>LIPID-OP</t>
        </is>
      </c>
      <c r="I41" s="26" t="inlineStr">
        <is>
          <t>Lipid Panel</t>
        </is>
      </c>
      <c r="J41" s="26" t="inlineStr">
        <is>
          <t>0301</t>
        </is>
      </c>
      <c r="K41" s="26" t="inlineStr">
        <is>
          <t>80061</t>
        </is>
      </c>
      <c r="L41" s="26" t="n"/>
      <c r="M41" s="26" t="n">
        <v>1</v>
      </c>
      <c r="N41" s="13" t="n">
        <v>215</v>
      </c>
      <c r="O41" s="13">
        <f>M41*N41</f>
        <v/>
      </c>
      <c r="P41" s="13" t="n">
        <v>98.83</v>
      </c>
      <c r="Q41" s="13">
        <f>P41*20%</f>
        <v/>
      </c>
      <c r="R41" s="13">
        <f>O41-P41</f>
        <v/>
      </c>
      <c r="S41" s="26" t="inlineStr">
        <is>
          <t>Athena Health Insurance</t>
        </is>
      </c>
      <c r="T41" s="26" t="inlineStr">
        <is>
          <t>Athena PPO</t>
        </is>
      </c>
      <c r="U41" s="26" t="n"/>
      <c r="V41" s="26" t="inlineStr">
        <is>
          <t>Eleanor Brooks, MD</t>
        </is>
      </c>
      <c r="W41" s="26" t="inlineStr">
        <is>
          <t>Assigned Department Provider</t>
        </is>
      </c>
      <c r="X41" s="26" t="inlineStr">
        <is>
          <t>LIS</t>
        </is>
      </c>
      <c r="Y41" s="26" t="inlineStr">
        <is>
          <t>Final result</t>
        </is>
      </c>
      <c r="Z41" s="26" t="inlineStr">
        <is>
          <t>Posted</t>
        </is>
      </c>
      <c r="AA41" s="26" t="inlineStr">
        <is>
          <t>Matched</t>
        </is>
      </c>
      <c r="AB41" s="26" t="inlineStr">
        <is>
          <t>Passed</t>
        </is>
      </c>
      <c r="AC41" s="26" t="n"/>
      <c r="AD41" s="26" t="inlineStr">
        <is>
          <t>Diagnosis/LCD</t>
        </is>
      </c>
      <c r="AE41" s="26" t="inlineStr">
        <is>
          <t>E78.5</t>
        </is>
      </c>
      <c r="AF41" s="26" t="inlineStr">
        <is>
          <t>22</t>
        </is>
      </c>
      <c r="AG41" s="26" t="inlineStr">
        <is>
          <t>2026-09-20 16:30</t>
        </is>
      </c>
      <c r="AH41" s="26" t="inlineStr">
        <is>
          <t>Synthetic Athena negotiated charge</t>
        </is>
      </c>
    </row>
    <row r="42">
      <c r="A42" s="26" t="inlineStr">
        <is>
          <t>OPD-CHG-0019-CGH</t>
        </is>
      </c>
      <c r="B42" s="26" t="inlineStr">
        <is>
          <t>OP-202600019-CGH</t>
        </is>
      </c>
      <c r="C42" s="26" t="inlineStr">
        <is>
          <t>CSN-OPD-780019-CGH</t>
        </is>
      </c>
      <c r="D42" s="26" t="inlineStr">
        <is>
          <t>Outpatient</t>
        </is>
      </c>
      <c r="E42" s="26" t="inlineStr">
        <is>
          <t>Demo Regional Medical Center</t>
        </is>
      </c>
      <c r="F42" s="26" t="inlineStr">
        <is>
          <t>Laboratory</t>
        </is>
      </c>
      <c r="G42" s="26" t="inlineStr">
        <is>
          <t>2026-09-20</t>
        </is>
      </c>
      <c r="H42" s="26" t="inlineStr">
        <is>
          <t>LIPID-OP</t>
        </is>
      </c>
      <c r="I42" s="26" t="inlineStr">
        <is>
          <t>Lipid Panel</t>
        </is>
      </c>
      <c r="J42" s="26" t="inlineStr">
        <is>
          <t>0301</t>
        </is>
      </c>
      <c r="K42" s="26" t="inlineStr">
        <is>
          <t>80061</t>
        </is>
      </c>
      <c r="L42" s="26" t="n"/>
      <c r="M42" s="26" t="n">
        <v>1</v>
      </c>
      <c r="N42" s="13" t="n">
        <v>215</v>
      </c>
      <c r="O42" s="13">
        <f>M42*N42</f>
        <v/>
      </c>
      <c r="P42" s="13" t="n">
        <v>88.95</v>
      </c>
      <c r="Q42" s="13">
        <f>P42*15%</f>
        <v/>
      </c>
      <c r="R42" s="13">
        <f>O42-P42</f>
        <v/>
      </c>
      <c r="S42" s="26" t="inlineStr">
        <is>
          <t>Care Gap Health</t>
        </is>
      </c>
      <c r="T42" s="26" t="inlineStr">
        <is>
          <t>Care Gap Value PPO</t>
        </is>
      </c>
      <c r="U42" s="26" t="n"/>
      <c r="V42" s="26" t="inlineStr">
        <is>
          <t>Eleanor Brooks, MD</t>
        </is>
      </c>
      <c r="W42" s="26" t="inlineStr">
        <is>
          <t>Assigned Department Provider</t>
        </is>
      </c>
      <c r="X42" s="26" t="inlineStr">
        <is>
          <t>LIS</t>
        </is>
      </c>
      <c r="Y42" s="26" t="inlineStr">
        <is>
          <t>Final result</t>
        </is>
      </c>
      <c r="Z42" s="26" t="inlineStr">
        <is>
          <t>Posted</t>
        </is>
      </c>
      <c r="AA42" s="26" t="inlineStr">
        <is>
          <t>Matched</t>
        </is>
      </c>
      <c r="AB42" s="26" t="inlineStr">
        <is>
          <t>Passed</t>
        </is>
      </c>
      <c r="AC42" s="26" t="n"/>
      <c r="AD42" s="26" t="inlineStr">
        <is>
          <t>Diagnosis/LCD</t>
        </is>
      </c>
      <c r="AE42" s="26" t="inlineStr">
        <is>
          <t>E78.5</t>
        </is>
      </c>
      <c r="AF42" s="26" t="inlineStr">
        <is>
          <t>22</t>
        </is>
      </c>
      <c r="AG42" s="26" t="inlineStr">
        <is>
          <t>2026-09-20 16:30</t>
        </is>
      </c>
      <c r="AH42" s="26" t="inlineStr">
        <is>
          <t>Synthetic Care Gap charge; 10% below Athena allowed amount</t>
        </is>
      </c>
    </row>
    <row r="43">
      <c r="A43" s="26" t="inlineStr">
        <is>
          <t>OPD-CHG-0020-ATH</t>
        </is>
      </c>
      <c r="B43" s="26" t="inlineStr">
        <is>
          <t>OP-202600020-ATH</t>
        </is>
      </c>
      <c r="C43" s="26" t="inlineStr">
        <is>
          <t>CSN-OPD-780020-ATH</t>
        </is>
      </c>
      <c r="D43" s="26" t="inlineStr">
        <is>
          <t>Outpatient</t>
        </is>
      </c>
      <c r="E43" s="26" t="inlineStr">
        <is>
          <t>Demo Regional Medical Center</t>
        </is>
      </c>
      <c r="F43" s="26" t="inlineStr">
        <is>
          <t>Cardiology</t>
        </is>
      </c>
      <c r="G43" s="26" t="inlineStr">
        <is>
          <t>2026-09-21</t>
        </is>
      </c>
      <c r="H43" s="26" t="inlineStr">
        <is>
          <t>ECHO-COMP</t>
        </is>
      </c>
      <c r="I43" s="26" t="inlineStr">
        <is>
          <t>Complete Transthoracic Echocardiogram</t>
        </is>
      </c>
      <c r="J43" s="26" t="inlineStr">
        <is>
          <t>0483</t>
        </is>
      </c>
      <c r="K43" s="26" t="inlineStr">
        <is>
          <t>93306</t>
        </is>
      </c>
      <c r="L43" s="26" t="n"/>
      <c r="M43" s="26" t="n">
        <v>1</v>
      </c>
      <c r="N43" s="13" t="n">
        <v>1550</v>
      </c>
      <c r="O43" s="13">
        <f>M43*N43</f>
        <v/>
      </c>
      <c r="P43" s="13" t="n">
        <v>1086.01</v>
      </c>
      <c r="Q43" s="13">
        <f>P43*20%</f>
        <v/>
      </c>
      <c r="R43" s="13">
        <f>O43-P43</f>
        <v/>
      </c>
      <c r="S43" s="26" t="inlineStr">
        <is>
          <t>Athena Health Insurance</t>
        </is>
      </c>
      <c r="T43" s="26" t="inlineStr">
        <is>
          <t>Athena PPO</t>
        </is>
      </c>
      <c r="U43" s="26" t="inlineStr">
        <is>
          <t>AUTH-700020</t>
        </is>
      </c>
      <c r="V43" s="26" t="inlineStr">
        <is>
          <t>Eleanor Brooks, MD</t>
        </is>
      </c>
      <c r="W43" s="26" t="inlineStr">
        <is>
          <t>Assigned Department Provider</t>
        </is>
      </c>
      <c r="X43" s="26" t="inlineStr">
        <is>
          <t>Cardiology</t>
        </is>
      </c>
      <c r="Y43" s="26" t="inlineStr">
        <is>
          <t>Test completed</t>
        </is>
      </c>
      <c r="Z43" s="26" t="inlineStr">
        <is>
          <t>Posted</t>
        </is>
      </c>
      <c r="AA43" s="26" t="inlineStr">
        <is>
          <t>Matched</t>
        </is>
      </c>
      <c r="AB43" s="26" t="inlineStr">
        <is>
          <t>Passed</t>
        </is>
      </c>
      <c r="AC43" s="26" t="n"/>
      <c r="AD43" s="26" t="inlineStr">
        <is>
          <t>Prior authorization</t>
        </is>
      </c>
      <c r="AE43" s="26" t="inlineStr">
        <is>
          <t>R01.1</t>
        </is>
      </c>
      <c r="AF43" s="26" t="inlineStr">
        <is>
          <t>22</t>
        </is>
      </c>
      <c r="AG43" s="26" t="inlineStr">
        <is>
          <t>2026-09-21 16:30</t>
        </is>
      </c>
      <c r="AH43" s="26" t="inlineStr">
        <is>
          <t>Synthetic Athena negotiated charge</t>
        </is>
      </c>
    </row>
    <row r="44">
      <c r="A44" s="26" t="inlineStr">
        <is>
          <t>OPD-CHG-0020-CGH</t>
        </is>
      </c>
      <c r="B44" s="26" t="inlineStr">
        <is>
          <t>OP-202600020-CGH</t>
        </is>
      </c>
      <c r="C44" s="26" t="inlineStr">
        <is>
          <t>CSN-OPD-780020-CGH</t>
        </is>
      </c>
      <c r="D44" s="26" t="inlineStr">
        <is>
          <t>Outpatient</t>
        </is>
      </c>
      <c r="E44" s="26" t="inlineStr">
        <is>
          <t>Demo Regional Medical Center</t>
        </is>
      </c>
      <c r="F44" s="26" t="inlineStr">
        <is>
          <t>Cardiology</t>
        </is>
      </c>
      <c r="G44" s="26" t="inlineStr">
        <is>
          <t>2026-09-21</t>
        </is>
      </c>
      <c r="H44" s="26" t="inlineStr">
        <is>
          <t>ECHO-COMP</t>
        </is>
      </c>
      <c r="I44" s="26" t="inlineStr">
        <is>
          <t>Complete Transthoracic Echocardiogram</t>
        </is>
      </c>
      <c r="J44" s="26" t="inlineStr">
        <is>
          <t>0483</t>
        </is>
      </c>
      <c r="K44" s="26" t="inlineStr">
        <is>
          <t>93306</t>
        </is>
      </c>
      <c r="L44" s="26" t="n"/>
      <c r="M44" s="26" t="n">
        <v>1</v>
      </c>
      <c r="N44" s="13" t="n">
        <v>1550</v>
      </c>
      <c r="O44" s="13">
        <f>M44*N44</f>
        <v/>
      </c>
      <c r="P44" s="13" t="n">
        <v>977.41</v>
      </c>
      <c r="Q44" s="13">
        <f>P44*15%</f>
        <v/>
      </c>
      <c r="R44" s="13">
        <f>O44-P44</f>
        <v/>
      </c>
      <c r="S44" s="26" t="inlineStr">
        <is>
          <t>Care Gap Health</t>
        </is>
      </c>
      <c r="T44" s="26" t="inlineStr">
        <is>
          <t>Care Gap Value PPO</t>
        </is>
      </c>
      <c r="U44" s="26" t="inlineStr">
        <is>
          <t>AUTH-700020</t>
        </is>
      </c>
      <c r="V44" s="26" t="inlineStr">
        <is>
          <t>Eleanor Brooks, MD</t>
        </is>
      </c>
      <c r="W44" s="26" t="inlineStr">
        <is>
          <t>Assigned Department Provider</t>
        </is>
      </c>
      <c r="X44" s="26" t="inlineStr">
        <is>
          <t>Cardiology</t>
        </is>
      </c>
      <c r="Y44" s="26" t="inlineStr">
        <is>
          <t>Test completed</t>
        </is>
      </c>
      <c r="Z44" s="26" t="inlineStr">
        <is>
          <t>Posted</t>
        </is>
      </c>
      <c r="AA44" s="26" t="inlineStr">
        <is>
          <t>Matched</t>
        </is>
      </c>
      <c r="AB44" s="26" t="inlineStr">
        <is>
          <t>Passed</t>
        </is>
      </c>
      <c r="AC44" s="26" t="n"/>
      <c r="AD44" s="26" t="inlineStr">
        <is>
          <t>Prior authorization</t>
        </is>
      </c>
      <c r="AE44" s="26" t="inlineStr">
        <is>
          <t>R01.1</t>
        </is>
      </c>
      <c r="AF44" s="26" t="inlineStr">
        <is>
          <t>22</t>
        </is>
      </c>
      <c r="AG44" s="26" t="inlineStr">
        <is>
          <t>2026-09-21 16:30</t>
        </is>
      </c>
      <c r="AH44" s="26" t="inlineStr">
        <is>
          <t>Synthetic Care Gap charge; 10% below Athena allowed amount</t>
        </is>
      </c>
    </row>
    <row r="45">
      <c r="A45" s="26" t="inlineStr">
        <is>
          <t>OPD-CHG-0021-ATH</t>
        </is>
      </c>
      <c r="B45" s="26" t="inlineStr">
        <is>
          <t>OP-202600021-ATH</t>
        </is>
      </c>
      <c r="C45" s="26" t="inlineStr">
        <is>
          <t>CSN-OPD-780021-ATH</t>
        </is>
      </c>
      <c r="D45" s="26" t="inlineStr">
        <is>
          <t>Outpatient</t>
        </is>
      </c>
      <c r="E45" s="26" t="inlineStr">
        <is>
          <t>Demo Regional Medical Center</t>
        </is>
      </c>
      <c r="F45" s="26" t="inlineStr">
        <is>
          <t>Cardiology</t>
        </is>
      </c>
      <c r="G45" s="26" t="inlineStr">
        <is>
          <t>2026-09-22</t>
        </is>
      </c>
      <c r="H45" s="26" t="inlineStr">
        <is>
          <t>STRESS-TEST</t>
        </is>
      </c>
      <c r="I45" s="26" t="inlineStr">
        <is>
          <t>Cardiovascular Stress Test</t>
        </is>
      </c>
      <c r="J45" s="26" t="inlineStr">
        <is>
          <t>0482</t>
        </is>
      </c>
      <c r="K45" s="26" t="inlineStr">
        <is>
          <t>93017</t>
        </is>
      </c>
      <c r="L45" s="26" t="n"/>
      <c r="M45" s="26" t="n">
        <v>1</v>
      </c>
      <c r="N45" s="13" t="n">
        <v>1150</v>
      </c>
      <c r="O45" s="13">
        <f>M45*N45</f>
        <v/>
      </c>
      <c r="P45" s="13" t="n">
        <v>680.01</v>
      </c>
      <c r="Q45" s="13">
        <f>P45*20%</f>
        <v/>
      </c>
      <c r="R45" s="13">
        <f>O45-P45</f>
        <v/>
      </c>
      <c r="S45" s="26" t="inlineStr">
        <is>
          <t>Athena Health Insurance</t>
        </is>
      </c>
      <c r="T45" s="26" t="inlineStr">
        <is>
          <t>Athena PPO</t>
        </is>
      </c>
      <c r="U45" s="26" t="inlineStr">
        <is>
          <t>AUTH-700021</t>
        </is>
      </c>
      <c r="V45" s="26" t="inlineStr">
        <is>
          <t>Eleanor Brooks, MD</t>
        </is>
      </c>
      <c r="W45" s="26" t="inlineStr">
        <is>
          <t>Assigned Department Provider</t>
        </is>
      </c>
      <c r="X45" s="26" t="inlineStr">
        <is>
          <t>Cardiology</t>
        </is>
      </c>
      <c r="Y45" s="26" t="inlineStr">
        <is>
          <t>Test completed</t>
        </is>
      </c>
      <c r="Z45" s="26" t="inlineStr">
        <is>
          <t>Posted</t>
        </is>
      </c>
      <c r="AA45" s="26" t="inlineStr">
        <is>
          <t>Matched</t>
        </is>
      </c>
      <c r="AB45" s="26" t="inlineStr">
        <is>
          <t>Passed</t>
        </is>
      </c>
      <c r="AC45" s="26" t="n"/>
      <c r="AD45" s="26" t="inlineStr">
        <is>
          <t>Prior authorization</t>
        </is>
      </c>
      <c r="AE45" s="26" t="inlineStr">
        <is>
          <t>R07.9</t>
        </is>
      </c>
      <c r="AF45" s="26" t="inlineStr">
        <is>
          <t>22</t>
        </is>
      </c>
      <c r="AG45" s="26" t="inlineStr">
        <is>
          <t>2026-09-22 16:30</t>
        </is>
      </c>
      <c r="AH45" s="26" t="inlineStr">
        <is>
          <t>Synthetic Athena negotiated charge</t>
        </is>
      </c>
    </row>
    <row r="46">
      <c r="A46" s="26" t="inlineStr">
        <is>
          <t>OPD-CHG-0021-CGH</t>
        </is>
      </c>
      <c r="B46" s="26" t="inlineStr">
        <is>
          <t>OP-202600021-CGH</t>
        </is>
      </c>
      <c r="C46" s="26" t="inlineStr">
        <is>
          <t>CSN-OPD-780021-CGH</t>
        </is>
      </c>
      <c r="D46" s="26" t="inlineStr">
        <is>
          <t>Outpatient</t>
        </is>
      </c>
      <c r="E46" s="26" t="inlineStr">
        <is>
          <t>Demo Regional Medical Center</t>
        </is>
      </c>
      <c r="F46" s="26" t="inlineStr">
        <is>
          <t>Cardiology</t>
        </is>
      </c>
      <c r="G46" s="26" t="inlineStr">
        <is>
          <t>2026-09-22</t>
        </is>
      </c>
      <c r="H46" s="26" t="inlineStr">
        <is>
          <t>STRESS-TEST</t>
        </is>
      </c>
      <c r="I46" s="26" t="inlineStr">
        <is>
          <t>Cardiovascular Stress Test</t>
        </is>
      </c>
      <c r="J46" s="26" t="inlineStr">
        <is>
          <t>0482</t>
        </is>
      </c>
      <c r="K46" s="26" t="inlineStr">
        <is>
          <t>93017</t>
        </is>
      </c>
      <c r="L46" s="26" t="n"/>
      <c r="M46" s="26" t="n">
        <v>1</v>
      </c>
      <c r="N46" s="13" t="n">
        <v>1150</v>
      </c>
      <c r="O46" s="13">
        <f>M46*N46</f>
        <v/>
      </c>
      <c r="P46" s="13" t="n">
        <v>612.01</v>
      </c>
      <c r="Q46" s="13">
        <f>P46*15%</f>
        <v/>
      </c>
      <c r="R46" s="13">
        <f>O46-P46</f>
        <v/>
      </c>
      <c r="S46" s="26" t="inlineStr">
        <is>
          <t>Care Gap Health</t>
        </is>
      </c>
      <c r="T46" s="26" t="inlineStr">
        <is>
          <t>Care Gap Value PPO</t>
        </is>
      </c>
      <c r="U46" s="26" t="inlineStr">
        <is>
          <t>AUTH-700021</t>
        </is>
      </c>
      <c r="V46" s="26" t="inlineStr">
        <is>
          <t>Eleanor Brooks, MD</t>
        </is>
      </c>
      <c r="W46" s="26" t="inlineStr">
        <is>
          <t>Assigned Department Provider</t>
        </is>
      </c>
      <c r="X46" s="26" t="inlineStr">
        <is>
          <t>Cardiology</t>
        </is>
      </c>
      <c r="Y46" s="26" t="inlineStr">
        <is>
          <t>Test completed</t>
        </is>
      </c>
      <c r="Z46" s="26" t="inlineStr">
        <is>
          <t>Posted</t>
        </is>
      </c>
      <c r="AA46" s="26" t="inlineStr">
        <is>
          <t>Matched</t>
        </is>
      </c>
      <c r="AB46" s="26" t="inlineStr">
        <is>
          <t>Passed</t>
        </is>
      </c>
      <c r="AC46" s="26" t="n"/>
      <c r="AD46" s="26" t="inlineStr">
        <is>
          <t>Prior authorization</t>
        </is>
      </c>
      <c r="AE46" s="26" t="inlineStr">
        <is>
          <t>R07.9</t>
        </is>
      </c>
      <c r="AF46" s="26" t="inlineStr">
        <is>
          <t>22</t>
        </is>
      </c>
      <c r="AG46" s="26" t="inlineStr">
        <is>
          <t>2026-09-22 16:30</t>
        </is>
      </c>
      <c r="AH46" s="26" t="inlineStr">
        <is>
          <t>Synthetic Care Gap charge; 10% below Athena allowed amount</t>
        </is>
      </c>
    </row>
    <row r="47">
      <c r="A47" s="26" t="inlineStr">
        <is>
          <t>OPD-CHG-0022-ATH</t>
        </is>
      </c>
      <c r="B47" s="26" t="inlineStr">
        <is>
          <t>OP-202600022-ATH</t>
        </is>
      </c>
      <c r="C47" s="26" t="inlineStr">
        <is>
          <t>CSN-OPD-780022-ATH</t>
        </is>
      </c>
      <c r="D47" s="26" t="inlineStr">
        <is>
          <t>Outpatient</t>
        </is>
      </c>
      <c r="E47" s="26" t="inlineStr">
        <is>
          <t>Demo Regional Medical Center</t>
        </is>
      </c>
      <c r="F47" s="26" t="inlineStr">
        <is>
          <t>Endoscopy</t>
        </is>
      </c>
      <c r="G47" s="26" t="inlineStr">
        <is>
          <t>2026-09-23</t>
        </is>
      </c>
      <c r="H47" s="26" t="inlineStr">
        <is>
          <t>COLON-DX</t>
        </is>
      </c>
      <c r="I47" s="26" t="inlineStr">
        <is>
          <t>Diagnostic Colonoscopy</t>
        </is>
      </c>
      <c r="J47" s="26" t="inlineStr">
        <is>
          <t>0750</t>
        </is>
      </c>
      <c r="K47" s="26" t="inlineStr">
        <is>
          <t>45378</t>
        </is>
      </c>
      <c r="L47" s="26" t="n"/>
      <c r="M47" s="26" t="n">
        <v>1</v>
      </c>
      <c r="N47" s="13" t="n">
        <v>3900</v>
      </c>
      <c r="O47" s="13">
        <f>M47*N47</f>
        <v/>
      </c>
      <c r="P47" s="13" t="n">
        <v>2191.03</v>
      </c>
      <c r="Q47" s="13">
        <f>P47*20%</f>
        <v/>
      </c>
      <c r="R47" s="13">
        <f>O47-P47</f>
        <v/>
      </c>
      <c r="S47" s="26" t="inlineStr">
        <is>
          <t>Athena Health Insurance</t>
        </is>
      </c>
      <c r="T47" s="26" t="inlineStr">
        <is>
          <t>Athena PPO</t>
        </is>
      </c>
      <c r="U47" s="26" t="inlineStr">
        <is>
          <t>AUTH-700022</t>
        </is>
      </c>
      <c r="V47" s="26" t="inlineStr">
        <is>
          <t>Eleanor Brooks, MD</t>
        </is>
      </c>
      <c r="W47" s="26" t="inlineStr">
        <is>
          <t>Assigned Department Provider</t>
        </is>
      </c>
      <c r="X47" s="26" t="inlineStr">
        <is>
          <t>Endoscopy</t>
        </is>
      </c>
      <c r="Y47" s="26" t="inlineStr">
        <is>
          <t>Procedure completed</t>
        </is>
      </c>
      <c r="Z47" s="26" t="inlineStr">
        <is>
          <t>Posted</t>
        </is>
      </c>
      <c r="AA47" s="26" t="inlineStr">
        <is>
          <t>Matched</t>
        </is>
      </c>
      <c r="AB47" s="26" t="inlineStr">
        <is>
          <t>Passed</t>
        </is>
      </c>
      <c r="AC47" s="26" t="n"/>
      <c r="AD47" s="26" t="inlineStr">
        <is>
          <t>Prior authorization</t>
        </is>
      </c>
      <c r="AE47" s="26" t="inlineStr">
        <is>
          <t>Z12.11</t>
        </is>
      </c>
      <c r="AF47" s="26" t="inlineStr">
        <is>
          <t>22</t>
        </is>
      </c>
      <c r="AG47" s="26" t="inlineStr">
        <is>
          <t>2026-09-23 16:30</t>
        </is>
      </c>
      <c r="AH47" s="26" t="inlineStr">
        <is>
          <t>Synthetic Athena negotiated charge</t>
        </is>
      </c>
    </row>
    <row r="48">
      <c r="A48" s="26" t="inlineStr">
        <is>
          <t>OPD-CHG-0022-CGH</t>
        </is>
      </c>
      <c r="B48" s="26" t="inlineStr">
        <is>
          <t>OP-202600022-CGH</t>
        </is>
      </c>
      <c r="C48" s="26" t="inlineStr">
        <is>
          <t>CSN-OPD-780022-CGH</t>
        </is>
      </c>
      <c r="D48" s="26" t="inlineStr">
        <is>
          <t>Outpatient</t>
        </is>
      </c>
      <c r="E48" s="26" t="inlineStr">
        <is>
          <t>Demo Regional Medical Center</t>
        </is>
      </c>
      <c r="F48" s="26" t="inlineStr">
        <is>
          <t>Endoscopy</t>
        </is>
      </c>
      <c r="G48" s="26" t="inlineStr">
        <is>
          <t>2026-09-23</t>
        </is>
      </c>
      <c r="H48" s="26" t="inlineStr">
        <is>
          <t>COLON-DX</t>
        </is>
      </c>
      <c r="I48" s="26" t="inlineStr">
        <is>
          <t>Diagnostic Colonoscopy</t>
        </is>
      </c>
      <c r="J48" s="26" t="inlineStr">
        <is>
          <t>0750</t>
        </is>
      </c>
      <c r="K48" s="26" t="inlineStr">
        <is>
          <t>45378</t>
        </is>
      </c>
      <c r="L48" s="26" t="n"/>
      <c r="M48" s="26" t="n">
        <v>1</v>
      </c>
      <c r="N48" s="13" t="n">
        <v>3900</v>
      </c>
      <c r="O48" s="13">
        <f>M48*N48</f>
        <v/>
      </c>
      <c r="P48" s="13" t="n">
        <v>1971.93</v>
      </c>
      <c r="Q48" s="13">
        <f>P48*15%</f>
        <v/>
      </c>
      <c r="R48" s="13">
        <f>O48-P48</f>
        <v/>
      </c>
      <c r="S48" s="26" t="inlineStr">
        <is>
          <t>Care Gap Health</t>
        </is>
      </c>
      <c r="T48" s="26" t="inlineStr">
        <is>
          <t>Care Gap Value PPO</t>
        </is>
      </c>
      <c r="U48" s="26" t="inlineStr">
        <is>
          <t>AUTH-700022</t>
        </is>
      </c>
      <c r="V48" s="26" t="inlineStr">
        <is>
          <t>Eleanor Brooks, MD</t>
        </is>
      </c>
      <c r="W48" s="26" t="inlineStr">
        <is>
          <t>Assigned Department Provider</t>
        </is>
      </c>
      <c r="X48" s="26" t="inlineStr">
        <is>
          <t>Endoscopy</t>
        </is>
      </c>
      <c r="Y48" s="26" t="inlineStr">
        <is>
          <t>Procedure completed</t>
        </is>
      </c>
      <c r="Z48" s="26" t="inlineStr">
        <is>
          <t>Posted</t>
        </is>
      </c>
      <c r="AA48" s="26" t="inlineStr">
        <is>
          <t>Matched</t>
        </is>
      </c>
      <c r="AB48" s="26" t="inlineStr">
        <is>
          <t>Passed</t>
        </is>
      </c>
      <c r="AC48" s="26" t="n"/>
      <c r="AD48" s="26" t="inlineStr">
        <is>
          <t>Prior authorization</t>
        </is>
      </c>
      <c r="AE48" s="26" t="inlineStr">
        <is>
          <t>Z12.11</t>
        </is>
      </c>
      <c r="AF48" s="26" t="inlineStr">
        <is>
          <t>22</t>
        </is>
      </c>
      <c r="AG48" s="26" t="inlineStr">
        <is>
          <t>2026-09-23 16:30</t>
        </is>
      </c>
      <c r="AH48" s="26" t="inlineStr">
        <is>
          <t>Synthetic Care Gap charge; 10% below Athena allowed amount</t>
        </is>
      </c>
    </row>
    <row r="49">
      <c r="A49" s="26" t="inlineStr">
        <is>
          <t>OPD-CHG-0023-ATH</t>
        </is>
      </c>
      <c r="B49" s="26" t="inlineStr">
        <is>
          <t>OP-202600023-ATH</t>
        </is>
      </c>
      <c r="C49" s="26" t="inlineStr">
        <is>
          <t>CSN-OPD-780023-ATH</t>
        </is>
      </c>
      <c r="D49" s="26" t="inlineStr">
        <is>
          <t>Outpatient</t>
        </is>
      </c>
      <c r="E49" s="26" t="inlineStr">
        <is>
          <t>Demo Regional Medical Center</t>
        </is>
      </c>
      <c r="F49" s="26" t="inlineStr">
        <is>
          <t>Endoscopy</t>
        </is>
      </c>
      <c r="G49" s="26" t="inlineStr">
        <is>
          <t>2026-09-24</t>
        </is>
      </c>
      <c r="H49" s="26" t="inlineStr">
        <is>
          <t>EGD-DX</t>
        </is>
      </c>
      <c r="I49" s="26" t="inlineStr">
        <is>
          <t>Diagnostic Upper GI Endoscopy</t>
        </is>
      </c>
      <c r="J49" s="26" t="inlineStr">
        <is>
          <t>0750</t>
        </is>
      </c>
      <c r="K49" s="26" t="inlineStr">
        <is>
          <t>43235</t>
        </is>
      </c>
      <c r="L49" s="26" t="n"/>
      <c r="M49" s="26" t="n">
        <v>1</v>
      </c>
      <c r="N49" s="13" t="n">
        <v>3300</v>
      </c>
      <c r="O49" s="13">
        <f>M49*N49</f>
        <v/>
      </c>
      <c r="P49" s="13" t="n">
        <v>2162.77</v>
      </c>
      <c r="Q49" s="13">
        <f>P49*20%</f>
        <v/>
      </c>
      <c r="R49" s="13">
        <f>O49-P49</f>
        <v/>
      </c>
      <c r="S49" s="26" t="inlineStr">
        <is>
          <t>Athena Health Insurance</t>
        </is>
      </c>
      <c r="T49" s="26" t="inlineStr">
        <is>
          <t>Athena PPO</t>
        </is>
      </c>
      <c r="U49" s="26" t="inlineStr">
        <is>
          <t>AUTH-700023</t>
        </is>
      </c>
      <c r="V49" s="26" t="inlineStr">
        <is>
          <t>Eleanor Brooks, MD</t>
        </is>
      </c>
      <c r="W49" s="26" t="inlineStr">
        <is>
          <t>Assigned Department Provider</t>
        </is>
      </c>
      <c r="X49" s="26" t="inlineStr">
        <is>
          <t>Endoscopy</t>
        </is>
      </c>
      <c r="Y49" s="26" t="inlineStr">
        <is>
          <t>Procedure completed</t>
        </is>
      </c>
      <c r="Z49" s="26" t="inlineStr">
        <is>
          <t>Posted</t>
        </is>
      </c>
      <c r="AA49" s="26" t="inlineStr">
        <is>
          <t>Matched</t>
        </is>
      </c>
      <c r="AB49" s="26" t="inlineStr">
        <is>
          <t>Review</t>
        </is>
      </c>
      <c r="AC49" s="26" t="inlineStr">
        <is>
          <t>WQ-END-04</t>
        </is>
      </c>
      <c r="AD49" s="26" t="inlineStr">
        <is>
          <t>Prior authorization</t>
        </is>
      </c>
      <c r="AE49" s="26" t="inlineStr">
        <is>
          <t>K21.9</t>
        </is>
      </c>
      <c r="AF49" s="26" t="inlineStr">
        <is>
          <t>22</t>
        </is>
      </c>
      <c r="AG49" s="26" t="inlineStr">
        <is>
          <t>2026-09-24 16:30</t>
        </is>
      </c>
      <c r="AH49" s="26" t="inlineStr">
        <is>
          <t>Synthetic Athena negotiated charge</t>
        </is>
      </c>
    </row>
    <row r="50">
      <c r="A50" s="26" t="inlineStr">
        <is>
          <t>OPD-CHG-0023-CGH</t>
        </is>
      </c>
      <c r="B50" s="26" t="inlineStr">
        <is>
          <t>OP-202600023-CGH</t>
        </is>
      </c>
      <c r="C50" s="26" t="inlineStr">
        <is>
          <t>CSN-OPD-780023-CGH</t>
        </is>
      </c>
      <c r="D50" s="26" t="inlineStr">
        <is>
          <t>Outpatient</t>
        </is>
      </c>
      <c r="E50" s="26" t="inlineStr">
        <is>
          <t>Demo Regional Medical Center</t>
        </is>
      </c>
      <c r="F50" s="26" t="inlineStr">
        <is>
          <t>Endoscopy</t>
        </is>
      </c>
      <c r="G50" s="26" t="inlineStr">
        <is>
          <t>2026-09-24</t>
        </is>
      </c>
      <c r="H50" s="26" t="inlineStr">
        <is>
          <t>EGD-DX</t>
        </is>
      </c>
      <c r="I50" s="26" t="inlineStr">
        <is>
          <t>Diagnostic Upper GI Endoscopy</t>
        </is>
      </c>
      <c r="J50" s="26" t="inlineStr">
        <is>
          <t>0750</t>
        </is>
      </c>
      <c r="K50" s="26" t="inlineStr">
        <is>
          <t>43235</t>
        </is>
      </c>
      <c r="L50" s="26" t="n"/>
      <c r="M50" s="26" t="n">
        <v>1</v>
      </c>
      <c r="N50" s="13" t="n">
        <v>3300</v>
      </c>
      <c r="O50" s="13">
        <f>M50*N50</f>
        <v/>
      </c>
      <c r="P50" s="13" t="n">
        <v>1946.49</v>
      </c>
      <c r="Q50" s="13">
        <f>P50*15%</f>
        <v/>
      </c>
      <c r="R50" s="13">
        <f>O50-P50</f>
        <v/>
      </c>
      <c r="S50" s="26" t="inlineStr">
        <is>
          <t>Care Gap Health</t>
        </is>
      </c>
      <c r="T50" s="26" t="inlineStr">
        <is>
          <t>Care Gap Value PPO</t>
        </is>
      </c>
      <c r="U50" s="26" t="inlineStr">
        <is>
          <t>AUTH-700023</t>
        </is>
      </c>
      <c r="V50" s="26" t="inlineStr">
        <is>
          <t>Eleanor Brooks, MD</t>
        </is>
      </c>
      <c r="W50" s="26" t="inlineStr">
        <is>
          <t>Assigned Department Provider</t>
        </is>
      </c>
      <c r="X50" s="26" t="inlineStr">
        <is>
          <t>Endoscopy</t>
        </is>
      </c>
      <c r="Y50" s="26" t="inlineStr">
        <is>
          <t>Procedure completed</t>
        </is>
      </c>
      <c r="Z50" s="26" t="inlineStr">
        <is>
          <t>Posted</t>
        </is>
      </c>
      <c r="AA50" s="26" t="inlineStr">
        <is>
          <t>Matched</t>
        </is>
      </c>
      <c r="AB50" s="26" t="inlineStr">
        <is>
          <t>Review</t>
        </is>
      </c>
      <c r="AC50" s="26" t="inlineStr">
        <is>
          <t>WQ-END-04</t>
        </is>
      </c>
      <c r="AD50" s="26" t="inlineStr">
        <is>
          <t>Prior authorization</t>
        </is>
      </c>
      <c r="AE50" s="26" t="inlineStr">
        <is>
          <t>K21.9</t>
        </is>
      </c>
      <c r="AF50" s="26" t="inlineStr">
        <is>
          <t>22</t>
        </is>
      </c>
      <c r="AG50" s="26" t="inlineStr">
        <is>
          <t>2026-09-24 16:30</t>
        </is>
      </c>
      <c r="AH50" s="26" t="inlineStr">
        <is>
          <t>Synthetic Care Gap charge; 10% below Athena allowed amount</t>
        </is>
      </c>
    </row>
    <row r="51">
      <c r="A51" s="26" t="inlineStr">
        <is>
          <t>OPD-CHG-0024-ATH</t>
        </is>
      </c>
      <c r="B51" s="26" t="inlineStr">
        <is>
          <t>OP-202600024-ATH</t>
        </is>
      </c>
      <c r="C51" s="26" t="inlineStr">
        <is>
          <t>CSN-OPD-780024-ATH</t>
        </is>
      </c>
      <c r="D51" s="26" t="inlineStr">
        <is>
          <t>Outpatient</t>
        </is>
      </c>
      <c r="E51" s="26" t="inlineStr">
        <is>
          <t>Demo Regional Medical Center</t>
        </is>
      </c>
      <c r="F51" s="26" t="inlineStr">
        <is>
          <t>Physical Therapy</t>
        </is>
      </c>
      <c r="G51" s="26" t="inlineStr">
        <is>
          <t>2026-09-25</t>
        </is>
      </c>
      <c r="H51" s="26" t="inlineStr">
        <is>
          <t>PT-EVAL-OP</t>
        </is>
      </c>
      <c r="I51" s="26" t="inlineStr">
        <is>
          <t>Outpatient Physical Therapy Evaluation</t>
        </is>
      </c>
      <c r="J51" s="26" t="inlineStr">
        <is>
          <t>0420</t>
        </is>
      </c>
      <c r="K51" s="26" t="inlineStr">
        <is>
          <t>97162</t>
        </is>
      </c>
      <c r="L51" s="26" t="n"/>
      <c r="M51" s="26" t="n">
        <v>1</v>
      </c>
      <c r="N51" s="13" t="n">
        <v>860</v>
      </c>
      <c r="O51" s="13">
        <f>M51*N51</f>
        <v/>
      </c>
      <c r="P51" s="13" t="n">
        <v>569.53</v>
      </c>
      <c r="Q51" s="13">
        <f>P51*20%</f>
        <v/>
      </c>
      <c r="R51" s="13">
        <f>O51-P51</f>
        <v/>
      </c>
      <c r="S51" s="26" t="inlineStr">
        <is>
          <t>Athena Health Insurance</t>
        </is>
      </c>
      <c r="T51" s="26" t="inlineStr">
        <is>
          <t>Athena PPO</t>
        </is>
      </c>
      <c r="U51" s="26" t="inlineStr">
        <is>
          <t>AUTH-700024</t>
        </is>
      </c>
      <c r="V51" s="26" t="inlineStr">
        <is>
          <t>Eleanor Brooks, MD</t>
        </is>
      </c>
      <c r="W51" s="26" t="inlineStr">
        <is>
          <t>Assigned Department Provider</t>
        </is>
      </c>
      <c r="X51" s="26" t="inlineStr">
        <is>
          <t>Therapy</t>
        </is>
      </c>
      <c r="Y51" s="26" t="inlineStr">
        <is>
          <t>Note signed</t>
        </is>
      </c>
      <c r="Z51" s="26" t="inlineStr">
        <is>
          <t>Posted</t>
        </is>
      </c>
      <c r="AA51" s="26" t="inlineStr">
        <is>
          <t>Matched</t>
        </is>
      </c>
      <c r="AB51" s="26" t="inlineStr">
        <is>
          <t>Passed</t>
        </is>
      </c>
      <c r="AC51" s="26" t="n"/>
      <c r="AD51" s="26" t="inlineStr">
        <is>
          <t>Plan benefits</t>
        </is>
      </c>
      <c r="AE51" s="26" t="inlineStr">
        <is>
          <t>M54.50</t>
        </is>
      </c>
      <c r="AF51" s="26" t="inlineStr">
        <is>
          <t>22</t>
        </is>
      </c>
      <c r="AG51" s="26" t="inlineStr">
        <is>
          <t>2026-09-25 16:30</t>
        </is>
      </c>
      <c r="AH51" s="26" t="inlineStr">
        <is>
          <t>Synthetic Athena negotiated charge</t>
        </is>
      </c>
    </row>
    <row r="52">
      <c r="A52" s="26" t="inlineStr">
        <is>
          <t>OPD-CHG-0024-CGH</t>
        </is>
      </c>
      <c r="B52" s="26" t="inlineStr">
        <is>
          <t>OP-202600024-CGH</t>
        </is>
      </c>
      <c r="C52" s="26" t="inlineStr">
        <is>
          <t>CSN-OPD-780024-CGH</t>
        </is>
      </c>
      <c r="D52" s="26" t="inlineStr">
        <is>
          <t>Outpatient</t>
        </is>
      </c>
      <c r="E52" s="26" t="inlineStr">
        <is>
          <t>Demo Regional Medical Center</t>
        </is>
      </c>
      <c r="F52" s="26" t="inlineStr">
        <is>
          <t>Physical Therapy</t>
        </is>
      </c>
      <c r="G52" s="26" t="inlineStr">
        <is>
          <t>2026-09-25</t>
        </is>
      </c>
      <c r="H52" s="26" t="inlineStr">
        <is>
          <t>PT-EVAL-OP</t>
        </is>
      </c>
      <c r="I52" s="26" t="inlineStr">
        <is>
          <t>Outpatient Physical Therapy Evaluation</t>
        </is>
      </c>
      <c r="J52" s="26" t="inlineStr">
        <is>
          <t>0420</t>
        </is>
      </c>
      <c r="K52" s="26" t="inlineStr">
        <is>
          <t>97162</t>
        </is>
      </c>
      <c r="L52" s="26" t="n"/>
      <c r="M52" s="26" t="n">
        <v>1</v>
      </c>
      <c r="N52" s="13" t="n">
        <v>860</v>
      </c>
      <c r="O52" s="13">
        <f>M52*N52</f>
        <v/>
      </c>
      <c r="P52" s="13" t="n">
        <v>512.58</v>
      </c>
      <c r="Q52" s="13">
        <f>P52*15%</f>
        <v/>
      </c>
      <c r="R52" s="13">
        <f>O52-P52</f>
        <v/>
      </c>
      <c r="S52" s="26" t="inlineStr">
        <is>
          <t>Care Gap Health</t>
        </is>
      </c>
      <c r="T52" s="26" t="inlineStr">
        <is>
          <t>Care Gap Value PPO</t>
        </is>
      </c>
      <c r="U52" s="26" t="inlineStr">
        <is>
          <t>AUTH-700024</t>
        </is>
      </c>
      <c r="V52" s="26" t="inlineStr">
        <is>
          <t>Eleanor Brooks, MD</t>
        </is>
      </c>
      <c r="W52" s="26" t="inlineStr">
        <is>
          <t>Assigned Department Provider</t>
        </is>
      </c>
      <c r="X52" s="26" t="inlineStr">
        <is>
          <t>Therapy</t>
        </is>
      </c>
      <c r="Y52" s="26" t="inlineStr">
        <is>
          <t>Note signed</t>
        </is>
      </c>
      <c r="Z52" s="26" t="inlineStr">
        <is>
          <t>Posted</t>
        </is>
      </c>
      <c r="AA52" s="26" t="inlineStr">
        <is>
          <t>Matched</t>
        </is>
      </c>
      <c r="AB52" s="26" t="inlineStr">
        <is>
          <t>Passed</t>
        </is>
      </c>
      <c r="AC52" s="26" t="n"/>
      <c r="AD52" s="26" t="inlineStr">
        <is>
          <t>Plan benefits</t>
        </is>
      </c>
      <c r="AE52" s="26" t="inlineStr">
        <is>
          <t>M54.50</t>
        </is>
      </c>
      <c r="AF52" s="26" t="inlineStr">
        <is>
          <t>22</t>
        </is>
      </c>
      <c r="AG52" s="26" t="inlineStr">
        <is>
          <t>2026-09-25 16:30</t>
        </is>
      </c>
      <c r="AH52" s="26" t="inlineStr">
        <is>
          <t>Synthetic Care Gap charge; 10% below Athena allowed amount</t>
        </is>
      </c>
    </row>
    <row r="53">
      <c r="A53" s="26" t="inlineStr">
        <is>
          <t>OPD-CHG-0025-ATH</t>
        </is>
      </c>
      <c r="B53" s="26" t="inlineStr">
        <is>
          <t>OP-202600025-ATH</t>
        </is>
      </c>
      <c r="C53" s="26" t="inlineStr">
        <is>
          <t>CSN-OPD-780025-ATH</t>
        </is>
      </c>
      <c r="D53" s="26" t="inlineStr">
        <is>
          <t>Outpatient</t>
        </is>
      </c>
      <c r="E53" s="26" t="inlineStr">
        <is>
          <t>Demo Regional Medical Center</t>
        </is>
      </c>
      <c r="F53" s="26" t="inlineStr">
        <is>
          <t>Physical Therapy</t>
        </is>
      </c>
      <c r="G53" s="26" t="inlineStr">
        <is>
          <t>2026-09-01</t>
        </is>
      </c>
      <c r="H53" s="26" t="inlineStr">
        <is>
          <t>PT-THEREX-OP</t>
        </is>
      </c>
      <c r="I53" s="26" t="inlineStr">
        <is>
          <t>Therapeutic Exercise, 15 Minutes</t>
        </is>
      </c>
      <c r="J53" s="26" t="inlineStr">
        <is>
          <t>0420</t>
        </is>
      </c>
      <c r="K53" s="26" t="inlineStr">
        <is>
          <t>97110</t>
        </is>
      </c>
      <c r="L53" s="26" t="n"/>
      <c r="M53" s="26" t="n">
        <v>3</v>
      </c>
      <c r="N53" s="13" t="n">
        <v>305</v>
      </c>
      <c r="O53" s="13">
        <f>M53*N53</f>
        <v/>
      </c>
      <c r="P53" s="13" t="n">
        <v>410.19</v>
      </c>
      <c r="Q53" s="13">
        <f>P53*20%</f>
        <v/>
      </c>
      <c r="R53" s="13">
        <f>O53-P53</f>
        <v/>
      </c>
      <c r="S53" s="26" t="inlineStr">
        <is>
          <t>Athena Health Insurance</t>
        </is>
      </c>
      <c r="T53" s="26" t="inlineStr">
        <is>
          <t>Athena PPO</t>
        </is>
      </c>
      <c r="U53" s="26" t="n"/>
      <c r="V53" s="26" t="inlineStr">
        <is>
          <t>Eleanor Brooks, MD</t>
        </is>
      </c>
      <c r="W53" s="26" t="inlineStr">
        <is>
          <t>Assigned Department Provider</t>
        </is>
      </c>
      <c r="X53" s="26" t="inlineStr">
        <is>
          <t>Therapy</t>
        </is>
      </c>
      <c r="Y53" s="26" t="inlineStr">
        <is>
          <t>Note signed</t>
        </is>
      </c>
      <c r="Z53" s="26" t="inlineStr">
        <is>
          <t>Posted</t>
        </is>
      </c>
      <c r="AA53" s="26" t="inlineStr">
        <is>
          <t>Matched</t>
        </is>
      </c>
      <c r="AB53" s="26" t="inlineStr">
        <is>
          <t>Passed</t>
        </is>
      </c>
      <c r="AC53" s="26" t="n"/>
      <c r="AD53" s="26" t="inlineStr">
        <is>
          <t>Timed units</t>
        </is>
      </c>
      <c r="AE53" s="26" t="inlineStr">
        <is>
          <t>M54.50</t>
        </is>
      </c>
      <c r="AF53" s="26" t="inlineStr">
        <is>
          <t>22</t>
        </is>
      </c>
      <c r="AG53" s="26" t="inlineStr">
        <is>
          <t>2026-09-01 16:30</t>
        </is>
      </c>
      <c r="AH53" s="26" t="inlineStr">
        <is>
          <t>Synthetic Athena negotiated charge</t>
        </is>
      </c>
    </row>
    <row r="54">
      <c r="A54" s="26" t="inlineStr">
        <is>
          <t>OPD-CHG-0025-CGH</t>
        </is>
      </c>
      <c r="B54" s="26" t="inlineStr">
        <is>
          <t>OP-202600025-CGH</t>
        </is>
      </c>
      <c r="C54" s="26" t="inlineStr">
        <is>
          <t>CSN-OPD-780025-CGH</t>
        </is>
      </c>
      <c r="D54" s="26" t="inlineStr">
        <is>
          <t>Outpatient</t>
        </is>
      </c>
      <c r="E54" s="26" t="inlineStr">
        <is>
          <t>Demo Regional Medical Center</t>
        </is>
      </c>
      <c r="F54" s="26" t="inlineStr">
        <is>
          <t>Physical Therapy</t>
        </is>
      </c>
      <c r="G54" s="26" t="inlineStr">
        <is>
          <t>2026-09-01</t>
        </is>
      </c>
      <c r="H54" s="26" t="inlineStr">
        <is>
          <t>PT-THEREX-OP</t>
        </is>
      </c>
      <c r="I54" s="26" t="inlineStr">
        <is>
          <t>Therapeutic Exercise, 15 Minutes</t>
        </is>
      </c>
      <c r="J54" s="26" t="inlineStr">
        <is>
          <t>0420</t>
        </is>
      </c>
      <c r="K54" s="26" t="inlineStr">
        <is>
          <t>97110</t>
        </is>
      </c>
      <c r="L54" s="26" t="n"/>
      <c r="M54" s="26" t="n">
        <v>3</v>
      </c>
      <c r="N54" s="13" t="n">
        <v>305</v>
      </c>
      <c r="O54" s="13">
        <f>M54*N54</f>
        <v/>
      </c>
      <c r="P54" s="13" t="n">
        <v>369.17</v>
      </c>
      <c r="Q54" s="13">
        <f>P54*15%</f>
        <v/>
      </c>
      <c r="R54" s="13">
        <f>O54-P54</f>
        <v/>
      </c>
      <c r="S54" s="26" t="inlineStr">
        <is>
          <t>Care Gap Health</t>
        </is>
      </c>
      <c r="T54" s="26" t="inlineStr">
        <is>
          <t>Care Gap Value PPO</t>
        </is>
      </c>
      <c r="U54" s="26" t="n"/>
      <c r="V54" s="26" t="inlineStr">
        <is>
          <t>Eleanor Brooks, MD</t>
        </is>
      </c>
      <c r="W54" s="26" t="inlineStr">
        <is>
          <t>Assigned Department Provider</t>
        </is>
      </c>
      <c r="X54" s="26" t="inlineStr">
        <is>
          <t>Therapy</t>
        </is>
      </c>
      <c r="Y54" s="26" t="inlineStr">
        <is>
          <t>Note signed</t>
        </is>
      </c>
      <c r="Z54" s="26" t="inlineStr">
        <is>
          <t>Posted</t>
        </is>
      </c>
      <c r="AA54" s="26" t="inlineStr">
        <is>
          <t>Matched</t>
        </is>
      </c>
      <c r="AB54" s="26" t="inlineStr">
        <is>
          <t>Passed</t>
        </is>
      </c>
      <c r="AC54" s="26" t="n"/>
      <c r="AD54" s="26" t="inlineStr">
        <is>
          <t>Timed units</t>
        </is>
      </c>
      <c r="AE54" s="26" t="inlineStr">
        <is>
          <t>M54.50</t>
        </is>
      </c>
      <c r="AF54" s="26" t="inlineStr">
        <is>
          <t>22</t>
        </is>
      </c>
      <c r="AG54" s="26" t="inlineStr">
        <is>
          <t>2026-09-01 16:30</t>
        </is>
      </c>
      <c r="AH54" s="26" t="inlineStr">
        <is>
          <t>Synthetic Care Gap charge; 10% below Athena allowed amount</t>
        </is>
      </c>
    </row>
    <row r="55">
      <c r="A55" s="26" t="inlineStr">
        <is>
          <t>OPD-CHG-0026-ATH</t>
        </is>
      </c>
      <c r="B55" s="26" t="inlineStr">
        <is>
          <t>OP-202600026-ATH</t>
        </is>
      </c>
      <c r="C55" s="26" t="inlineStr">
        <is>
          <t>CSN-OPD-780026-ATH</t>
        </is>
      </c>
      <c r="D55" s="26" t="inlineStr">
        <is>
          <t>Outpatient</t>
        </is>
      </c>
      <c r="E55" s="26" t="inlineStr">
        <is>
          <t>Demo Regional Medical Center</t>
        </is>
      </c>
      <c r="F55" s="26" t="inlineStr">
        <is>
          <t>Infusion</t>
        </is>
      </c>
      <c r="G55" s="26" t="inlineStr">
        <is>
          <t>2026-09-02</t>
        </is>
      </c>
      <c r="H55" s="26" t="inlineStr">
        <is>
          <t>INFUSION-1H</t>
        </is>
      </c>
      <c r="I55" s="26" t="inlineStr">
        <is>
          <t>Therapeutic Infusion, Initial Hour</t>
        </is>
      </c>
      <c r="J55" s="26" t="inlineStr">
        <is>
          <t>0260</t>
        </is>
      </c>
      <c r="K55" s="26" t="inlineStr">
        <is>
          <t>96365</t>
        </is>
      </c>
      <c r="L55" s="26" t="n"/>
      <c r="M55" s="26" t="n">
        <v>1</v>
      </c>
      <c r="N55" s="13" t="n">
        <v>780</v>
      </c>
      <c r="O55" s="13">
        <f>M55*N55</f>
        <v/>
      </c>
      <c r="P55" s="13" t="n">
        <v>481.8</v>
      </c>
      <c r="Q55" s="13">
        <f>P55*20%</f>
        <v/>
      </c>
      <c r="R55" s="13">
        <f>O55-P55</f>
        <v/>
      </c>
      <c r="S55" s="26" t="inlineStr">
        <is>
          <t>Athena Health Insurance</t>
        </is>
      </c>
      <c r="T55" s="26" t="inlineStr">
        <is>
          <t>Athena PPO</t>
        </is>
      </c>
      <c r="U55" s="26" t="inlineStr">
        <is>
          <t>AUTH-700026</t>
        </is>
      </c>
      <c r="V55" s="26" t="inlineStr">
        <is>
          <t>Eleanor Brooks, MD</t>
        </is>
      </c>
      <c r="W55" s="26" t="inlineStr">
        <is>
          <t>Assigned Department Provider</t>
        </is>
      </c>
      <c r="X55" s="26" t="inlineStr">
        <is>
          <t>Infusion</t>
        </is>
      </c>
      <c r="Y55" s="26" t="inlineStr">
        <is>
          <t>Administration completed</t>
        </is>
      </c>
      <c r="Z55" s="26" t="inlineStr">
        <is>
          <t>Posted</t>
        </is>
      </c>
      <c r="AA55" s="26" t="inlineStr">
        <is>
          <t>Matched</t>
        </is>
      </c>
      <c r="AB55" s="26" t="inlineStr">
        <is>
          <t>Passed</t>
        </is>
      </c>
      <c r="AC55" s="26" t="n"/>
      <c r="AD55" s="26" t="inlineStr">
        <is>
          <t>Drug policy</t>
        </is>
      </c>
      <c r="AE55" s="26" t="inlineStr">
        <is>
          <t>Z51.11</t>
        </is>
      </c>
      <c r="AF55" s="26" t="inlineStr">
        <is>
          <t>22</t>
        </is>
      </c>
      <c r="AG55" s="26" t="inlineStr">
        <is>
          <t>2026-09-02 16:30</t>
        </is>
      </c>
      <c r="AH55" s="26" t="inlineStr">
        <is>
          <t>Synthetic Athena negotiated charge</t>
        </is>
      </c>
    </row>
    <row r="56">
      <c r="A56" s="26" t="inlineStr">
        <is>
          <t>OPD-CHG-0026-CGH</t>
        </is>
      </c>
      <c r="B56" s="26" t="inlineStr">
        <is>
          <t>OP-202600026-CGH</t>
        </is>
      </c>
      <c r="C56" s="26" t="inlineStr">
        <is>
          <t>CSN-OPD-780026-CGH</t>
        </is>
      </c>
      <c r="D56" s="26" t="inlineStr">
        <is>
          <t>Outpatient</t>
        </is>
      </c>
      <c r="E56" s="26" t="inlineStr">
        <is>
          <t>Demo Regional Medical Center</t>
        </is>
      </c>
      <c r="F56" s="26" t="inlineStr">
        <is>
          <t>Infusion</t>
        </is>
      </c>
      <c r="G56" s="26" t="inlineStr">
        <is>
          <t>2026-09-02</t>
        </is>
      </c>
      <c r="H56" s="26" t="inlineStr">
        <is>
          <t>INFUSION-1H</t>
        </is>
      </c>
      <c r="I56" s="26" t="inlineStr">
        <is>
          <t>Therapeutic Infusion, Initial Hour</t>
        </is>
      </c>
      <c r="J56" s="26" t="inlineStr">
        <is>
          <t>0260</t>
        </is>
      </c>
      <c r="K56" s="26" t="inlineStr">
        <is>
          <t>96365</t>
        </is>
      </c>
      <c r="L56" s="26" t="n"/>
      <c r="M56" s="26" t="n">
        <v>1</v>
      </c>
      <c r="N56" s="13" t="n">
        <v>780</v>
      </c>
      <c r="O56" s="13">
        <f>M56*N56</f>
        <v/>
      </c>
      <c r="P56" s="13" t="n">
        <v>433.62</v>
      </c>
      <c r="Q56" s="13">
        <f>P56*15%</f>
        <v/>
      </c>
      <c r="R56" s="13">
        <f>O56-P56</f>
        <v/>
      </c>
      <c r="S56" s="26" t="inlineStr">
        <is>
          <t>Care Gap Health</t>
        </is>
      </c>
      <c r="T56" s="26" t="inlineStr">
        <is>
          <t>Care Gap Value PPO</t>
        </is>
      </c>
      <c r="U56" s="26" t="inlineStr">
        <is>
          <t>AUTH-700026</t>
        </is>
      </c>
      <c r="V56" s="26" t="inlineStr">
        <is>
          <t>Eleanor Brooks, MD</t>
        </is>
      </c>
      <c r="W56" s="26" t="inlineStr">
        <is>
          <t>Assigned Department Provider</t>
        </is>
      </c>
      <c r="X56" s="26" t="inlineStr">
        <is>
          <t>Infusion</t>
        </is>
      </c>
      <c r="Y56" s="26" t="inlineStr">
        <is>
          <t>Administration completed</t>
        </is>
      </c>
      <c r="Z56" s="26" t="inlineStr">
        <is>
          <t>Posted</t>
        </is>
      </c>
      <c r="AA56" s="26" t="inlineStr">
        <is>
          <t>Matched</t>
        </is>
      </c>
      <c r="AB56" s="26" t="inlineStr">
        <is>
          <t>Passed</t>
        </is>
      </c>
      <c r="AC56" s="26" t="n"/>
      <c r="AD56" s="26" t="inlineStr">
        <is>
          <t>Drug policy</t>
        </is>
      </c>
      <c r="AE56" s="26" t="inlineStr">
        <is>
          <t>Z51.11</t>
        </is>
      </c>
      <c r="AF56" s="26" t="inlineStr">
        <is>
          <t>22</t>
        </is>
      </c>
      <c r="AG56" s="26" t="inlineStr">
        <is>
          <t>2026-09-02 16:30</t>
        </is>
      </c>
      <c r="AH56" s="26" t="inlineStr">
        <is>
          <t>Synthetic Care Gap charge; 10% below Athena allowed amount</t>
        </is>
      </c>
    </row>
    <row r="57">
      <c r="A57" s="26" t="inlineStr">
        <is>
          <t>OPD-CHG-0027-ATH</t>
        </is>
      </c>
      <c r="B57" s="26" t="inlineStr">
        <is>
          <t>OP-202600027-ATH</t>
        </is>
      </c>
      <c r="C57" s="26" t="inlineStr">
        <is>
          <t>CSN-OPD-780027-ATH</t>
        </is>
      </c>
      <c r="D57" s="26" t="inlineStr">
        <is>
          <t>Outpatient</t>
        </is>
      </c>
      <c r="E57" s="26" t="inlineStr">
        <is>
          <t>Demo Regional Medical Center</t>
        </is>
      </c>
      <c r="F57" s="26" t="inlineStr">
        <is>
          <t>Chemotherapy</t>
        </is>
      </c>
      <c r="G57" s="26" t="inlineStr">
        <is>
          <t>2026-09-03</t>
        </is>
      </c>
      <c r="H57" s="26" t="inlineStr">
        <is>
          <t>CHEMO-1H</t>
        </is>
      </c>
      <c r="I57" s="26" t="inlineStr">
        <is>
          <t>Chemotherapy Infusion, Initial Hour</t>
        </is>
      </c>
      <c r="J57" s="26" t="inlineStr">
        <is>
          <t>0335</t>
        </is>
      </c>
      <c r="K57" s="26" t="inlineStr">
        <is>
          <t>96413</t>
        </is>
      </c>
      <c r="L57" s="26" t="n"/>
      <c r="M57" s="26" t="n">
        <v>1</v>
      </c>
      <c r="N57" s="13" t="n">
        <v>1850</v>
      </c>
      <c r="O57" s="13">
        <f>M57*N57</f>
        <v/>
      </c>
      <c r="P57" s="13" t="n">
        <v>973.64</v>
      </c>
      <c r="Q57" s="13">
        <f>P57*20%</f>
        <v/>
      </c>
      <c r="R57" s="13">
        <f>O57-P57</f>
        <v/>
      </c>
      <c r="S57" s="26" t="inlineStr">
        <is>
          <t>Athena Health Insurance</t>
        </is>
      </c>
      <c r="T57" s="26" t="inlineStr">
        <is>
          <t>Athena PPO</t>
        </is>
      </c>
      <c r="U57" s="26" t="inlineStr">
        <is>
          <t>AUTH-700027</t>
        </is>
      </c>
      <c r="V57" s="26" t="inlineStr">
        <is>
          <t>Eleanor Brooks, MD</t>
        </is>
      </c>
      <c r="W57" s="26" t="inlineStr">
        <is>
          <t>Assigned Department Provider</t>
        </is>
      </c>
      <c r="X57" s="26" t="inlineStr">
        <is>
          <t>Infusion</t>
        </is>
      </c>
      <c r="Y57" s="26" t="inlineStr">
        <is>
          <t>Administration completed</t>
        </is>
      </c>
      <c r="Z57" s="26" t="inlineStr">
        <is>
          <t>Posted</t>
        </is>
      </c>
      <c r="AA57" s="26" t="inlineStr">
        <is>
          <t>Matched</t>
        </is>
      </c>
      <c r="AB57" s="26" t="inlineStr">
        <is>
          <t>Passed</t>
        </is>
      </c>
      <c r="AC57" s="26" t="n"/>
      <c r="AD57" s="26" t="inlineStr">
        <is>
          <t>Drug policy</t>
        </is>
      </c>
      <c r="AE57" s="26" t="inlineStr">
        <is>
          <t>C50.919</t>
        </is>
      </c>
      <c r="AF57" s="26" t="inlineStr">
        <is>
          <t>22</t>
        </is>
      </c>
      <c r="AG57" s="26" t="inlineStr">
        <is>
          <t>2026-09-03 16:30</t>
        </is>
      </c>
      <c r="AH57" s="26" t="inlineStr">
        <is>
          <t>Synthetic Athena negotiated charge</t>
        </is>
      </c>
    </row>
    <row r="58">
      <c r="A58" s="26" t="inlineStr">
        <is>
          <t>OPD-CHG-0027-CGH</t>
        </is>
      </c>
      <c r="B58" s="26" t="inlineStr">
        <is>
          <t>OP-202600027-CGH</t>
        </is>
      </c>
      <c r="C58" s="26" t="inlineStr">
        <is>
          <t>CSN-OPD-780027-CGH</t>
        </is>
      </c>
      <c r="D58" s="26" t="inlineStr">
        <is>
          <t>Outpatient</t>
        </is>
      </c>
      <c r="E58" s="26" t="inlineStr">
        <is>
          <t>Demo Regional Medical Center</t>
        </is>
      </c>
      <c r="F58" s="26" t="inlineStr">
        <is>
          <t>Chemotherapy</t>
        </is>
      </c>
      <c r="G58" s="26" t="inlineStr">
        <is>
          <t>2026-09-03</t>
        </is>
      </c>
      <c r="H58" s="26" t="inlineStr">
        <is>
          <t>CHEMO-1H</t>
        </is>
      </c>
      <c r="I58" s="26" t="inlineStr">
        <is>
          <t>Chemotherapy Infusion, Initial Hour</t>
        </is>
      </c>
      <c r="J58" s="26" t="inlineStr">
        <is>
          <t>0335</t>
        </is>
      </c>
      <c r="K58" s="26" t="inlineStr">
        <is>
          <t>96413</t>
        </is>
      </c>
      <c r="L58" s="26" t="n"/>
      <c r="M58" s="26" t="n">
        <v>1</v>
      </c>
      <c r="N58" s="13" t="n">
        <v>1850</v>
      </c>
      <c r="O58" s="13">
        <f>M58*N58</f>
        <v/>
      </c>
      <c r="P58" s="13" t="n">
        <v>876.28</v>
      </c>
      <c r="Q58" s="13">
        <f>P58*15%</f>
        <v/>
      </c>
      <c r="R58" s="13">
        <f>O58-P58</f>
        <v/>
      </c>
      <c r="S58" s="26" t="inlineStr">
        <is>
          <t>Care Gap Health</t>
        </is>
      </c>
      <c r="T58" s="26" t="inlineStr">
        <is>
          <t>Care Gap Value PPO</t>
        </is>
      </c>
      <c r="U58" s="26" t="inlineStr">
        <is>
          <t>AUTH-700027</t>
        </is>
      </c>
      <c r="V58" s="26" t="inlineStr">
        <is>
          <t>Eleanor Brooks, MD</t>
        </is>
      </c>
      <c r="W58" s="26" t="inlineStr">
        <is>
          <t>Assigned Department Provider</t>
        </is>
      </c>
      <c r="X58" s="26" t="inlineStr">
        <is>
          <t>Infusion</t>
        </is>
      </c>
      <c r="Y58" s="26" t="inlineStr">
        <is>
          <t>Administration completed</t>
        </is>
      </c>
      <c r="Z58" s="26" t="inlineStr">
        <is>
          <t>Posted</t>
        </is>
      </c>
      <c r="AA58" s="26" t="inlineStr">
        <is>
          <t>Matched</t>
        </is>
      </c>
      <c r="AB58" s="26" t="inlineStr">
        <is>
          <t>Passed</t>
        </is>
      </c>
      <c r="AC58" s="26" t="n"/>
      <c r="AD58" s="26" t="inlineStr">
        <is>
          <t>Drug policy</t>
        </is>
      </c>
      <c r="AE58" s="26" t="inlineStr">
        <is>
          <t>C50.919</t>
        </is>
      </c>
      <c r="AF58" s="26" t="inlineStr">
        <is>
          <t>22</t>
        </is>
      </c>
      <c r="AG58" s="26" t="inlineStr">
        <is>
          <t>2026-09-03 16:30</t>
        </is>
      </c>
      <c r="AH58" s="26" t="inlineStr">
        <is>
          <t>Synthetic Care Gap charge; 10% below Athena allowed amount</t>
        </is>
      </c>
    </row>
    <row r="59">
      <c r="A59" s="26" t="inlineStr">
        <is>
          <t>OPD-CHG-0028-ATH</t>
        </is>
      </c>
      <c r="B59" s="26" t="inlineStr">
        <is>
          <t>OP-202600028-ATH</t>
        </is>
      </c>
      <c r="C59" s="26" t="inlineStr">
        <is>
          <t>CSN-OPD-780028-ATH</t>
        </is>
      </c>
      <c r="D59" s="26" t="inlineStr">
        <is>
          <t>Outpatient</t>
        </is>
      </c>
      <c r="E59" s="26" t="inlineStr">
        <is>
          <t>Demo Regional Medical Center</t>
        </is>
      </c>
      <c r="F59" s="26" t="inlineStr">
        <is>
          <t>Behavioral Health</t>
        </is>
      </c>
      <c r="G59" s="26" t="inlineStr">
        <is>
          <t>2026-09-04</t>
        </is>
      </c>
      <c r="H59" s="26" t="inlineStr">
        <is>
          <t>BH-INDIVIDUAL</t>
        </is>
      </c>
      <c r="I59" s="26" t="inlineStr">
        <is>
          <t>Outpatient Psychotherapy, 45 Minutes</t>
        </is>
      </c>
      <c r="J59" s="26" t="inlineStr">
        <is>
          <t>0914</t>
        </is>
      </c>
      <c r="K59" s="26" t="inlineStr">
        <is>
          <t>90834</t>
        </is>
      </c>
      <c r="L59" s="26" t="n"/>
      <c r="M59" s="26" t="n">
        <v>1</v>
      </c>
      <c r="N59" s="13" t="n">
        <v>285</v>
      </c>
      <c r="O59" s="13">
        <f>M59*N59</f>
        <v/>
      </c>
      <c r="P59" s="13" t="n">
        <v>154.85</v>
      </c>
      <c r="Q59" s="13">
        <f>P59*20%</f>
        <v/>
      </c>
      <c r="R59" s="13">
        <f>O59-P59</f>
        <v/>
      </c>
      <c r="S59" s="26" t="inlineStr">
        <is>
          <t>Athena Health Insurance</t>
        </is>
      </c>
      <c r="T59" s="26" t="inlineStr">
        <is>
          <t>Athena PPO</t>
        </is>
      </c>
      <c r="U59" s="26" t="n"/>
      <c r="V59" s="26" t="inlineStr">
        <is>
          <t>Eleanor Brooks, MD</t>
        </is>
      </c>
      <c r="W59" s="26" t="inlineStr">
        <is>
          <t>Assigned Department Provider</t>
        </is>
      </c>
      <c r="X59" s="26" t="inlineStr">
        <is>
          <t>Behavioral Health</t>
        </is>
      </c>
      <c r="Y59" s="26" t="inlineStr">
        <is>
          <t>Note signed</t>
        </is>
      </c>
      <c r="Z59" s="26" t="inlineStr">
        <is>
          <t>Posted</t>
        </is>
      </c>
      <c r="AA59" s="26" t="inlineStr">
        <is>
          <t>Matched</t>
        </is>
      </c>
      <c r="AB59" s="26" t="inlineStr">
        <is>
          <t>Passed</t>
        </is>
      </c>
      <c r="AC59" s="26" t="n"/>
      <c r="AD59" s="26" t="inlineStr">
        <is>
          <t>Benefits</t>
        </is>
      </c>
      <c r="AE59" s="26" t="inlineStr">
        <is>
          <t>F41.1</t>
        </is>
      </c>
      <c r="AF59" s="26" t="inlineStr">
        <is>
          <t>22</t>
        </is>
      </c>
      <c r="AG59" s="26" t="inlineStr">
        <is>
          <t>2026-09-04 16:30</t>
        </is>
      </c>
      <c r="AH59" s="26" t="inlineStr">
        <is>
          <t>Synthetic Athena negotiated charge</t>
        </is>
      </c>
    </row>
    <row r="60">
      <c r="A60" s="26" t="inlineStr">
        <is>
          <t>OPD-CHG-0028-CGH</t>
        </is>
      </c>
      <c r="B60" s="26" t="inlineStr">
        <is>
          <t>OP-202600028-CGH</t>
        </is>
      </c>
      <c r="C60" s="26" t="inlineStr">
        <is>
          <t>CSN-OPD-780028-CGH</t>
        </is>
      </c>
      <c r="D60" s="26" t="inlineStr">
        <is>
          <t>Outpatient</t>
        </is>
      </c>
      <c r="E60" s="26" t="inlineStr">
        <is>
          <t>Demo Regional Medical Center</t>
        </is>
      </c>
      <c r="F60" s="26" t="inlineStr">
        <is>
          <t>Behavioral Health</t>
        </is>
      </c>
      <c r="G60" s="26" t="inlineStr">
        <is>
          <t>2026-09-04</t>
        </is>
      </c>
      <c r="H60" s="26" t="inlineStr">
        <is>
          <t>BH-INDIVIDUAL</t>
        </is>
      </c>
      <c r="I60" s="26" t="inlineStr">
        <is>
          <t>Outpatient Psychotherapy, 45 Minutes</t>
        </is>
      </c>
      <c r="J60" s="26" t="inlineStr">
        <is>
          <t>0914</t>
        </is>
      </c>
      <c r="K60" s="26" t="inlineStr">
        <is>
          <t>90834</t>
        </is>
      </c>
      <c r="L60" s="26" t="n"/>
      <c r="M60" s="26" t="n">
        <v>1</v>
      </c>
      <c r="N60" s="13" t="n">
        <v>285</v>
      </c>
      <c r="O60" s="13">
        <f>M60*N60</f>
        <v/>
      </c>
      <c r="P60" s="13" t="n">
        <v>139.37</v>
      </c>
      <c r="Q60" s="13">
        <f>P60*15%</f>
        <v/>
      </c>
      <c r="R60" s="13">
        <f>O60-P60</f>
        <v/>
      </c>
      <c r="S60" s="26" t="inlineStr">
        <is>
          <t>Care Gap Health</t>
        </is>
      </c>
      <c r="T60" s="26" t="inlineStr">
        <is>
          <t>Care Gap Value PPO</t>
        </is>
      </c>
      <c r="U60" s="26" t="n"/>
      <c r="V60" s="26" t="inlineStr">
        <is>
          <t>Eleanor Brooks, MD</t>
        </is>
      </c>
      <c r="W60" s="26" t="inlineStr">
        <is>
          <t>Assigned Department Provider</t>
        </is>
      </c>
      <c r="X60" s="26" t="inlineStr">
        <is>
          <t>Behavioral Health</t>
        </is>
      </c>
      <c r="Y60" s="26" t="inlineStr">
        <is>
          <t>Note signed</t>
        </is>
      </c>
      <c r="Z60" s="26" t="inlineStr">
        <is>
          <t>Posted</t>
        </is>
      </c>
      <c r="AA60" s="26" t="inlineStr">
        <is>
          <t>Matched</t>
        </is>
      </c>
      <c r="AB60" s="26" t="inlineStr">
        <is>
          <t>Passed</t>
        </is>
      </c>
      <c r="AC60" s="26" t="n"/>
      <c r="AD60" s="26" t="inlineStr">
        <is>
          <t>Benefits</t>
        </is>
      </c>
      <c r="AE60" s="26" t="inlineStr">
        <is>
          <t>F41.1</t>
        </is>
      </c>
      <c r="AF60" s="26" t="inlineStr">
        <is>
          <t>22</t>
        </is>
      </c>
      <c r="AG60" s="26" t="inlineStr">
        <is>
          <t>2026-09-04 16:30</t>
        </is>
      </c>
      <c r="AH60" s="26" t="inlineStr">
        <is>
          <t>Synthetic Care Gap charge; 10% below Athena allowed amount</t>
        </is>
      </c>
    </row>
    <row r="61">
      <c r="A61" s="26" t="inlineStr">
        <is>
          <t>OPD-CHG-0029-ATH</t>
        </is>
      </c>
      <c r="B61" s="26" t="inlineStr">
        <is>
          <t>OP-202600029-ATH</t>
        </is>
      </c>
      <c r="C61" s="26" t="inlineStr">
        <is>
          <t>CSN-OPD-780029-ATH</t>
        </is>
      </c>
      <c r="D61" s="26" t="inlineStr">
        <is>
          <t>Outpatient</t>
        </is>
      </c>
      <c r="E61" s="26" t="inlineStr">
        <is>
          <t>Demo Regional Medical Center</t>
        </is>
      </c>
      <c r="F61" s="26" t="inlineStr">
        <is>
          <t>Emergency Department</t>
        </is>
      </c>
      <c r="G61" s="26" t="inlineStr">
        <is>
          <t>2026-09-05</t>
        </is>
      </c>
      <c r="H61" s="26" t="inlineStr">
        <is>
          <t>ED-LEVEL-1</t>
        </is>
      </c>
      <c r="I61" s="26" t="inlineStr">
        <is>
          <t>Emergency Department Visit Level 1</t>
        </is>
      </c>
      <c r="J61" s="26" t="inlineStr">
        <is>
          <t>0450</t>
        </is>
      </c>
      <c r="K61" s="26" t="inlineStr">
        <is>
          <t>99281</t>
        </is>
      </c>
      <c r="L61" s="26" t="n"/>
      <c r="M61" s="26" t="n">
        <v>1</v>
      </c>
      <c r="N61" s="13" t="n">
        <v>360</v>
      </c>
      <c r="O61" s="13">
        <f>M61*N61</f>
        <v/>
      </c>
      <c r="P61" s="13" t="n">
        <v>244.49</v>
      </c>
      <c r="Q61" s="13">
        <f>P61*20%</f>
        <v/>
      </c>
      <c r="R61" s="13">
        <f>O61-P61</f>
        <v/>
      </c>
      <c r="S61" s="26" t="inlineStr">
        <is>
          <t>Athena Health Insurance</t>
        </is>
      </c>
      <c r="T61" s="26" t="inlineStr">
        <is>
          <t>Athena PPO</t>
        </is>
      </c>
      <c r="U61" s="26" t="n"/>
      <c r="V61" s="26" t="inlineStr">
        <is>
          <t>Eleanor Brooks, MD</t>
        </is>
      </c>
      <c r="W61" s="26" t="inlineStr">
        <is>
          <t>Assigned Department Provider</t>
        </is>
      </c>
      <c r="X61" s="26" t="inlineStr">
        <is>
          <t>ED</t>
        </is>
      </c>
      <c r="Y61" s="26" t="inlineStr">
        <is>
          <t>Encounter close</t>
        </is>
      </c>
      <c r="Z61" s="26" t="inlineStr">
        <is>
          <t>Hold</t>
        </is>
      </c>
      <c r="AA61" s="26" t="inlineStr">
        <is>
          <t>Exception</t>
        </is>
      </c>
      <c r="AB61" s="26" t="inlineStr">
        <is>
          <t>Review</t>
        </is>
      </c>
      <c r="AC61" s="26" t="inlineStr">
        <is>
          <t>WQ-EME-02</t>
        </is>
      </c>
      <c r="AD61" s="26" t="inlineStr">
        <is>
          <t>Documentation</t>
        </is>
      </c>
      <c r="AE61" s="26" t="inlineStr">
        <is>
          <t>R50.9</t>
        </is>
      </c>
      <c r="AF61" s="26" t="inlineStr">
        <is>
          <t>22</t>
        </is>
      </c>
      <c r="AG61" s="26" t="inlineStr">
        <is>
          <t>2026-09-05 16:30</t>
        </is>
      </c>
      <c r="AH61" s="26" t="inlineStr">
        <is>
          <t>Synthetic Athena negotiated charge</t>
        </is>
      </c>
    </row>
    <row r="62">
      <c r="A62" s="26" t="inlineStr">
        <is>
          <t>OPD-CHG-0029-CGH</t>
        </is>
      </c>
      <c r="B62" s="26" t="inlineStr">
        <is>
          <t>OP-202600029-CGH</t>
        </is>
      </c>
      <c r="C62" s="26" t="inlineStr">
        <is>
          <t>CSN-OPD-780029-CGH</t>
        </is>
      </c>
      <c r="D62" s="26" t="inlineStr">
        <is>
          <t>Outpatient</t>
        </is>
      </c>
      <c r="E62" s="26" t="inlineStr">
        <is>
          <t>Demo Regional Medical Center</t>
        </is>
      </c>
      <c r="F62" s="26" t="inlineStr">
        <is>
          <t>Emergency Department</t>
        </is>
      </c>
      <c r="G62" s="26" t="inlineStr">
        <is>
          <t>2026-09-05</t>
        </is>
      </c>
      <c r="H62" s="26" t="inlineStr">
        <is>
          <t>ED-LEVEL-1</t>
        </is>
      </c>
      <c r="I62" s="26" t="inlineStr">
        <is>
          <t>Emergency Department Visit Level 1</t>
        </is>
      </c>
      <c r="J62" s="26" t="inlineStr">
        <is>
          <t>0450</t>
        </is>
      </c>
      <c r="K62" s="26" t="inlineStr">
        <is>
          <t>99281</t>
        </is>
      </c>
      <c r="L62" s="26" t="n"/>
      <c r="M62" s="26" t="n">
        <v>1</v>
      </c>
      <c r="N62" s="13" t="n">
        <v>360</v>
      </c>
      <c r="O62" s="13">
        <f>M62*N62</f>
        <v/>
      </c>
      <c r="P62" s="13" t="n">
        <v>220.04</v>
      </c>
      <c r="Q62" s="13">
        <f>P62*15%</f>
        <v/>
      </c>
      <c r="R62" s="13">
        <f>O62-P62</f>
        <v/>
      </c>
      <c r="S62" s="26" t="inlineStr">
        <is>
          <t>Care Gap Health</t>
        </is>
      </c>
      <c r="T62" s="26" t="inlineStr">
        <is>
          <t>Care Gap Value PPO</t>
        </is>
      </c>
      <c r="U62" s="26" t="n"/>
      <c r="V62" s="26" t="inlineStr">
        <is>
          <t>Eleanor Brooks, MD</t>
        </is>
      </c>
      <c r="W62" s="26" t="inlineStr">
        <is>
          <t>Assigned Department Provider</t>
        </is>
      </c>
      <c r="X62" s="26" t="inlineStr">
        <is>
          <t>ED</t>
        </is>
      </c>
      <c r="Y62" s="26" t="inlineStr">
        <is>
          <t>Encounter close</t>
        </is>
      </c>
      <c r="Z62" s="26" t="inlineStr">
        <is>
          <t>Hold</t>
        </is>
      </c>
      <c r="AA62" s="26" t="inlineStr">
        <is>
          <t>Exception</t>
        </is>
      </c>
      <c r="AB62" s="26" t="inlineStr">
        <is>
          <t>Review</t>
        </is>
      </c>
      <c r="AC62" s="26" t="inlineStr">
        <is>
          <t>WQ-EME-02</t>
        </is>
      </c>
      <c r="AD62" s="26" t="inlineStr">
        <is>
          <t>Documentation</t>
        </is>
      </c>
      <c r="AE62" s="26" t="inlineStr">
        <is>
          <t>R50.9</t>
        </is>
      </c>
      <c r="AF62" s="26" t="inlineStr">
        <is>
          <t>22</t>
        </is>
      </c>
      <c r="AG62" s="26" t="inlineStr">
        <is>
          <t>2026-09-05 16:30</t>
        </is>
      </c>
      <c r="AH62" s="26" t="inlineStr">
        <is>
          <t>Synthetic Care Gap charge; 10% below Athena allowed amount</t>
        </is>
      </c>
    </row>
    <row r="63">
      <c r="A63" s="26" t="inlineStr">
        <is>
          <t>OPD-CHG-0030-ATH</t>
        </is>
      </c>
      <c r="B63" s="26" t="inlineStr">
        <is>
          <t>OP-202600030-ATH</t>
        </is>
      </c>
      <c r="C63" s="26" t="inlineStr">
        <is>
          <t>CSN-OPD-780030-ATH</t>
        </is>
      </c>
      <c r="D63" s="26" t="inlineStr">
        <is>
          <t>Outpatient</t>
        </is>
      </c>
      <c r="E63" s="26" t="inlineStr">
        <is>
          <t>Demo Regional Medical Center</t>
        </is>
      </c>
      <c r="F63" s="26" t="inlineStr">
        <is>
          <t>Emergency Department</t>
        </is>
      </c>
      <c r="G63" s="26" t="inlineStr">
        <is>
          <t>2026-09-06</t>
        </is>
      </c>
      <c r="H63" s="26" t="inlineStr">
        <is>
          <t>ED-LEVEL-2</t>
        </is>
      </c>
      <c r="I63" s="26" t="inlineStr">
        <is>
          <t>Emergency Department Visit Level 2</t>
        </is>
      </c>
      <c r="J63" s="26" t="inlineStr">
        <is>
          <t>0450</t>
        </is>
      </c>
      <c r="K63" s="26" t="inlineStr">
        <is>
          <t>99282</t>
        </is>
      </c>
      <c r="L63" s="26" t="n"/>
      <c r="M63" s="26" t="n">
        <v>1</v>
      </c>
      <c r="N63" s="13" t="n">
        <v>670</v>
      </c>
      <c r="O63" s="13">
        <f>M63*N63</f>
        <v/>
      </c>
      <c r="P63" s="13" t="n">
        <v>292.29</v>
      </c>
      <c r="Q63" s="13">
        <f>P63*20%</f>
        <v/>
      </c>
      <c r="R63" s="13">
        <f>O63-P63</f>
        <v/>
      </c>
      <c r="S63" s="26" t="inlineStr">
        <is>
          <t>Athena Health Insurance</t>
        </is>
      </c>
      <c r="T63" s="26" t="inlineStr">
        <is>
          <t>Athena PPO</t>
        </is>
      </c>
      <c r="U63" s="26" t="n"/>
      <c r="V63" s="26" t="inlineStr">
        <is>
          <t>Eleanor Brooks, MD</t>
        </is>
      </c>
      <c r="W63" s="26" t="inlineStr">
        <is>
          <t>Assigned Department Provider</t>
        </is>
      </c>
      <c r="X63" s="26" t="inlineStr">
        <is>
          <t>ED</t>
        </is>
      </c>
      <c r="Y63" s="26" t="inlineStr">
        <is>
          <t>Encounter close</t>
        </is>
      </c>
      <c r="Z63" s="26" t="inlineStr">
        <is>
          <t>Posted</t>
        </is>
      </c>
      <c r="AA63" s="26" t="inlineStr">
        <is>
          <t>Matched</t>
        </is>
      </c>
      <c r="AB63" s="26" t="inlineStr">
        <is>
          <t>Passed</t>
        </is>
      </c>
      <c r="AC63" s="26" t="n"/>
      <c r="AD63" s="26" t="inlineStr">
        <is>
          <t>Documentation</t>
        </is>
      </c>
      <c r="AE63" s="26" t="inlineStr">
        <is>
          <t>R51.9</t>
        </is>
      </c>
      <c r="AF63" s="26" t="inlineStr">
        <is>
          <t>22</t>
        </is>
      </c>
      <c r="AG63" s="26" t="inlineStr">
        <is>
          <t>2026-09-06 16:30</t>
        </is>
      </c>
      <c r="AH63" s="26" t="inlineStr">
        <is>
          <t>Synthetic Athena negotiated charge</t>
        </is>
      </c>
    </row>
    <row r="64">
      <c r="A64" s="26" t="inlineStr">
        <is>
          <t>OPD-CHG-0030-CGH</t>
        </is>
      </c>
      <c r="B64" s="26" t="inlineStr">
        <is>
          <t>OP-202600030-CGH</t>
        </is>
      </c>
      <c r="C64" s="26" t="inlineStr">
        <is>
          <t>CSN-OPD-780030-CGH</t>
        </is>
      </c>
      <c r="D64" s="26" t="inlineStr">
        <is>
          <t>Outpatient</t>
        </is>
      </c>
      <c r="E64" s="26" t="inlineStr">
        <is>
          <t>Demo Regional Medical Center</t>
        </is>
      </c>
      <c r="F64" s="26" t="inlineStr">
        <is>
          <t>Emergency Department</t>
        </is>
      </c>
      <c r="G64" s="26" t="inlineStr">
        <is>
          <t>2026-09-06</t>
        </is>
      </c>
      <c r="H64" s="26" t="inlineStr">
        <is>
          <t>ED-LEVEL-2</t>
        </is>
      </c>
      <c r="I64" s="26" t="inlineStr">
        <is>
          <t>Emergency Department Visit Level 2</t>
        </is>
      </c>
      <c r="J64" s="26" t="inlineStr">
        <is>
          <t>0450</t>
        </is>
      </c>
      <c r="K64" s="26" t="inlineStr">
        <is>
          <t>99282</t>
        </is>
      </c>
      <c r="L64" s="26" t="n"/>
      <c r="M64" s="26" t="n">
        <v>1</v>
      </c>
      <c r="N64" s="13" t="n">
        <v>670</v>
      </c>
      <c r="O64" s="13">
        <f>M64*N64</f>
        <v/>
      </c>
      <c r="P64" s="13" t="n">
        <v>263.06</v>
      </c>
      <c r="Q64" s="13">
        <f>P64*15%</f>
        <v/>
      </c>
      <c r="R64" s="13">
        <f>O64-P64</f>
        <v/>
      </c>
      <c r="S64" s="26" t="inlineStr">
        <is>
          <t>Care Gap Health</t>
        </is>
      </c>
      <c r="T64" s="26" t="inlineStr">
        <is>
          <t>Care Gap Value PPO</t>
        </is>
      </c>
      <c r="U64" s="26" t="n"/>
      <c r="V64" s="26" t="inlineStr">
        <is>
          <t>Eleanor Brooks, MD</t>
        </is>
      </c>
      <c r="W64" s="26" t="inlineStr">
        <is>
          <t>Assigned Department Provider</t>
        </is>
      </c>
      <c r="X64" s="26" t="inlineStr">
        <is>
          <t>ED</t>
        </is>
      </c>
      <c r="Y64" s="26" t="inlineStr">
        <is>
          <t>Encounter close</t>
        </is>
      </c>
      <c r="Z64" s="26" t="inlineStr">
        <is>
          <t>Posted</t>
        </is>
      </c>
      <c r="AA64" s="26" t="inlineStr">
        <is>
          <t>Matched</t>
        </is>
      </c>
      <c r="AB64" s="26" t="inlineStr">
        <is>
          <t>Passed</t>
        </is>
      </c>
      <c r="AC64" s="26" t="n"/>
      <c r="AD64" s="26" t="inlineStr">
        <is>
          <t>Documentation</t>
        </is>
      </c>
      <c r="AE64" s="26" t="inlineStr">
        <is>
          <t>R51.9</t>
        </is>
      </c>
      <c r="AF64" s="26" t="inlineStr">
        <is>
          <t>22</t>
        </is>
      </c>
      <c r="AG64" s="26" t="inlineStr">
        <is>
          <t>2026-09-06 16:30</t>
        </is>
      </c>
      <c r="AH64" s="26" t="inlineStr">
        <is>
          <t>Synthetic Care Gap charge; 10% below Athena allowed amount</t>
        </is>
      </c>
    </row>
    <row r="65">
      <c r="A65" s="26" t="inlineStr">
        <is>
          <t>OPD-CHG-0031-ATH</t>
        </is>
      </c>
      <c r="B65" s="26" t="inlineStr">
        <is>
          <t>OP-202600031-ATH</t>
        </is>
      </c>
      <c r="C65" s="26" t="inlineStr">
        <is>
          <t>CSN-OPD-780031-ATH</t>
        </is>
      </c>
      <c r="D65" s="26" t="inlineStr">
        <is>
          <t>Outpatient</t>
        </is>
      </c>
      <c r="E65" s="26" t="inlineStr">
        <is>
          <t>Demo Regional Medical Center</t>
        </is>
      </c>
      <c r="F65" s="26" t="inlineStr">
        <is>
          <t>Emergency Department</t>
        </is>
      </c>
      <c r="G65" s="26" t="inlineStr">
        <is>
          <t>2026-09-07</t>
        </is>
      </c>
      <c r="H65" s="26" t="inlineStr">
        <is>
          <t>ED-LEVEL-3</t>
        </is>
      </c>
      <c r="I65" s="26" t="inlineStr">
        <is>
          <t>Emergency Department Visit Level 3</t>
        </is>
      </c>
      <c r="J65" s="26" t="inlineStr">
        <is>
          <t>0450</t>
        </is>
      </c>
      <c r="K65" s="26" t="inlineStr">
        <is>
          <t>99283</t>
        </is>
      </c>
      <c r="L65" s="26" t="n"/>
      <c r="M65" s="26" t="n">
        <v>1</v>
      </c>
      <c r="N65" s="13" t="n">
        <v>1280</v>
      </c>
      <c r="O65" s="13">
        <f>M65*N65</f>
        <v/>
      </c>
      <c r="P65" s="13" t="n">
        <v>788.53</v>
      </c>
      <c r="Q65" s="13">
        <f>P65*20%</f>
        <v/>
      </c>
      <c r="R65" s="13">
        <f>O65-P65</f>
        <v/>
      </c>
      <c r="S65" s="26" t="inlineStr">
        <is>
          <t>Athena Health Insurance</t>
        </is>
      </c>
      <c r="T65" s="26" t="inlineStr">
        <is>
          <t>Athena PPO</t>
        </is>
      </c>
      <c r="U65" s="26" t="n"/>
      <c r="V65" s="26" t="inlineStr">
        <is>
          <t>Eleanor Brooks, MD</t>
        </is>
      </c>
      <c r="W65" s="26" t="inlineStr">
        <is>
          <t>Assigned Department Provider</t>
        </is>
      </c>
      <c r="X65" s="26" t="inlineStr">
        <is>
          <t>ED</t>
        </is>
      </c>
      <c r="Y65" s="26" t="inlineStr">
        <is>
          <t>Encounter close</t>
        </is>
      </c>
      <c r="Z65" s="26" t="inlineStr">
        <is>
          <t>Posted</t>
        </is>
      </c>
      <c r="AA65" s="26" t="inlineStr">
        <is>
          <t>Matched</t>
        </is>
      </c>
      <c r="AB65" s="26" t="inlineStr">
        <is>
          <t>Passed</t>
        </is>
      </c>
      <c r="AC65" s="26" t="n"/>
      <c r="AD65" s="26" t="inlineStr">
        <is>
          <t>Documentation</t>
        </is>
      </c>
      <c r="AE65" s="26" t="inlineStr">
        <is>
          <t>R10.9</t>
        </is>
      </c>
      <c r="AF65" s="26" t="inlineStr">
        <is>
          <t>22</t>
        </is>
      </c>
      <c r="AG65" s="26" t="inlineStr">
        <is>
          <t>2026-09-07 16:30</t>
        </is>
      </c>
      <c r="AH65" s="26" t="inlineStr">
        <is>
          <t>Synthetic Athena negotiated charge</t>
        </is>
      </c>
    </row>
    <row r="66">
      <c r="A66" s="26" t="inlineStr">
        <is>
          <t>OPD-CHG-0031-CGH</t>
        </is>
      </c>
      <c r="B66" s="26" t="inlineStr">
        <is>
          <t>OP-202600031-CGH</t>
        </is>
      </c>
      <c r="C66" s="26" t="inlineStr">
        <is>
          <t>CSN-OPD-780031-CGH</t>
        </is>
      </c>
      <c r="D66" s="26" t="inlineStr">
        <is>
          <t>Outpatient</t>
        </is>
      </c>
      <c r="E66" s="26" t="inlineStr">
        <is>
          <t>Demo Regional Medical Center</t>
        </is>
      </c>
      <c r="F66" s="26" t="inlineStr">
        <is>
          <t>Emergency Department</t>
        </is>
      </c>
      <c r="G66" s="26" t="inlineStr">
        <is>
          <t>2026-09-07</t>
        </is>
      </c>
      <c r="H66" s="26" t="inlineStr">
        <is>
          <t>ED-LEVEL-3</t>
        </is>
      </c>
      <c r="I66" s="26" t="inlineStr">
        <is>
          <t>Emergency Department Visit Level 3</t>
        </is>
      </c>
      <c r="J66" s="26" t="inlineStr">
        <is>
          <t>0450</t>
        </is>
      </c>
      <c r="K66" s="26" t="inlineStr">
        <is>
          <t>99283</t>
        </is>
      </c>
      <c r="L66" s="26" t="n"/>
      <c r="M66" s="26" t="n">
        <v>1</v>
      </c>
      <c r="N66" s="13" t="n">
        <v>1280</v>
      </c>
      <c r="O66" s="13">
        <f>M66*N66</f>
        <v/>
      </c>
      <c r="P66" s="13" t="n">
        <v>709.6799999999999</v>
      </c>
      <c r="Q66" s="13">
        <f>P66*15%</f>
        <v/>
      </c>
      <c r="R66" s="13">
        <f>O66-P66</f>
        <v/>
      </c>
      <c r="S66" s="26" t="inlineStr">
        <is>
          <t>Care Gap Health</t>
        </is>
      </c>
      <c r="T66" s="26" t="inlineStr">
        <is>
          <t>Care Gap Value PPO</t>
        </is>
      </c>
      <c r="U66" s="26" t="n"/>
      <c r="V66" s="26" t="inlineStr">
        <is>
          <t>Eleanor Brooks, MD</t>
        </is>
      </c>
      <c r="W66" s="26" t="inlineStr">
        <is>
          <t>Assigned Department Provider</t>
        </is>
      </c>
      <c r="X66" s="26" t="inlineStr">
        <is>
          <t>ED</t>
        </is>
      </c>
      <c r="Y66" s="26" t="inlineStr">
        <is>
          <t>Encounter close</t>
        </is>
      </c>
      <c r="Z66" s="26" t="inlineStr">
        <is>
          <t>Posted</t>
        </is>
      </c>
      <c r="AA66" s="26" t="inlineStr">
        <is>
          <t>Matched</t>
        </is>
      </c>
      <c r="AB66" s="26" t="inlineStr">
        <is>
          <t>Passed</t>
        </is>
      </c>
      <c r="AC66" s="26" t="n"/>
      <c r="AD66" s="26" t="inlineStr">
        <is>
          <t>Documentation</t>
        </is>
      </c>
      <c r="AE66" s="26" t="inlineStr">
        <is>
          <t>R10.9</t>
        </is>
      </c>
      <c r="AF66" s="26" t="inlineStr">
        <is>
          <t>22</t>
        </is>
      </c>
      <c r="AG66" s="26" t="inlineStr">
        <is>
          <t>2026-09-07 16:30</t>
        </is>
      </c>
      <c r="AH66" s="26" t="inlineStr">
        <is>
          <t>Synthetic Care Gap charge; 10% below Athena allowed amount</t>
        </is>
      </c>
    </row>
    <row r="67">
      <c r="A67" s="26" t="inlineStr">
        <is>
          <t>OPD-CHG-0032-ATH</t>
        </is>
      </c>
      <c r="B67" s="26" t="inlineStr">
        <is>
          <t>OP-202600032-ATH</t>
        </is>
      </c>
      <c r="C67" s="26" t="inlineStr">
        <is>
          <t>CSN-OPD-780032-ATH</t>
        </is>
      </c>
      <c r="D67" s="26" t="inlineStr">
        <is>
          <t>Outpatient</t>
        </is>
      </c>
      <c r="E67" s="26" t="inlineStr">
        <is>
          <t>Demo Regional Medical Center</t>
        </is>
      </c>
      <c r="F67" s="26" t="inlineStr">
        <is>
          <t>Emergency Department</t>
        </is>
      </c>
      <c r="G67" s="26" t="inlineStr">
        <is>
          <t>2026-09-08</t>
        </is>
      </c>
      <c r="H67" s="26" t="inlineStr">
        <is>
          <t>ED-LEVEL-4</t>
        </is>
      </c>
      <c r="I67" s="26" t="inlineStr">
        <is>
          <t>Emergency Department Visit Level 4</t>
        </is>
      </c>
      <c r="J67" s="26" t="inlineStr">
        <is>
          <t>0450</t>
        </is>
      </c>
      <c r="K67" s="26" t="inlineStr">
        <is>
          <t>99284</t>
        </is>
      </c>
      <c r="L67" s="26" t="n"/>
      <c r="M67" s="26" t="n">
        <v>1</v>
      </c>
      <c r="N67" s="13" t="n">
        <v>2350</v>
      </c>
      <c r="O67" s="13">
        <f>M67*N67</f>
        <v/>
      </c>
      <c r="P67" s="13" t="n">
        <v>1442.56</v>
      </c>
      <c r="Q67" s="13">
        <f>P67*20%</f>
        <v/>
      </c>
      <c r="R67" s="13">
        <f>O67-P67</f>
        <v/>
      </c>
      <c r="S67" s="26" t="inlineStr">
        <is>
          <t>Athena Health Insurance</t>
        </is>
      </c>
      <c r="T67" s="26" t="inlineStr">
        <is>
          <t>Athena PPO</t>
        </is>
      </c>
      <c r="U67" s="26" t="n"/>
      <c r="V67" s="26" t="inlineStr">
        <is>
          <t>Eleanor Brooks, MD</t>
        </is>
      </c>
      <c r="W67" s="26" t="inlineStr">
        <is>
          <t>Assigned Department Provider</t>
        </is>
      </c>
      <c r="X67" s="26" t="inlineStr">
        <is>
          <t>ED</t>
        </is>
      </c>
      <c r="Y67" s="26" t="inlineStr">
        <is>
          <t>Encounter close</t>
        </is>
      </c>
      <c r="Z67" s="26" t="inlineStr">
        <is>
          <t>Posted</t>
        </is>
      </c>
      <c r="AA67" s="26" t="inlineStr">
        <is>
          <t>Matched</t>
        </is>
      </c>
      <c r="AB67" s="26" t="inlineStr">
        <is>
          <t>Passed</t>
        </is>
      </c>
      <c r="AC67" s="26" t="n"/>
      <c r="AD67" s="26" t="inlineStr">
        <is>
          <t>Documentation</t>
        </is>
      </c>
      <c r="AE67" s="26" t="inlineStr">
        <is>
          <t>R06.02</t>
        </is>
      </c>
      <c r="AF67" s="26" t="inlineStr">
        <is>
          <t>22</t>
        </is>
      </c>
      <c r="AG67" s="26" t="inlineStr">
        <is>
          <t>2026-09-08 16:30</t>
        </is>
      </c>
      <c r="AH67" s="26" t="inlineStr">
        <is>
          <t>Synthetic Athena negotiated charge</t>
        </is>
      </c>
    </row>
    <row r="68">
      <c r="A68" s="26" t="inlineStr">
        <is>
          <t>OPD-CHG-0032-CGH</t>
        </is>
      </c>
      <c r="B68" s="26" t="inlineStr">
        <is>
          <t>OP-202600032-CGH</t>
        </is>
      </c>
      <c r="C68" s="26" t="inlineStr">
        <is>
          <t>CSN-OPD-780032-CGH</t>
        </is>
      </c>
      <c r="D68" s="26" t="inlineStr">
        <is>
          <t>Outpatient</t>
        </is>
      </c>
      <c r="E68" s="26" t="inlineStr">
        <is>
          <t>Demo Regional Medical Center</t>
        </is>
      </c>
      <c r="F68" s="26" t="inlineStr">
        <is>
          <t>Emergency Department</t>
        </is>
      </c>
      <c r="G68" s="26" t="inlineStr">
        <is>
          <t>2026-09-08</t>
        </is>
      </c>
      <c r="H68" s="26" t="inlineStr">
        <is>
          <t>ED-LEVEL-4</t>
        </is>
      </c>
      <c r="I68" s="26" t="inlineStr">
        <is>
          <t>Emergency Department Visit Level 4</t>
        </is>
      </c>
      <c r="J68" s="26" t="inlineStr">
        <is>
          <t>0450</t>
        </is>
      </c>
      <c r="K68" s="26" t="inlineStr">
        <is>
          <t>99284</t>
        </is>
      </c>
      <c r="L68" s="26" t="n"/>
      <c r="M68" s="26" t="n">
        <v>1</v>
      </c>
      <c r="N68" s="13" t="n">
        <v>2350</v>
      </c>
      <c r="O68" s="13">
        <f>M68*N68</f>
        <v/>
      </c>
      <c r="P68" s="13" t="n">
        <v>1298.3</v>
      </c>
      <c r="Q68" s="13">
        <f>P68*15%</f>
        <v/>
      </c>
      <c r="R68" s="13">
        <f>O68-P68</f>
        <v/>
      </c>
      <c r="S68" s="26" t="inlineStr">
        <is>
          <t>Care Gap Health</t>
        </is>
      </c>
      <c r="T68" s="26" t="inlineStr">
        <is>
          <t>Care Gap Value PPO</t>
        </is>
      </c>
      <c r="U68" s="26" t="n"/>
      <c r="V68" s="26" t="inlineStr">
        <is>
          <t>Eleanor Brooks, MD</t>
        </is>
      </c>
      <c r="W68" s="26" t="inlineStr">
        <is>
          <t>Assigned Department Provider</t>
        </is>
      </c>
      <c r="X68" s="26" t="inlineStr">
        <is>
          <t>ED</t>
        </is>
      </c>
      <c r="Y68" s="26" t="inlineStr">
        <is>
          <t>Encounter close</t>
        </is>
      </c>
      <c r="Z68" s="26" t="inlineStr">
        <is>
          <t>Posted</t>
        </is>
      </c>
      <c r="AA68" s="26" t="inlineStr">
        <is>
          <t>Matched</t>
        </is>
      </c>
      <c r="AB68" s="26" t="inlineStr">
        <is>
          <t>Passed</t>
        </is>
      </c>
      <c r="AC68" s="26" t="n"/>
      <c r="AD68" s="26" t="inlineStr">
        <is>
          <t>Documentation</t>
        </is>
      </c>
      <c r="AE68" s="26" t="inlineStr">
        <is>
          <t>R06.02</t>
        </is>
      </c>
      <c r="AF68" s="26" t="inlineStr">
        <is>
          <t>22</t>
        </is>
      </c>
      <c r="AG68" s="26" t="inlineStr">
        <is>
          <t>2026-09-08 16:30</t>
        </is>
      </c>
      <c r="AH68" s="26" t="inlineStr">
        <is>
          <t>Synthetic Care Gap charge; 10% below Athena allowed amount</t>
        </is>
      </c>
    </row>
    <row r="69">
      <c r="A69" s="26" t="inlineStr">
        <is>
          <t>OPD-CHG-0033-ATH</t>
        </is>
      </c>
      <c r="B69" s="26" t="inlineStr">
        <is>
          <t>OP-202600033-ATH</t>
        </is>
      </c>
      <c r="C69" s="26" t="inlineStr">
        <is>
          <t>CSN-OPD-780033-ATH</t>
        </is>
      </c>
      <c r="D69" s="26" t="inlineStr">
        <is>
          <t>Outpatient</t>
        </is>
      </c>
      <c r="E69" s="26" t="inlineStr">
        <is>
          <t>Demo Regional Medical Center</t>
        </is>
      </c>
      <c r="F69" s="26" t="inlineStr">
        <is>
          <t>Emergency Department</t>
        </is>
      </c>
      <c r="G69" s="26" t="inlineStr">
        <is>
          <t>2026-09-09</t>
        </is>
      </c>
      <c r="H69" s="26" t="inlineStr">
        <is>
          <t>ED-LEVEL-5</t>
        </is>
      </c>
      <c r="I69" s="26" t="inlineStr">
        <is>
          <t>Emergency Department Visit Level 5</t>
        </is>
      </c>
      <c r="J69" s="26" t="inlineStr">
        <is>
          <t>0450</t>
        </is>
      </c>
      <c r="K69" s="26" t="inlineStr">
        <is>
          <t>99285</t>
        </is>
      </c>
      <c r="L69" s="26" t="n"/>
      <c r="M69" s="26" t="n">
        <v>1</v>
      </c>
      <c r="N69" s="13" t="n">
        <v>4300</v>
      </c>
      <c r="O69" s="13">
        <f>M69*N69</f>
        <v/>
      </c>
      <c r="P69" s="13" t="n">
        <v>1884.19</v>
      </c>
      <c r="Q69" s="13">
        <f>P69*20%</f>
        <v/>
      </c>
      <c r="R69" s="13">
        <f>O69-P69</f>
        <v/>
      </c>
      <c r="S69" s="26" t="inlineStr">
        <is>
          <t>Athena Health Insurance</t>
        </is>
      </c>
      <c r="T69" s="26" t="inlineStr">
        <is>
          <t>Athena PPO</t>
        </is>
      </c>
      <c r="U69" s="26" t="n"/>
      <c r="V69" s="26" t="inlineStr">
        <is>
          <t>Eleanor Brooks, MD</t>
        </is>
      </c>
      <c r="W69" s="26" t="inlineStr">
        <is>
          <t>Assigned Department Provider</t>
        </is>
      </c>
      <c r="X69" s="26" t="inlineStr">
        <is>
          <t>ED</t>
        </is>
      </c>
      <c r="Y69" s="26" t="inlineStr">
        <is>
          <t>Encounter close</t>
        </is>
      </c>
      <c r="Z69" s="26" t="inlineStr">
        <is>
          <t>Posted</t>
        </is>
      </c>
      <c r="AA69" s="26" t="inlineStr">
        <is>
          <t>Matched</t>
        </is>
      </c>
      <c r="AB69" s="26" t="inlineStr">
        <is>
          <t>Passed</t>
        </is>
      </c>
      <c r="AC69" s="26" t="n"/>
      <c r="AD69" s="26" t="inlineStr">
        <is>
          <t>Documentation</t>
        </is>
      </c>
      <c r="AE69" s="26" t="inlineStr">
        <is>
          <t>R07.9</t>
        </is>
      </c>
      <c r="AF69" s="26" t="inlineStr">
        <is>
          <t>22</t>
        </is>
      </c>
      <c r="AG69" s="26" t="inlineStr">
        <is>
          <t>2026-09-09 16:30</t>
        </is>
      </c>
      <c r="AH69" s="26" t="inlineStr">
        <is>
          <t>Synthetic Athena negotiated charge</t>
        </is>
      </c>
    </row>
    <row r="70">
      <c r="A70" s="26" t="inlineStr">
        <is>
          <t>OPD-CHG-0033-CGH</t>
        </is>
      </c>
      <c r="B70" s="26" t="inlineStr">
        <is>
          <t>OP-202600033-CGH</t>
        </is>
      </c>
      <c r="C70" s="26" t="inlineStr">
        <is>
          <t>CSN-OPD-780033-CGH</t>
        </is>
      </c>
      <c r="D70" s="26" t="inlineStr">
        <is>
          <t>Outpatient</t>
        </is>
      </c>
      <c r="E70" s="26" t="inlineStr">
        <is>
          <t>Demo Regional Medical Center</t>
        </is>
      </c>
      <c r="F70" s="26" t="inlineStr">
        <is>
          <t>Emergency Department</t>
        </is>
      </c>
      <c r="G70" s="26" t="inlineStr">
        <is>
          <t>2026-09-09</t>
        </is>
      </c>
      <c r="H70" s="26" t="inlineStr">
        <is>
          <t>ED-LEVEL-5</t>
        </is>
      </c>
      <c r="I70" s="26" t="inlineStr">
        <is>
          <t>Emergency Department Visit Level 5</t>
        </is>
      </c>
      <c r="J70" s="26" t="inlineStr">
        <is>
          <t>0450</t>
        </is>
      </c>
      <c r="K70" s="26" t="inlineStr">
        <is>
          <t>99285</t>
        </is>
      </c>
      <c r="L70" s="26" t="n"/>
      <c r="M70" s="26" t="n">
        <v>1</v>
      </c>
      <c r="N70" s="13" t="n">
        <v>4300</v>
      </c>
      <c r="O70" s="13">
        <f>M70*N70</f>
        <v/>
      </c>
      <c r="P70" s="13" t="n">
        <v>1695.77</v>
      </c>
      <c r="Q70" s="13">
        <f>P70*15%</f>
        <v/>
      </c>
      <c r="R70" s="13">
        <f>O70-P70</f>
        <v/>
      </c>
      <c r="S70" s="26" t="inlineStr">
        <is>
          <t>Care Gap Health</t>
        </is>
      </c>
      <c r="T70" s="26" t="inlineStr">
        <is>
          <t>Care Gap Value PPO</t>
        </is>
      </c>
      <c r="U70" s="26" t="n"/>
      <c r="V70" s="26" t="inlineStr">
        <is>
          <t>Eleanor Brooks, MD</t>
        </is>
      </c>
      <c r="W70" s="26" t="inlineStr">
        <is>
          <t>Assigned Department Provider</t>
        </is>
      </c>
      <c r="X70" s="26" t="inlineStr">
        <is>
          <t>ED</t>
        </is>
      </c>
      <c r="Y70" s="26" t="inlineStr">
        <is>
          <t>Encounter close</t>
        </is>
      </c>
      <c r="Z70" s="26" t="inlineStr">
        <is>
          <t>Posted</t>
        </is>
      </c>
      <c r="AA70" s="26" t="inlineStr">
        <is>
          <t>Matched</t>
        </is>
      </c>
      <c r="AB70" s="26" t="inlineStr">
        <is>
          <t>Passed</t>
        </is>
      </c>
      <c r="AC70" s="26" t="n"/>
      <c r="AD70" s="26" t="inlineStr">
        <is>
          <t>Documentation</t>
        </is>
      </c>
      <c r="AE70" s="26" t="inlineStr">
        <is>
          <t>R07.9</t>
        </is>
      </c>
      <c r="AF70" s="26" t="inlineStr">
        <is>
          <t>22</t>
        </is>
      </c>
      <c r="AG70" s="26" t="inlineStr">
        <is>
          <t>2026-09-09 16:30</t>
        </is>
      </c>
      <c r="AH70" s="26" t="inlineStr">
        <is>
          <t>Synthetic Care Gap charge; 10% below Athena allowed amount</t>
        </is>
      </c>
    </row>
    <row r="71">
      <c r="A71" s="26" t="inlineStr">
        <is>
          <t>OPD-CHG-0034-ATH</t>
        </is>
      </c>
      <c r="B71" s="26" t="inlineStr">
        <is>
          <t>OP-202600034-ATH</t>
        </is>
      </c>
      <c r="C71" s="26" t="inlineStr">
        <is>
          <t>CSN-OPD-780034-ATH</t>
        </is>
      </c>
      <c r="D71" s="26" t="inlineStr">
        <is>
          <t>Outpatient</t>
        </is>
      </c>
      <c r="E71" s="26" t="inlineStr">
        <is>
          <t>Demo Regional Medical Center</t>
        </is>
      </c>
      <c r="F71" s="26" t="inlineStr">
        <is>
          <t>Hospital Clinic</t>
        </is>
      </c>
      <c r="G71" s="26" t="inlineStr">
        <is>
          <t>2026-09-10</t>
        </is>
      </c>
      <c r="H71" s="26" t="inlineStr">
        <is>
          <t>CLINIC-L2</t>
        </is>
      </c>
      <c r="I71" s="26" t="inlineStr">
        <is>
          <t>Hospital Outpatient Clinic Visit Level 2</t>
        </is>
      </c>
      <c r="J71" s="26" t="inlineStr">
        <is>
          <t>0510</t>
        </is>
      </c>
      <c r="K71" s="26" t="inlineStr">
        <is>
          <t>99212</t>
        </is>
      </c>
      <c r="L71" s="26" t="n"/>
      <c r="M71" s="26" t="n">
        <v>1</v>
      </c>
      <c r="N71" s="13" t="n">
        <v>215</v>
      </c>
      <c r="O71" s="13">
        <f>M71*N71</f>
        <v/>
      </c>
      <c r="P71" s="13" t="n">
        <v>137.27</v>
      </c>
      <c r="Q71" s="13">
        <f>P71*20%</f>
        <v/>
      </c>
      <c r="R71" s="13">
        <f>O71-P71</f>
        <v/>
      </c>
      <c r="S71" s="26" t="inlineStr">
        <is>
          <t>Athena Health Insurance</t>
        </is>
      </c>
      <c r="T71" s="26" t="inlineStr">
        <is>
          <t>Athena PPO</t>
        </is>
      </c>
      <c r="U71" s="26" t="n"/>
      <c r="V71" s="26" t="inlineStr">
        <is>
          <t>Eleanor Brooks, MD</t>
        </is>
      </c>
      <c r="W71" s="26" t="inlineStr">
        <is>
          <t>Assigned Department Provider</t>
        </is>
      </c>
      <c r="X71" s="26" t="inlineStr">
        <is>
          <t>Ambulatory</t>
        </is>
      </c>
      <c r="Y71" s="26" t="inlineStr">
        <is>
          <t>Visit close</t>
        </is>
      </c>
      <c r="Z71" s="26" t="inlineStr">
        <is>
          <t>Posted</t>
        </is>
      </c>
      <c r="AA71" s="26" t="inlineStr">
        <is>
          <t>Matched</t>
        </is>
      </c>
      <c r="AB71" s="26" t="inlineStr">
        <is>
          <t>Passed</t>
        </is>
      </c>
      <c r="AC71" s="26" t="n"/>
      <c r="AD71" s="26" t="inlineStr">
        <is>
          <t>E/M documentation</t>
        </is>
      </c>
      <c r="AE71" s="26" t="inlineStr">
        <is>
          <t>I10</t>
        </is>
      </c>
      <c r="AF71" s="26" t="inlineStr">
        <is>
          <t>22</t>
        </is>
      </c>
      <c r="AG71" s="26" t="inlineStr">
        <is>
          <t>2026-09-10 16:30</t>
        </is>
      </c>
      <c r="AH71" s="26" t="inlineStr">
        <is>
          <t>Synthetic Athena negotiated charge</t>
        </is>
      </c>
    </row>
    <row r="72">
      <c r="A72" s="26" t="inlineStr">
        <is>
          <t>OPD-CHG-0034-CGH</t>
        </is>
      </c>
      <c r="B72" s="26" t="inlineStr">
        <is>
          <t>OP-202600034-CGH</t>
        </is>
      </c>
      <c r="C72" s="26" t="inlineStr">
        <is>
          <t>CSN-OPD-780034-CGH</t>
        </is>
      </c>
      <c r="D72" s="26" t="inlineStr">
        <is>
          <t>Outpatient</t>
        </is>
      </c>
      <c r="E72" s="26" t="inlineStr">
        <is>
          <t>Demo Regional Medical Center</t>
        </is>
      </c>
      <c r="F72" s="26" t="inlineStr">
        <is>
          <t>Hospital Clinic</t>
        </is>
      </c>
      <c r="G72" s="26" t="inlineStr">
        <is>
          <t>2026-09-10</t>
        </is>
      </c>
      <c r="H72" s="26" t="inlineStr">
        <is>
          <t>CLINIC-L2</t>
        </is>
      </c>
      <c r="I72" s="26" t="inlineStr">
        <is>
          <t>Hospital Outpatient Clinic Visit Level 2</t>
        </is>
      </c>
      <c r="J72" s="26" t="inlineStr">
        <is>
          <t>0510</t>
        </is>
      </c>
      <c r="K72" s="26" t="inlineStr">
        <is>
          <t>99212</t>
        </is>
      </c>
      <c r="L72" s="26" t="n"/>
      <c r="M72" s="26" t="n">
        <v>1</v>
      </c>
      <c r="N72" s="13" t="n">
        <v>215</v>
      </c>
      <c r="O72" s="13">
        <f>M72*N72</f>
        <v/>
      </c>
      <c r="P72" s="13" t="n">
        <v>123.54</v>
      </c>
      <c r="Q72" s="13">
        <f>P72*15%</f>
        <v/>
      </c>
      <c r="R72" s="13">
        <f>O72-P72</f>
        <v/>
      </c>
      <c r="S72" s="26" t="inlineStr">
        <is>
          <t>Care Gap Health</t>
        </is>
      </c>
      <c r="T72" s="26" t="inlineStr">
        <is>
          <t>Care Gap Value PPO</t>
        </is>
      </c>
      <c r="U72" s="26" t="n"/>
      <c r="V72" s="26" t="inlineStr">
        <is>
          <t>Eleanor Brooks, MD</t>
        </is>
      </c>
      <c r="W72" s="26" t="inlineStr">
        <is>
          <t>Assigned Department Provider</t>
        </is>
      </c>
      <c r="X72" s="26" t="inlineStr">
        <is>
          <t>Ambulatory</t>
        </is>
      </c>
      <c r="Y72" s="26" t="inlineStr">
        <is>
          <t>Visit close</t>
        </is>
      </c>
      <c r="Z72" s="26" t="inlineStr">
        <is>
          <t>Posted</t>
        </is>
      </c>
      <c r="AA72" s="26" t="inlineStr">
        <is>
          <t>Matched</t>
        </is>
      </c>
      <c r="AB72" s="26" t="inlineStr">
        <is>
          <t>Passed</t>
        </is>
      </c>
      <c r="AC72" s="26" t="n"/>
      <c r="AD72" s="26" t="inlineStr">
        <is>
          <t>E/M documentation</t>
        </is>
      </c>
      <c r="AE72" s="26" t="inlineStr">
        <is>
          <t>I10</t>
        </is>
      </c>
      <c r="AF72" s="26" t="inlineStr">
        <is>
          <t>22</t>
        </is>
      </c>
      <c r="AG72" s="26" t="inlineStr">
        <is>
          <t>2026-09-10 16:30</t>
        </is>
      </c>
      <c r="AH72" s="26" t="inlineStr">
        <is>
          <t>Synthetic Care Gap charge; 10% below Athena allowed amount</t>
        </is>
      </c>
    </row>
    <row r="73">
      <c r="A73" s="26" t="inlineStr">
        <is>
          <t>OPD-CHG-0035-ATH</t>
        </is>
      </c>
      <c r="B73" s="26" t="inlineStr">
        <is>
          <t>OP-202600035-ATH</t>
        </is>
      </c>
      <c r="C73" s="26" t="inlineStr">
        <is>
          <t>CSN-OPD-780035-ATH</t>
        </is>
      </c>
      <c r="D73" s="26" t="inlineStr">
        <is>
          <t>Outpatient</t>
        </is>
      </c>
      <c r="E73" s="26" t="inlineStr">
        <is>
          <t>Demo Regional Medical Center</t>
        </is>
      </c>
      <c r="F73" s="26" t="inlineStr">
        <is>
          <t>Hospital Clinic</t>
        </is>
      </c>
      <c r="G73" s="26" t="inlineStr">
        <is>
          <t>2026-09-11</t>
        </is>
      </c>
      <c r="H73" s="26" t="inlineStr">
        <is>
          <t>CLINIC-L3</t>
        </is>
      </c>
      <c r="I73" s="26" t="inlineStr">
        <is>
          <t>Hospital Outpatient Clinic Visit Level 3</t>
        </is>
      </c>
      <c r="J73" s="26" t="inlineStr">
        <is>
          <t>0510</t>
        </is>
      </c>
      <c r="K73" s="26" t="inlineStr">
        <is>
          <t>99213</t>
        </is>
      </c>
      <c r="L73" s="26" t="n"/>
      <c r="M73" s="26" t="n">
        <v>1</v>
      </c>
      <c r="N73" s="13" t="n">
        <v>315</v>
      </c>
      <c r="O73" s="13">
        <f>M73*N73</f>
        <v/>
      </c>
      <c r="P73" s="13" t="n">
        <v>207.96</v>
      </c>
      <c r="Q73" s="13">
        <f>P73*20%</f>
        <v/>
      </c>
      <c r="R73" s="13">
        <f>O73-P73</f>
        <v/>
      </c>
      <c r="S73" s="26" t="inlineStr">
        <is>
          <t>Athena Health Insurance</t>
        </is>
      </c>
      <c r="T73" s="26" t="inlineStr">
        <is>
          <t>Athena PPO</t>
        </is>
      </c>
      <c r="U73" s="26" t="n"/>
      <c r="V73" s="26" t="inlineStr">
        <is>
          <t>Eleanor Brooks, MD</t>
        </is>
      </c>
      <c r="W73" s="26" t="inlineStr">
        <is>
          <t>Assigned Department Provider</t>
        </is>
      </c>
      <c r="X73" s="26" t="inlineStr">
        <is>
          <t>Ambulatory</t>
        </is>
      </c>
      <c r="Y73" s="26" t="inlineStr">
        <is>
          <t>Visit close</t>
        </is>
      </c>
      <c r="Z73" s="26" t="inlineStr">
        <is>
          <t>Posted</t>
        </is>
      </c>
      <c r="AA73" s="26" t="inlineStr">
        <is>
          <t>Matched</t>
        </is>
      </c>
      <c r="AB73" s="26" t="inlineStr">
        <is>
          <t>Passed</t>
        </is>
      </c>
      <c r="AC73" s="26" t="n"/>
      <c r="AD73" s="26" t="inlineStr">
        <is>
          <t>E/M documentation</t>
        </is>
      </c>
      <c r="AE73" s="26" t="inlineStr">
        <is>
          <t>E11.9</t>
        </is>
      </c>
      <c r="AF73" s="26" t="inlineStr">
        <is>
          <t>22</t>
        </is>
      </c>
      <c r="AG73" s="26" t="inlineStr">
        <is>
          <t>2026-09-11 16:30</t>
        </is>
      </c>
      <c r="AH73" s="26" t="inlineStr">
        <is>
          <t>Synthetic Athena negotiated charge</t>
        </is>
      </c>
    </row>
    <row r="74">
      <c r="A74" s="26" t="inlineStr">
        <is>
          <t>OPD-CHG-0035-CGH</t>
        </is>
      </c>
      <c r="B74" s="26" t="inlineStr">
        <is>
          <t>OP-202600035-CGH</t>
        </is>
      </c>
      <c r="C74" s="26" t="inlineStr">
        <is>
          <t>CSN-OPD-780035-CGH</t>
        </is>
      </c>
      <c r="D74" s="26" t="inlineStr">
        <is>
          <t>Outpatient</t>
        </is>
      </c>
      <c r="E74" s="26" t="inlineStr">
        <is>
          <t>Demo Regional Medical Center</t>
        </is>
      </c>
      <c r="F74" s="26" t="inlineStr">
        <is>
          <t>Hospital Clinic</t>
        </is>
      </c>
      <c r="G74" s="26" t="inlineStr">
        <is>
          <t>2026-09-11</t>
        </is>
      </c>
      <c r="H74" s="26" t="inlineStr">
        <is>
          <t>CLINIC-L3</t>
        </is>
      </c>
      <c r="I74" s="26" t="inlineStr">
        <is>
          <t>Hospital Outpatient Clinic Visit Level 3</t>
        </is>
      </c>
      <c r="J74" s="26" t="inlineStr">
        <is>
          <t>0510</t>
        </is>
      </c>
      <c r="K74" s="26" t="inlineStr">
        <is>
          <t>99213</t>
        </is>
      </c>
      <c r="L74" s="26" t="n"/>
      <c r="M74" s="26" t="n">
        <v>1</v>
      </c>
      <c r="N74" s="13" t="n">
        <v>315</v>
      </c>
      <c r="O74" s="13">
        <f>M74*N74</f>
        <v/>
      </c>
      <c r="P74" s="13" t="n">
        <v>187.16</v>
      </c>
      <c r="Q74" s="13">
        <f>P74*15%</f>
        <v/>
      </c>
      <c r="R74" s="13">
        <f>O74-P74</f>
        <v/>
      </c>
      <c r="S74" s="26" t="inlineStr">
        <is>
          <t>Care Gap Health</t>
        </is>
      </c>
      <c r="T74" s="26" t="inlineStr">
        <is>
          <t>Care Gap Value PPO</t>
        </is>
      </c>
      <c r="U74" s="26" t="n"/>
      <c r="V74" s="26" t="inlineStr">
        <is>
          <t>Eleanor Brooks, MD</t>
        </is>
      </c>
      <c r="W74" s="26" t="inlineStr">
        <is>
          <t>Assigned Department Provider</t>
        </is>
      </c>
      <c r="X74" s="26" t="inlineStr">
        <is>
          <t>Ambulatory</t>
        </is>
      </c>
      <c r="Y74" s="26" t="inlineStr">
        <is>
          <t>Visit close</t>
        </is>
      </c>
      <c r="Z74" s="26" t="inlineStr">
        <is>
          <t>Posted</t>
        </is>
      </c>
      <c r="AA74" s="26" t="inlineStr">
        <is>
          <t>Matched</t>
        </is>
      </c>
      <c r="AB74" s="26" t="inlineStr">
        <is>
          <t>Passed</t>
        </is>
      </c>
      <c r="AC74" s="26" t="n"/>
      <c r="AD74" s="26" t="inlineStr">
        <is>
          <t>E/M documentation</t>
        </is>
      </c>
      <c r="AE74" s="26" t="inlineStr">
        <is>
          <t>E11.9</t>
        </is>
      </c>
      <c r="AF74" s="26" t="inlineStr">
        <is>
          <t>22</t>
        </is>
      </c>
      <c r="AG74" s="26" t="inlineStr">
        <is>
          <t>2026-09-11 16:30</t>
        </is>
      </c>
      <c r="AH74" s="26" t="inlineStr">
        <is>
          <t>Synthetic Care Gap charge; 10% below Athena allowed amount</t>
        </is>
      </c>
    </row>
    <row r="75">
      <c r="A75" s="26" t="inlineStr">
        <is>
          <t>OPD-CHG-0036-ATH</t>
        </is>
      </c>
      <c r="B75" s="26" t="inlineStr">
        <is>
          <t>OP-202600036-ATH</t>
        </is>
      </c>
      <c r="C75" s="26" t="inlineStr">
        <is>
          <t>CSN-OPD-780036-ATH</t>
        </is>
      </c>
      <c r="D75" s="26" t="inlineStr">
        <is>
          <t>Outpatient</t>
        </is>
      </c>
      <c r="E75" s="26" t="inlineStr">
        <is>
          <t>Demo Regional Medical Center</t>
        </is>
      </c>
      <c r="F75" s="26" t="inlineStr">
        <is>
          <t>Hospital Clinic</t>
        </is>
      </c>
      <c r="G75" s="26" t="inlineStr">
        <is>
          <t>2026-09-12</t>
        </is>
      </c>
      <c r="H75" s="26" t="inlineStr">
        <is>
          <t>CLINIC-L4</t>
        </is>
      </c>
      <c r="I75" s="26" t="inlineStr">
        <is>
          <t>Hospital Outpatient Clinic Visit Level 4</t>
        </is>
      </c>
      <c r="J75" s="26" t="inlineStr">
        <is>
          <t>0510</t>
        </is>
      </c>
      <c r="K75" s="26" t="inlineStr">
        <is>
          <t>99214</t>
        </is>
      </c>
      <c r="L75" s="26" t="n"/>
      <c r="M75" s="26" t="n">
        <v>1</v>
      </c>
      <c r="N75" s="13" t="n">
        <v>410</v>
      </c>
      <c r="O75" s="13">
        <f>M75*N75</f>
        <v/>
      </c>
      <c r="P75" s="13" t="n">
        <v>185.64</v>
      </c>
      <c r="Q75" s="13">
        <f>P75*20%</f>
        <v/>
      </c>
      <c r="R75" s="13">
        <f>O75-P75</f>
        <v/>
      </c>
      <c r="S75" s="26" t="inlineStr">
        <is>
          <t>Athena Health Insurance</t>
        </is>
      </c>
      <c r="T75" s="26" t="inlineStr">
        <is>
          <t>Athena PPO</t>
        </is>
      </c>
      <c r="U75" s="26" t="n"/>
      <c r="V75" s="26" t="inlineStr">
        <is>
          <t>Eleanor Brooks, MD</t>
        </is>
      </c>
      <c r="W75" s="26" t="inlineStr">
        <is>
          <t>Assigned Department Provider</t>
        </is>
      </c>
      <c r="X75" s="26" t="inlineStr">
        <is>
          <t>Ambulatory</t>
        </is>
      </c>
      <c r="Y75" s="26" t="inlineStr">
        <is>
          <t>Visit close</t>
        </is>
      </c>
      <c r="Z75" s="26" t="inlineStr">
        <is>
          <t>Posted</t>
        </is>
      </c>
      <c r="AA75" s="26" t="inlineStr">
        <is>
          <t>Matched</t>
        </is>
      </c>
      <c r="AB75" s="26" t="inlineStr">
        <is>
          <t>Passed</t>
        </is>
      </c>
      <c r="AC75" s="26" t="n"/>
      <c r="AD75" s="26" t="inlineStr">
        <is>
          <t>E/M documentation</t>
        </is>
      </c>
      <c r="AE75" s="26" t="inlineStr">
        <is>
          <t>J45.40</t>
        </is>
      </c>
      <c r="AF75" s="26" t="inlineStr">
        <is>
          <t>22</t>
        </is>
      </c>
      <c r="AG75" s="26" t="inlineStr">
        <is>
          <t>2026-09-12 16:30</t>
        </is>
      </c>
      <c r="AH75" s="26" t="inlineStr">
        <is>
          <t>Synthetic Athena negotiated charge</t>
        </is>
      </c>
    </row>
    <row r="76">
      <c r="A76" s="26" t="inlineStr">
        <is>
          <t>OPD-CHG-0036-CGH</t>
        </is>
      </c>
      <c r="B76" s="26" t="inlineStr">
        <is>
          <t>OP-202600036-CGH</t>
        </is>
      </c>
      <c r="C76" s="26" t="inlineStr">
        <is>
          <t>CSN-OPD-780036-CGH</t>
        </is>
      </c>
      <c r="D76" s="26" t="inlineStr">
        <is>
          <t>Outpatient</t>
        </is>
      </c>
      <c r="E76" s="26" t="inlineStr">
        <is>
          <t>Demo Regional Medical Center</t>
        </is>
      </c>
      <c r="F76" s="26" t="inlineStr">
        <is>
          <t>Hospital Clinic</t>
        </is>
      </c>
      <c r="G76" s="26" t="inlineStr">
        <is>
          <t>2026-09-12</t>
        </is>
      </c>
      <c r="H76" s="26" t="inlineStr">
        <is>
          <t>CLINIC-L4</t>
        </is>
      </c>
      <c r="I76" s="26" t="inlineStr">
        <is>
          <t>Hospital Outpatient Clinic Visit Level 4</t>
        </is>
      </c>
      <c r="J76" s="26" t="inlineStr">
        <is>
          <t>0510</t>
        </is>
      </c>
      <c r="K76" s="26" t="inlineStr">
        <is>
          <t>99214</t>
        </is>
      </c>
      <c r="L76" s="26" t="n"/>
      <c r="M76" s="26" t="n">
        <v>1</v>
      </c>
      <c r="N76" s="13" t="n">
        <v>410</v>
      </c>
      <c r="O76" s="13">
        <f>M76*N76</f>
        <v/>
      </c>
      <c r="P76" s="13" t="n">
        <v>167.08</v>
      </c>
      <c r="Q76" s="13">
        <f>P76*15%</f>
        <v/>
      </c>
      <c r="R76" s="13">
        <f>O76-P76</f>
        <v/>
      </c>
      <c r="S76" s="26" t="inlineStr">
        <is>
          <t>Care Gap Health</t>
        </is>
      </c>
      <c r="T76" s="26" t="inlineStr">
        <is>
          <t>Care Gap Value PPO</t>
        </is>
      </c>
      <c r="U76" s="26" t="n"/>
      <c r="V76" s="26" t="inlineStr">
        <is>
          <t>Eleanor Brooks, MD</t>
        </is>
      </c>
      <c r="W76" s="26" t="inlineStr">
        <is>
          <t>Assigned Department Provider</t>
        </is>
      </c>
      <c r="X76" s="26" t="inlineStr">
        <is>
          <t>Ambulatory</t>
        </is>
      </c>
      <c r="Y76" s="26" t="inlineStr">
        <is>
          <t>Visit close</t>
        </is>
      </c>
      <c r="Z76" s="26" t="inlineStr">
        <is>
          <t>Posted</t>
        </is>
      </c>
      <c r="AA76" s="26" t="inlineStr">
        <is>
          <t>Matched</t>
        </is>
      </c>
      <c r="AB76" s="26" t="inlineStr">
        <is>
          <t>Passed</t>
        </is>
      </c>
      <c r="AC76" s="26" t="n"/>
      <c r="AD76" s="26" t="inlineStr">
        <is>
          <t>E/M documentation</t>
        </is>
      </c>
      <c r="AE76" s="26" t="inlineStr">
        <is>
          <t>J45.40</t>
        </is>
      </c>
      <c r="AF76" s="26" t="inlineStr">
        <is>
          <t>22</t>
        </is>
      </c>
      <c r="AG76" s="26" t="inlineStr">
        <is>
          <t>2026-09-12 16:30</t>
        </is>
      </c>
      <c r="AH76" s="26" t="inlineStr">
        <is>
          <t>Synthetic Care Gap charge; 10% below Athena allowed amount</t>
        </is>
      </c>
    </row>
    <row r="77">
      <c r="A77" s="26" t="inlineStr">
        <is>
          <t>OPD-CHG-0037-ATH</t>
        </is>
      </c>
      <c r="B77" s="26" t="inlineStr">
        <is>
          <t>OP-202600037-ATH</t>
        </is>
      </c>
      <c r="C77" s="26" t="inlineStr">
        <is>
          <t>CSN-OPD-780037-ATH</t>
        </is>
      </c>
      <c r="D77" s="26" t="inlineStr">
        <is>
          <t>Outpatient</t>
        </is>
      </c>
      <c r="E77" s="26" t="inlineStr">
        <is>
          <t>Demo Regional Medical Center</t>
        </is>
      </c>
      <c r="F77" s="26" t="inlineStr">
        <is>
          <t>Hospital Clinic</t>
        </is>
      </c>
      <c r="G77" s="26" t="inlineStr">
        <is>
          <t>2026-09-13</t>
        </is>
      </c>
      <c r="H77" s="26" t="inlineStr">
        <is>
          <t>CLINIC-L5</t>
        </is>
      </c>
      <c r="I77" s="26" t="inlineStr">
        <is>
          <t>Hospital Outpatient Clinic Visit Level 5</t>
        </is>
      </c>
      <c r="J77" s="26" t="inlineStr">
        <is>
          <t>0510</t>
        </is>
      </c>
      <c r="K77" s="26" t="inlineStr">
        <is>
          <t>99215</t>
        </is>
      </c>
      <c r="L77" s="26" t="n"/>
      <c r="M77" s="26" t="n">
        <v>1</v>
      </c>
      <c r="N77" s="13" t="n">
        <v>570</v>
      </c>
      <c r="O77" s="13">
        <f>M77*N77</f>
        <v/>
      </c>
      <c r="P77" s="13" t="n">
        <v>272.16</v>
      </c>
      <c r="Q77" s="13">
        <f>P77*20%</f>
        <v/>
      </c>
      <c r="R77" s="13">
        <f>O77-P77</f>
        <v/>
      </c>
      <c r="S77" s="26" t="inlineStr">
        <is>
          <t>Athena Health Insurance</t>
        </is>
      </c>
      <c r="T77" s="26" t="inlineStr">
        <is>
          <t>Athena PPO</t>
        </is>
      </c>
      <c r="U77" s="26" t="n"/>
      <c r="V77" s="26" t="inlineStr">
        <is>
          <t>Eleanor Brooks, MD</t>
        </is>
      </c>
      <c r="W77" s="26" t="inlineStr">
        <is>
          <t>Assigned Department Provider</t>
        </is>
      </c>
      <c r="X77" s="26" t="inlineStr">
        <is>
          <t>Ambulatory</t>
        </is>
      </c>
      <c r="Y77" s="26" t="inlineStr">
        <is>
          <t>Visit close</t>
        </is>
      </c>
      <c r="Z77" s="26" t="inlineStr">
        <is>
          <t>Posted</t>
        </is>
      </c>
      <c r="AA77" s="26" t="inlineStr">
        <is>
          <t>Matched</t>
        </is>
      </c>
      <c r="AB77" s="26" t="inlineStr">
        <is>
          <t>Passed</t>
        </is>
      </c>
      <c r="AC77" s="26" t="n"/>
      <c r="AD77" s="26" t="inlineStr">
        <is>
          <t>E/M documentation</t>
        </is>
      </c>
      <c r="AE77" s="26" t="inlineStr">
        <is>
          <t>I50.9</t>
        </is>
      </c>
      <c r="AF77" s="26" t="inlineStr">
        <is>
          <t>22</t>
        </is>
      </c>
      <c r="AG77" s="26" t="inlineStr">
        <is>
          <t>2026-09-13 16:30</t>
        </is>
      </c>
      <c r="AH77" s="26" t="inlineStr">
        <is>
          <t>Synthetic Athena negotiated charge</t>
        </is>
      </c>
    </row>
    <row r="78">
      <c r="A78" s="26" t="inlineStr">
        <is>
          <t>OPD-CHG-0037-CGH</t>
        </is>
      </c>
      <c r="B78" s="26" t="inlineStr">
        <is>
          <t>OP-202600037-CGH</t>
        </is>
      </c>
      <c r="C78" s="26" t="inlineStr">
        <is>
          <t>CSN-OPD-780037-CGH</t>
        </is>
      </c>
      <c r="D78" s="26" t="inlineStr">
        <is>
          <t>Outpatient</t>
        </is>
      </c>
      <c r="E78" s="26" t="inlineStr">
        <is>
          <t>Demo Regional Medical Center</t>
        </is>
      </c>
      <c r="F78" s="26" t="inlineStr">
        <is>
          <t>Hospital Clinic</t>
        </is>
      </c>
      <c r="G78" s="26" t="inlineStr">
        <is>
          <t>2026-09-13</t>
        </is>
      </c>
      <c r="H78" s="26" t="inlineStr">
        <is>
          <t>CLINIC-L5</t>
        </is>
      </c>
      <c r="I78" s="26" t="inlineStr">
        <is>
          <t>Hospital Outpatient Clinic Visit Level 5</t>
        </is>
      </c>
      <c r="J78" s="26" t="inlineStr">
        <is>
          <t>0510</t>
        </is>
      </c>
      <c r="K78" s="26" t="inlineStr">
        <is>
          <t>99215</t>
        </is>
      </c>
      <c r="L78" s="26" t="n"/>
      <c r="M78" s="26" t="n">
        <v>1</v>
      </c>
      <c r="N78" s="13" t="n">
        <v>570</v>
      </c>
      <c r="O78" s="13">
        <f>M78*N78</f>
        <v/>
      </c>
      <c r="P78" s="13" t="n">
        <v>244.94</v>
      </c>
      <c r="Q78" s="13">
        <f>P78*15%</f>
        <v/>
      </c>
      <c r="R78" s="13">
        <f>O78-P78</f>
        <v/>
      </c>
      <c r="S78" s="26" t="inlineStr">
        <is>
          <t>Care Gap Health</t>
        </is>
      </c>
      <c r="T78" s="26" t="inlineStr">
        <is>
          <t>Care Gap Value PPO</t>
        </is>
      </c>
      <c r="U78" s="26" t="n"/>
      <c r="V78" s="26" t="inlineStr">
        <is>
          <t>Eleanor Brooks, MD</t>
        </is>
      </c>
      <c r="W78" s="26" t="inlineStr">
        <is>
          <t>Assigned Department Provider</t>
        </is>
      </c>
      <c r="X78" s="26" t="inlineStr">
        <is>
          <t>Ambulatory</t>
        </is>
      </c>
      <c r="Y78" s="26" t="inlineStr">
        <is>
          <t>Visit close</t>
        </is>
      </c>
      <c r="Z78" s="26" t="inlineStr">
        <is>
          <t>Posted</t>
        </is>
      </c>
      <c r="AA78" s="26" t="inlineStr">
        <is>
          <t>Matched</t>
        </is>
      </c>
      <c r="AB78" s="26" t="inlineStr">
        <is>
          <t>Passed</t>
        </is>
      </c>
      <c r="AC78" s="26" t="n"/>
      <c r="AD78" s="26" t="inlineStr">
        <is>
          <t>E/M documentation</t>
        </is>
      </c>
      <c r="AE78" s="26" t="inlineStr">
        <is>
          <t>I50.9</t>
        </is>
      </c>
      <c r="AF78" s="26" t="inlineStr">
        <is>
          <t>22</t>
        </is>
      </c>
      <c r="AG78" s="26" t="inlineStr">
        <is>
          <t>2026-09-13 16:30</t>
        </is>
      </c>
      <c r="AH78" s="26" t="inlineStr">
        <is>
          <t>Synthetic Care Gap charge; 10% below Athena allowed amount</t>
        </is>
      </c>
    </row>
    <row r="79">
      <c r="A79" s="26" t="inlineStr">
        <is>
          <t>OPD-CHG-0038-ATH</t>
        </is>
      </c>
      <c r="B79" s="26" t="inlineStr">
        <is>
          <t>OP-202600038-ATH</t>
        </is>
      </c>
      <c r="C79" s="26" t="inlineStr">
        <is>
          <t>CSN-OPD-780038-ATH</t>
        </is>
      </c>
      <c r="D79" s="26" t="inlineStr">
        <is>
          <t>Outpatient</t>
        </is>
      </c>
      <c r="E79" s="26" t="inlineStr">
        <is>
          <t>Demo Regional Medical Center</t>
        </is>
      </c>
      <c r="F79" s="26" t="inlineStr">
        <is>
          <t>Radiology</t>
        </is>
      </c>
      <c r="G79" s="26" t="inlineStr">
        <is>
          <t>2026-09-14</t>
        </is>
      </c>
      <c r="H79" s="26" t="inlineStr">
        <is>
          <t>XR-CHEST-2V</t>
        </is>
      </c>
      <c r="I79" s="26" t="inlineStr">
        <is>
          <t>Chest X-ray, 2 Views</t>
        </is>
      </c>
      <c r="J79" s="26" t="inlineStr">
        <is>
          <t>0320</t>
        </is>
      </c>
      <c r="K79" s="26" t="inlineStr">
        <is>
          <t>71046</t>
        </is>
      </c>
      <c r="L79" s="26" t="n"/>
      <c r="M79" s="26" t="n">
        <v>1</v>
      </c>
      <c r="N79" s="13" t="n">
        <v>185</v>
      </c>
      <c r="O79" s="13">
        <f>M79*N79</f>
        <v/>
      </c>
      <c r="P79" s="13" t="n">
        <v>107.46</v>
      </c>
      <c r="Q79" s="13">
        <f>P79*20%</f>
        <v/>
      </c>
      <c r="R79" s="13">
        <f>O79-P79</f>
        <v/>
      </c>
      <c r="S79" s="26" t="inlineStr">
        <is>
          <t>Athena Health Insurance</t>
        </is>
      </c>
      <c r="T79" s="26" t="inlineStr">
        <is>
          <t>Athena PPO</t>
        </is>
      </c>
      <c r="U79" s="26" t="n"/>
      <c r="V79" s="26" t="inlineStr">
        <is>
          <t>Eleanor Brooks, MD</t>
        </is>
      </c>
      <c r="W79" s="26" t="inlineStr">
        <is>
          <t>Assigned Department Provider</t>
        </is>
      </c>
      <c r="X79" s="26" t="inlineStr">
        <is>
          <t>RIS/PACS</t>
        </is>
      </c>
      <c r="Y79" s="26" t="inlineStr">
        <is>
          <t>Exam completed</t>
        </is>
      </c>
      <c r="Z79" s="26" t="inlineStr">
        <is>
          <t>Posted</t>
        </is>
      </c>
      <c r="AA79" s="26" t="inlineStr">
        <is>
          <t>Matched</t>
        </is>
      </c>
      <c r="AB79" s="26" t="inlineStr">
        <is>
          <t>Passed</t>
        </is>
      </c>
      <c r="AC79" s="26" t="n"/>
      <c r="AD79" s="26" t="inlineStr">
        <is>
          <t>Diagnosis/LCD</t>
        </is>
      </c>
      <c r="AE79" s="26" t="inlineStr">
        <is>
          <t>R05.9</t>
        </is>
      </c>
      <c r="AF79" s="26" t="inlineStr">
        <is>
          <t>22</t>
        </is>
      </c>
      <c r="AG79" s="26" t="inlineStr">
        <is>
          <t>2026-09-14 16:30</t>
        </is>
      </c>
      <c r="AH79" s="26" t="inlineStr">
        <is>
          <t>Synthetic Athena negotiated charge</t>
        </is>
      </c>
    </row>
    <row r="80">
      <c r="A80" s="26" t="inlineStr">
        <is>
          <t>OPD-CHG-0038-CGH</t>
        </is>
      </c>
      <c r="B80" s="26" t="inlineStr">
        <is>
          <t>OP-202600038-CGH</t>
        </is>
      </c>
      <c r="C80" s="26" t="inlineStr">
        <is>
          <t>CSN-OPD-780038-CGH</t>
        </is>
      </c>
      <c r="D80" s="26" t="inlineStr">
        <is>
          <t>Outpatient</t>
        </is>
      </c>
      <c r="E80" s="26" t="inlineStr">
        <is>
          <t>Demo Regional Medical Center</t>
        </is>
      </c>
      <c r="F80" s="26" t="inlineStr">
        <is>
          <t>Radiology</t>
        </is>
      </c>
      <c r="G80" s="26" t="inlineStr">
        <is>
          <t>2026-09-14</t>
        </is>
      </c>
      <c r="H80" s="26" t="inlineStr">
        <is>
          <t>XR-CHEST-2V</t>
        </is>
      </c>
      <c r="I80" s="26" t="inlineStr">
        <is>
          <t>Chest X-ray, 2 Views</t>
        </is>
      </c>
      <c r="J80" s="26" t="inlineStr">
        <is>
          <t>0320</t>
        </is>
      </c>
      <c r="K80" s="26" t="inlineStr">
        <is>
          <t>71046</t>
        </is>
      </c>
      <c r="L80" s="26" t="n"/>
      <c r="M80" s="26" t="n">
        <v>1</v>
      </c>
      <c r="N80" s="13" t="n">
        <v>185</v>
      </c>
      <c r="O80" s="13">
        <f>M80*N80</f>
        <v/>
      </c>
      <c r="P80" s="13" t="n">
        <v>96.70999999999999</v>
      </c>
      <c r="Q80" s="13">
        <f>P80*15%</f>
        <v/>
      </c>
      <c r="R80" s="13">
        <f>O80-P80</f>
        <v/>
      </c>
      <c r="S80" s="26" t="inlineStr">
        <is>
          <t>Care Gap Health</t>
        </is>
      </c>
      <c r="T80" s="26" t="inlineStr">
        <is>
          <t>Care Gap Value PPO</t>
        </is>
      </c>
      <c r="U80" s="26" t="n"/>
      <c r="V80" s="26" t="inlineStr">
        <is>
          <t>Eleanor Brooks, MD</t>
        </is>
      </c>
      <c r="W80" s="26" t="inlineStr">
        <is>
          <t>Assigned Department Provider</t>
        </is>
      </c>
      <c r="X80" s="26" t="inlineStr">
        <is>
          <t>RIS/PACS</t>
        </is>
      </c>
      <c r="Y80" s="26" t="inlineStr">
        <is>
          <t>Exam completed</t>
        </is>
      </c>
      <c r="Z80" s="26" t="inlineStr">
        <is>
          <t>Posted</t>
        </is>
      </c>
      <c r="AA80" s="26" t="inlineStr">
        <is>
          <t>Matched</t>
        </is>
      </c>
      <c r="AB80" s="26" t="inlineStr">
        <is>
          <t>Passed</t>
        </is>
      </c>
      <c r="AC80" s="26" t="n"/>
      <c r="AD80" s="26" t="inlineStr">
        <is>
          <t>Diagnosis/LCD</t>
        </is>
      </c>
      <c r="AE80" s="26" t="inlineStr">
        <is>
          <t>R05.9</t>
        </is>
      </c>
      <c r="AF80" s="26" t="inlineStr">
        <is>
          <t>22</t>
        </is>
      </c>
      <c r="AG80" s="26" t="inlineStr">
        <is>
          <t>2026-09-14 16:30</t>
        </is>
      </c>
      <c r="AH80" s="26" t="inlineStr">
        <is>
          <t>Synthetic Care Gap charge; 10% below Athena allowed amount</t>
        </is>
      </c>
    </row>
    <row r="81">
      <c r="A81" s="26" t="inlineStr">
        <is>
          <t>OPD-CHG-0039-ATH</t>
        </is>
      </c>
      <c r="B81" s="26" t="inlineStr">
        <is>
          <t>OP-202600039-ATH</t>
        </is>
      </c>
      <c r="C81" s="26" t="inlineStr">
        <is>
          <t>CSN-OPD-780039-ATH</t>
        </is>
      </c>
      <c r="D81" s="26" t="inlineStr">
        <is>
          <t>Outpatient</t>
        </is>
      </c>
      <c r="E81" s="26" t="inlineStr">
        <is>
          <t>Demo Regional Medical Center</t>
        </is>
      </c>
      <c r="F81" s="26" t="inlineStr">
        <is>
          <t>Radiology</t>
        </is>
      </c>
      <c r="G81" s="26" t="inlineStr">
        <is>
          <t>2026-09-15</t>
        </is>
      </c>
      <c r="H81" s="26" t="inlineStr">
        <is>
          <t>CT-HEAD-WO</t>
        </is>
      </c>
      <c r="I81" s="26" t="inlineStr">
        <is>
          <t>CT Head Without Contrast</t>
        </is>
      </c>
      <c r="J81" s="26" t="inlineStr">
        <is>
          <t>0350</t>
        </is>
      </c>
      <c r="K81" s="26" t="inlineStr">
        <is>
          <t>70450</t>
        </is>
      </c>
      <c r="L81" s="26" t="n"/>
      <c r="M81" s="26" t="n">
        <v>1</v>
      </c>
      <c r="N81" s="13" t="n">
        <v>1900</v>
      </c>
      <c r="O81" s="13">
        <f>M81*N81</f>
        <v/>
      </c>
      <c r="P81" s="13" t="n">
        <v>877.9</v>
      </c>
      <c r="Q81" s="13">
        <f>P81*20%</f>
        <v/>
      </c>
      <c r="R81" s="13">
        <f>O81-P81</f>
        <v/>
      </c>
      <c r="S81" s="26" t="inlineStr">
        <is>
          <t>Athena Health Insurance</t>
        </is>
      </c>
      <c r="T81" s="26" t="inlineStr">
        <is>
          <t>Athena PPO</t>
        </is>
      </c>
      <c r="U81" s="26" t="inlineStr">
        <is>
          <t>AUTH-700039</t>
        </is>
      </c>
      <c r="V81" s="26" t="inlineStr">
        <is>
          <t>Eleanor Brooks, MD</t>
        </is>
      </c>
      <c r="W81" s="26" t="inlineStr">
        <is>
          <t>Assigned Department Provider</t>
        </is>
      </c>
      <c r="X81" s="26" t="inlineStr">
        <is>
          <t>RIS/PACS</t>
        </is>
      </c>
      <c r="Y81" s="26" t="inlineStr">
        <is>
          <t>Exam completed</t>
        </is>
      </c>
      <c r="Z81" s="26" t="inlineStr">
        <is>
          <t>Posted</t>
        </is>
      </c>
      <c r="AA81" s="26" t="inlineStr">
        <is>
          <t>Matched</t>
        </is>
      </c>
      <c r="AB81" s="26" t="inlineStr">
        <is>
          <t>Passed</t>
        </is>
      </c>
      <c r="AC81" s="26" t="n"/>
      <c r="AD81" s="26" t="inlineStr">
        <is>
          <t>Prior authorization</t>
        </is>
      </c>
      <c r="AE81" s="26" t="inlineStr">
        <is>
          <t>R51.9</t>
        </is>
      </c>
      <c r="AF81" s="26" t="inlineStr">
        <is>
          <t>22</t>
        </is>
      </c>
      <c r="AG81" s="26" t="inlineStr">
        <is>
          <t>2026-09-15 16:30</t>
        </is>
      </c>
      <c r="AH81" s="26" t="inlineStr">
        <is>
          <t>Synthetic Athena negotiated charge</t>
        </is>
      </c>
    </row>
    <row r="82">
      <c r="A82" s="26" t="inlineStr">
        <is>
          <t>OPD-CHG-0039-CGH</t>
        </is>
      </c>
      <c r="B82" s="26" t="inlineStr">
        <is>
          <t>OP-202600039-CGH</t>
        </is>
      </c>
      <c r="C82" s="26" t="inlineStr">
        <is>
          <t>CSN-OPD-780039-CGH</t>
        </is>
      </c>
      <c r="D82" s="26" t="inlineStr">
        <is>
          <t>Outpatient</t>
        </is>
      </c>
      <c r="E82" s="26" t="inlineStr">
        <is>
          <t>Demo Regional Medical Center</t>
        </is>
      </c>
      <c r="F82" s="26" t="inlineStr">
        <is>
          <t>Radiology</t>
        </is>
      </c>
      <c r="G82" s="26" t="inlineStr">
        <is>
          <t>2026-09-15</t>
        </is>
      </c>
      <c r="H82" s="26" t="inlineStr">
        <is>
          <t>CT-HEAD-WO</t>
        </is>
      </c>
      <c r="I82" s="26" t="inlineStr">
        <is>
          <t>CT Head Without Contrast</t>
        </is>
      </c>
      <c r="J82" s="26" t="inlineStr">
        <is>
          <t>0350</t>
        </is>
      </c>
      <c r="K82" s="26" t="inlineStr">
        <is>
          <t>70450</t>
        </is>
      </c>
      <c r="L82" s="26" t="n"/>
      <c r="M82" s="26" t="n">
        <v>1</v>
      </c>
      <c r="N82" s="13" t="n">
        <v>1900</v>
      </c>
      <c r="O82" s="13">
        <f>M82*N82</f>
        <v/>
      </c>
      <c r="P82" s="13" t="n">
        <v>790.11</v>
      </c>
      <c r="Q82" s="13">
        <f>P82*15%</f>
        <v/>
      </c>
      <c r="R82" s="13">
        <f>O82-P82</f>
        <v/>
      </c>
      <c r="S82" s="26" t="inlineStr">
        <is>
          <t>Care Gap Health</t>
        </is>
      </c>
      <c r="T82" s="26" t="inlineStr">
        <is>
          <t>Care Gap Value PPO</t>
        </is>
      </c>
      <c r="U82" s="26" t="inlineStr">
        <is>
          <t>AUTH-700039</t>
        </is>
      </c>
      <c r="V82" s="26" t="inlineStr">
        <is>
          <t>Eleanor Brooks, MD</t>
        </is>
      </c>
      <c r="W82" s="26" t="inlineStr">
        <is>
          <t>Assigned Department Provider</t>
        </is>
      </c>
      <c r="X82" s="26" t="inlineStr">
        <is>
          <t>RIS/PACS</t>
        </is>
      </c>
      <c r="Y82" s="26" t="inlineStr">
        <is>
          <t>Exam completed</t>
        </is>
      </c>
      <c r="Z82" s="26" t="inlineStr">
        <is>
          <t>Posted</t>
        </is>
      </c>
      <c r="AA82" s="26" t="inlineStr">
        <is>
          <t>Matched</t>
        </is>
      </c>
      <c r="AB82" s="26" t="inlineStr">
        <is>
          <t>Passed</t>
        </is>
      </c>
      <c r="AC82" s="26" t="n"/>
      <c r="AD82" s="26" t="inlineStr">
        <is>
          <t>Prior authorization</t>
        </is>
      </c>
      <c r="AE82" s="26" t="inlineStr">
        <is>
          <t>R51.9</t>
        </is>
      </c>
      <c r="AF82" s="26" t="inlineStr">
        <is>
          <t>22</t>
        </is>
      </c>
      <c r="AG82" s="26" t="inlineStr">
        <is>
          <t>2026-09-15 16:30</t>
        </is>
      </c>
      <c r="AH82" s="26" t="inlineStr">
        <is>
          <t>Synthetic Care Gap charge; 10% below Athena allowed amount</t>
        </is>
      </c>
    </row>
    <row r="83">
      <c r="A83" s="26" t="inlineStr">
        <is>
          <t>OPD-CHG-0040-ATH</t>
        </is>
      </c>
      <c r="B83" s="26" t="inlineStr">
        <is>
          <t>OP-202600040-ATH</t>
        </is>
      </c>
      <c r="C83" s="26" t="inlineStr">
        <is>
          <t>CSN-OPD-780040-ATH</t>
        </is>
      </c>
      <c r="D83" s="26" t="inlineStr">
        <is>
          <t>Outpatient</t>
        </is>
      </c>
      <c r="E83" s="26" t="inlineStr">
        <is>
          <t>Demo Regional Medical Center</t>
        </is>
      </c>
      <c r="F83" s="26" t="inlineStr">
        <is>
          <t>Radiology</t>
        </is>
      </c>
      <c r="G83" s="26" t="inlineStr">
        <is>
          <t>2026-09-16</t>
        </is>
      </c>
      <c r="H83" s="26" t="inlineStr">
        <is>
          <t>CT-CHEST-W</t>
        </is>
      </c>
      <c r="I83" s="26" t="inlineStr">
        <is>
          <t>CT Chest With Contrast</t>
        </is>
      </c>
      <c r="J83" s="26" t="inlineStr">
        <is>
          <t>0350</t>
        </is>
      </c>
      <c r="K83" s="26" t="inlineStr">
        <is>
          <t>71260</t>
        </is>
      </c>
      <c r="L83" s="26" t="n"/>
      <c r="M83" s="26" t="n">
        <v>1</v>
      </c>
      <c r="N83" s="13" t="n">
        <v>2500</v>
      </c>
      <c r="O83" s="13">
        <f>M83*N83</f>
        <v/>
      </c>
      <c r="P83" s="13" t="n">
        <v>1187.62</v>
      </c>
      <c r="Q83" s="13">
        <f>P83*20%</f>
        <v/>
      </c>
      <c r="R83" s="13">
        <f>O83-P83</f>
        <v/>
      </c>
      <c r="S83" s="26" t="inlineStr">
        <is>
          <t>Athena Health Insurance</t>
        </is>
      </c>
      <c r="T83" s="26" t="inlineStr">
        <is>
          <t>Athena PPO</t>
        </is>
      </c>
      <c r="U83" s="26" t="inlineStr">
        <is>
          <t>AUTH-700040</t>
        </is>
      </c>
      <c r="V83" s="26" t="inlineStr">
        <is>
          <t>Eleanor Brooks, MD</t>
        </is>
      </c>
      <c r="W83" s="26" t="inlineStr">
        <is>
          <t>Assigned Department Provider</t>
        </is>
      </c>
      <c r="X83" s="26" t="inlineStr">
        <is>
          <t>RIS/PACS</t>
        </is>
      </c>
      <c r="Y83" s="26" t="inlineStr">
        <is>
          <t>Exam completed</t>
        </is>
      </c>
      <c r="Z83" s="26" t="inlineStr">
        <is>
          <t>Posted</t>
        </is>
      </c>
      <c r="AA83" s="26" t="inlineStr">
        <is>
          <t>Matched</t>
        </is>
      </c>
      <c r="AB83" s="26" t="inlineStr">
        <is>
          <t>Passed</t>
        </is>
      </c>
      <c r="AC83" s="26" t="n"/>
      <c r="AD83" s="26" t="inlineStr">
        <is>
          <t>Prior authorization</t>
        </is>
      </c>
      <c r="AE83" s="26" t="inlineStr">
        <is>
          <t>R91.1</t>
        </is>
      </c>
      <c r="AF83" s="26" t="inlineStr">
        <is>
          <t>22</t>
        </is>
      </c>
      <c r="AG83" s="26" t="inlineStr">
        <is>
          <t>2026-09-16 16:30</t>
        </is>
      </c>
      <c r="AH83" s="26" t="inlineStr">
        <is>
          <t>Synthetic Athena negotiated charge</t>
        </is>
      </c>
    </row>
    <row r="84">
      <c r="A84" s="26" t="inlineStr">
        <is>
          <t>OPD-CHG-0040-CGH</t>
        </is>
      </c>
      <c r="B84" s="26" t="inlineStr">
        <is>
          <t>OP-202600040-CGH</t>
        </is>
      </c>
      <c r="C84" s="26" t="inlineStr">
        <is>
          <t>CSN-OPD-780040-CGH</t>
        </is>
      </c>
      <c r="D84" s="26" t="inlineStr">
        <is>
          <t>Outpatient</t>
        </is>
      </c>
      <c r="E84" s="26" t="inlineStr">
        <is>
          <t>Demo Regional Medical Center</t>
        </is>
      </c>
      <c r="F84" s="26" t="inlineStr">
        <is>
          <t>Radiology</t>
        </is>
      </c>
      <c r="G84" s="26" t="inlineStr">
        <is>
          <t>2026-09-16</t>
        </is>
      </c>
      <c r="H84" s="26" t="inlineStr">
        <is>
          <t>CT-CHEST-W</t>
        </is>
      </c>
      <c r="I84" s="26" t="inlineStr">
        <is>
          <t>CT Chest With Contrast</t>
        </is>
      </c>
      <c r="J84" s="26" t="inlineStr">
        <is>
          <t>0350</t>
        </is>
      </c>
      <c r="K84" s="26" t="inlineStr">
        <is>
          <t>71260</t>
        </is>
      </c>
      <c r="L84" s="26" t="n"/>
      <c r="M84" s="26" t="n">
        <v>1</v>
      </c>
      <c r="N84" s="13" t="n">
        <v>2500</v>
      </c>
      <c r="O84" s="13">
        <f>M84*N84</f>
        <v/>
      </c>
      <c r="P84" s="13" t="n">
        <v>1068.86</v>
      </c>
      <c r="Q84" s="13">
        <f>P84*15%</f>
        <v/>
      </c>
      <c r="R84" s="13">
        <f>O84-P84</f>
        <v/>
      </c>
      <c r="S84" s="26" t="inlineStr">
        <is>
          <t>Care Gap Health</t>
        </is>
      </c>
      <c r="T84" s="26" t="inlineStr">
        <is>
          <t>Care Gap Value PPO</t>
        </is>
      </c>
      <c r="U84" s="26" t="inlineStr">
        <is>
          <t>AUTH-700040</t>
        </is>
      </c>
      <c r="V84" s="26" t="inlineStr">
        <is>
          <t>Eleanor Brooks, MD</t>
        </is>
      </c>
      <c r="W84" s="26" t="inlineStr">
        <is>
          <t>Assigned Department Provider</t>
        </is>
      </c>
      <c r="X84" s="26" t="inlineStr">
        <is>
          <t>RIS/PACS</t>
        </is>
      </c>
      <c r="Y84" s="26" t="inlineStr">
        <is>
          <t>Exam completed</t>
        </is>
      </c>
      <c r="Z84" s="26" t="inlineStr">
        <is>
          <t>Posted</t>
        </is>
      </c>
      <c r="AA84" s="26" t="inlineStr">
        <is>
          <t>Matched</t>
        </is>
      </c>
      <c r="AB84" s="26" t="inlineStr">
        <is>
          <t>Passed</t>
        </is>
      </c>
      <c r="AC84" s="26" t="n"/>
      <c r="AD84" s="26" t="inlineStr">
        <is>
          <t>Prior authorization</t>
        </is>
      </c>
      <c r="AE84" s="26" t="inlineStr">
        <is>
          <t>R91.1</t>
        </is>
      </c>
      <c r="AF84" s="26" t="inlineStr">
        <is>
          <t>22</t>
        </is>
      </c>
      <c r="AG84" s="26" t="inlineStr">
        <is>
          <t>2026-09-16 16:30</t>
        </is>
      </c>
      <c r="AH84" s="26" t="inlineStr">
        <is>
          <t>Synthetic Care Gap charge; 10% below Athena allowed amount</t>
        </is>
      </c>
    </row>
    <row r="85">
      <c r="A85" s="26" t="inlineStr">
        <is>
          <t>OPD-CHG-0041-ATH</t>
        </is>
      </c>
      <c r="B85" s="26" t="inlineStr">
        <is>
          <t>OP-202600041-ATH</t>
        </is>
      </c>
      <c r="C85" s="26" t="inlineStr">
        <is>
          <t>CSN-OPD-780041-ATH</t>
        </is>
      </c>
      <c r="D85" s="26" t="inlineStr">
        <is>
          <t>Outpatient</t>
        </is>
      </c>
      <c r="E85" s="26" t="inlineStr">
        <is>
          <t>Demo Regional Medical Center</t>
        </is>
      </c>
      <c r="F85" s="26" t="inlineStr">
        <is>
          <t>Radiology</t>
        </is>
      </c>
      <c r="G85" s="26" t="inlineStr">
        <is>
          <t>2026-09-17</t>
        </is>
      </c>
      <c r="H85" s="26" t="inlineStr">
        <is>
          <t>MRI-BRAIN-WO</t>
        </is>
      </c>
      <c r="I85" s="26" t="inlineStr">
        <is>
          <t>MRI Brain Without Contrast</t>
        </is>
      </c>
      <c r="J85" s="26" t="inlineStr">
        <is>
          <t>0610</t>
        </is>
      </c>
      <c r="K85" s="26" t="inlineStr">
        <is>
          <t>70551</t>
        </is>
      </c>
      <c r="L85" s="26" t="n"/>
      <c r="M85" s="26" t="n">
        <v>1</v>
      </c>
      <c r="N85" s="13" t="n">
        <v>3250</v>
      </c>
      <c r="O85" s="13">
        <f>M85*N85</f>
        <v/>
      </c>
      <c r="P85" s="13" t="n">
        <v>1816.06</v>
      </c>
      <c r="Q85" s="13">
        <f>P85*20%</f>
        <v/>
      </c>
      <c r="R85" s="13">
        <f>O85-P85</f>
        <v/>
      </c>
      <c r="S85" s="26" t="inlineStr">
        <is>
          <t>Athena Health Insurance</t>
        </is>
      </c>
      <c r="T85" s="26" t="inlineStr">
        <is>
          <t>Athena PPO</t>
        </is>
      </c>
      <c r="U85" s="26" t="inlineStr">
        <is>
          <t>AUTH-700041</t>
        </is>
      </c>
      <c r="V85" s="26" t="inlineStr">
        <is>
          <t>Eleanor Brooks, MD</t>
        </is>
      </c>
      <c r="W85" s="26" t="inlineStr">
        <is>
          <t>Assigned Department Provider</t>
        </is>
      </c>
      <c r="X85" s="26" t="inlineStr">
        <is>
          <t>RIS/PACS</t>
        </is>
      </c>
      <c r="Y85" s="26" t="inlineStr">
        <is>
          <t>Exam completed</t>
        </is>
      </c>
      <c r="Z85" s="26" t="inlineStr">
        <is>
          <t>Posted</t>
        </is>
      </c>
      <c r="AA85" s="26" t="inlineStr">
        <is>
          <t>Matched</t>
        </is>
      </c>
      <c r="AB85" s="26" t="inlineStr">
        <is>
          <t>Passed</t>
        </is>
      </c>
      <c r="AC85" s="26" t="n"/>
      <c r="AD85" s="26" t="inlineStr">
        <is>
          <t>Prior authorization</t>
        </is>
      </c>
      <c r="AE85" s="26" t="inlineStr">
        <is>
          <t>G43.909</t>
        </is>
      </c>
      <c r="AF85" s="26" t="inlineStr">
        <is>
          <t>22</t>
        </is>
      </c>
      <c r="AG85" s="26" t="inlineStr">
        <is>
          <t>2026-09-17 16:30</t>
        </is>
      </c>
      <c r="AH85" s="26" t="inlineStr">
        <is>
          <t>Synthetic Athena negotiated charge</t>
        </is>
      </c>
    </row>
    <row r="86">
      <c r="A86" s="26" t="inlineStr">
        <is>
          <t>OPD-CHG-0041-CGH</t>
        </is>
      </c>
      <c r="B86" s="26" t="inlineStr">
        <is>
          <t>OP-202600041-CGH</t>
        </is>
      </c>
      <c r="C86" s="26" t="inlineStr">
        <is>
          <t>CSN-OPD-780041-CGH</t>
        </is>
      </c>
      <c r="D86" s="26" t="inlineStr">
        <is>
          <t>Outpatient</t>
        </is>
      </c>
      <c r="E86" s="26" t="inlineStr">
        <is>
          <t>Demo Regional Medical Center</t>
        </is>
      </c>
      <c r="F86" s="26" t="inlineStr">
        <is>
          <t>Radiology</t>
        </is>
      </c>
      <c r="G86" s="26" t="inlineStr">
        <is>
          <t>2026-09-17</t>
        </is>
      </c>
      <c r="H86" s="26" t="inlineStr">
        <is>
          <t>MRI-BRAIN-WO</t>
        </is>
      </c>
      <c r="I86" s="26" t="inlineStr">
        <is>
          <t>MRI Brain Without Contrast</t>
        </is>
      </c>
      <c r="J86" s="26" t="inlineStr">
        <is>
          <t>0610</t>
        </is>
      </c>
      <c r="K86" s="26" t="inlineStr">
        <is>
          <t>70551</t>
        </is>
      </c>
      <c r="L86" s="26" t="n"/>
      <c r="M86" s="26" t="n">
        <v>1</v>
      </c>
      <c r="N86" s="13" t="n">
        <v>3250</v>
      </c>
      <c r="O86" s="13">
        <f>M86*N86</f>
        <v/>
      </c>
      <c r="P86" s="13" t="n">
        <v>1634.45</v>
      </c>
      <c r="Q86" s="13">
        <f>P86*15%</f>
        <v/>
      </c>
      <c r="R86" s="13">
        <f>O86-P86</f>
        <v/>
      </c>
      <c r="S86" s="26" t="inlineStr">
        <is>
          <t>Care Gap Health</t>
        </is>
      </c>
      <c r="T86" s="26" t="inlineStr">
        <is>
          <t>Care Gap Value PPO</t>
        </is>
      </c>
      <c r="U86" s="26" t="inlineStr">
        <is>
          <t>AUTH-700041</t>
        </is>
      </c>
      <c r="V86" s="26" t="inlineStr">
        <is>
          <t>Eleanor Brooks, MD</t>
        </is>
      </c>
      <c r="W86" s="26" t="inlineStr">
        <is>
          <t>Assigned Department Provider</t>
        </is>
      </c>
      <c r="X86" s="26" t="inlineStr">
        <is>
          <t>RIS/PACS</t>
        </is>
      </c>
      <c r="Y86" s="26" t="inlineStr">
        <is>
          <t>Exam completed</t>
        </is>
      </c>
      <c r="Z86" s="26" t="inlineStr">
        <is>
          <t>Posted</t>
        </is>
      </c>
      <c r="AA86" s="26" t="inlineStr">
        <is>
          <t>Matched</t>
        </is>
      </c>
      <c r="AB86" s="26" t="inlineStr">
        <is>
          <t>Passed</t>
        </is>
      </c>
      <c r="AC86" s="26" t="n"/>
      <c r="AD86" s="26" t="inlineStr">
        <is>
          <t>Prior authorization</t>
        </is>
      </c>
      <c r="AE86" s="26" t="inlineStr">
        <is>
          <t>G43.909</t>
        </is>
      </c>
      <c r="AF86" s="26" t="inlineStr">
        <is>
          <t>22</t>
        </is>
      </c>
      <c r="AG86" s="26" t="inlineStr">
        <is>
          <t>2026-09-17 16:30</t>
        </is>
      </c>
      <c r="AH86" s="26" t="inlineStr">
        <is>
          <t>Synthetic Care Gap charge; 10% below Athena allowed amount</t>
        </is>
      </c>
    </row>
    <row r="87">
      <c r="A87" s="26" t="inlineStr">
        <is>
          <t>OPD-CHG-0042-ATH</t>
        </is>
      </c>
      <c r="B87" s="26" t="inlineStr">
        <is>
          <t>OP-202600042-ATH</t>
        </is>
      </c>
      <c r="C87" s="26" t="inlineStr">
        <is>
          <t>CSN-OPD-780042-ATH</t>
        </is>
      </c>
      <c r="D87" s="26" t="inlineStr">
        <is>
          <t>Outpatient</t>
        </is>
      </c>
      <c r="E87" s="26" t="inlineStr">
        <is>
          <t>Demo Regional Medical Center</t>
        </is>
      </c>
      <c r="F87" s="26" t="inlineStr">
        <is>
          <t>Radiology</t>
        </is>
      </c>
      <c r="G87" s="26" t="inlineStr">
        <is>
          <t>2026-09-18</t>
        </is>
      </c>
      <c r="H87" s="26" t="inlineStr">
        <is>
          <t>US-ABD-COMP</t>
        </is>
      </c>
      <c r="I87" s="26" t="inlineStr">
        <is>
          <t>Ultrasound Abdomen Complete</t>
        </is>
      </c>
      <c r="J87" s="26" t="inlineStr">
        <is>
          <t>0402</t>
        </is>
      </c>
      <c r="K87" s="26" t="inlineStr">
        <is>
          <t>76700</t>
        </is>
      </c>
      <c r="L87" s="26" t="n"/>
      <c r="M87" s="26" t="n">
        <v>1</v>
      </c>
      <c r="N87" s="13" t="n">
        <v>875</v>
      </c>
      <c r="O87" s="13">
        <f>M87*N87</f>
        <v/>
      </c>
      <c r="P87" s="13" t="n">
        <v>597.05</v>
      </c>
      <c r="Q87" s="13">
        <f>P87*20%</f>
        <v/>
      </c>
      <c r="R87" s="13">
        <f>O87-P87</f>
        <v/>
      </c>
      <c r="S87" s="26" t="inlineStr">
        <is>
          <t>Athena Health Insurance</t>
        </is>
      </c>
      <c r="T87" s="26" t="inlineStr">
        <is>
          <t>Athena PPO</t>
        </is>
      </c>
      <c r="U87" s="26" t="n"/>
      <c r="V87" s="26" t="inlineStr">
        <is>
          <t>Eleanor Brooks, MD</t>
        </is>
      </c>
      <c r="W87" s="26" t="inlineStr">
        <is>
          <t>Assigned Department Provider</t>
        </is>
      </c>
      <c r="X87" s="26" t="inlineStr">
        <is>
          <t>RIS/PACS</t>
        </is>
      </c>
      <c r="Y87" s="26" t="inlineStr">
        <is>
          <t>Exam completed</t>
        </is>
      </c>
      <c r="Z87" s="26" t="inlineStr">
        <is>
          <t>Posted</t>
        </is>
      </c>
      <c r="AA87" s="26" t="inlineStr">
        <is>
          <t>Matched</t>
        </is>
      </c>
      <c r="AB87" s="26" t="inlineStr">
        <is>
          <t>Passed</t>
        </is>
      </c>
      <c r="AC87" s="26" t="n"/>
      <c r="AD87" s="26" t="inlineStr">
        <is>
          <t>Diagnosis/LCD</t>
        </is>
      </c>
      <c r="AE87" s="26" t="inlineStr">
        <is>
          <t>R10.84</t>
        </is>
      </c>
      <c r="AF87" s="26" t="inlineStr">
        <is>
          <t>22</t>
        </is>
      </c>
      <c r="AG87" s="26" t="inlineStr">
        <is>
          <t>2026-09-18 16:30</t>
        </is>
      </c>
      <c r="AH87" s="26" t="inlineStr">
        <is>
          <t>Synthetic Athena negotiated charge</t>
        </is>
      </c>
    </row>
    <row r="88">
      <c r="A88" s="26" t="inlineStr">
        <is>
          <t>OPD-CHG-0042-CGH</t>
        </is>
      </c>
      <c r="B88" s="26" t="inlineStr">
        <is>
          <t>OP-202600042-CGH</t>
        </is>
      </c>
      <c r="C88" s="26" t="inlineStr">
        <is>
          <t>CSN-OPD-780042-CGH</t>
        </is>
      </c>
      <c r="D88" s="26" t="inlineStr">
        <is>
          <t>Outpatient</t>
        </is>
      </c>
      <c r="E88" s="26" t="inlineStr">
        <is>
          <t>Demo Regional Medical Center</t>
        </is>
      </c>
      <c r="F88" s="26" t="inlineStr">
        <is>
          <t>Radiology</t>
        </is>
      </c>
      <c r="G88" s="26" t="inlineStr">
        <is>
          <t>2026-09-18</t>
        </is>
      </c>
      <c r="H88" s="26" t="inlineStr">
        <is>
          <t>US-ABD-COMP</t>
        </is>
      </c>
      <c r="I88" s="26" t="inlineStr">
        <is>
          <t>Ultrasound Abdomen Complete</t>
        </is>
      </c>
      <c r="J88" s="26" t="inlineStr">
        <is>
          <t>0402</t>
        </is>
      </c>
      <c r="K88" s="26" t="inlineStr">
        <is>
          <t>76700</t>
        </is>
      </c>
      <c r="L88" s="26" t="n"/>
      <c r="M88" s="26" t="n">
        <v>1</v>
      </c>
      <c r="N88" s="13" t="n">
        <v>875</v>
      </c>
      <c r="O88" s="13">
        <f>M88*N88</f>
        <v/>
      </c>
      <c r="P88" s="13" t="n">
        <v>537.35</v>
      </c>
      <c r="Q88" s="13">
        <f>P88*15%</f>
        <v/>
      </c>
      <c r="R88" s="13">
        <f>O88-P88</f>
        <v/>
      </c>
      <c r="S88" s="26" t="inlineStr">
        <is>
          <t>Care Gap Health</t>
        </is>
      </c>
      <c r="T88" s="26" t="inlineStr">
        <is>
          <t>Care Gap Value PPO</t>
        </is>
      </c>
      <c r="U88" s="26" t="n"/>
      <c r="V88" s="26" t="inlineStr">
        <is>
          <t>Eleanor Brooks, MD</t>
        </is>
      </c>
      <c r="W88" s="26" t="inlineStr">
        <is>
          <t>Assigned Department Provider</t>
        </is>
      </c>
      <c r="X88" s="26" t="inlineStr">
        <is>
          <t>RIS/PACS</t>
        </is>
      </c>
      <c r="Y88" s="26" t="inlineStr">
        <is>
          <t>Exam completed</t>
        </is>
      </c>
      <c r="Z88" s="26" t="inlineStr">
        <is>
          <t>Posted</t>
        </is>
      </c>
      <c r="AA88" s="26" t="inlineStr">
        <is>
          <t>Matched</t>
        </is>
      </c>
      <c r="AB88" s="26" t="inlineStr">
        <is>
          <t>Passed</t>
        </is>
      </c>
      <c r="AC88" s="26" t="n"/>
      <c r="AD88" s="26" t="inlineStr">
        <is>
          <t>Diagnosis/LCD</t>
        </is>
      </c>
      <c r="AE88" s="26" t="inlineStr">
        <is>
          <t>R10.84</t>
        </is>
      </c>
      <c r="AF88" s="26" t="inlineStr">
        <is>
          <t>22</t>
        </is>
      </c>
      <c r="AG88" s="26" t="inlineStr">
        <is>
          <t>2026-09-18 16:30</t>
        </is>
      </c>
      <c r="AH88" s="26" t="inlineStr">
        <is>
          <t>Synthetic Care Gap charge; 10% below Athena allowed amount</t>
        </is>
      </c>
    </row>
    <row r="89">
      <c r="A89" s="26" t="inlineStr">
        <is>
          <t>OPD-CHG-0043-ATH</t>
        </is>
      </c>
      <c r="B89" s="26" t="inlineStr">
        <is>
          <t>OP-202600043-ATH</t>
        </is>
      </c>
      <c r="C89" s="26" t="inlineStr">
        <is>
          <t>CSN-OPD-780043-ATH</t>
        </is>
      </c>
      <c r="D89" s="26" t="inlineStr">
        <is>
          <t>Outpatient</t>
        </is>
      </c>
      <c r="E89" s="26" t="inlineStr">
        <is>
          <t>Demo Regional Medical Center</t>
        </is>
      </c>
      <c r="F89" s="26" t="inlineStr">
        <is>
          <t>Mammography</t>
        </is>
      </c>
      <c r="G89" s="26" t="inlineStr">
        <is>
          <t>2026-09-19</t>
        </is>
      </c>
      <c r="H89" s="26" t="inlineStr">
        <is>
          <t>MAMMO-SCREEN</t>
        </is>
      </c>
      <c r="I89" s="26" t="inlineStr">
        <is>
          <t>Screening Mammography, Bilateral</t>
        </is>
      </c>
      <c r="J89" s="26" t="inlineStr">
        <is>
          <t>0403</t>
        </is>
      </c>
      <c r="K89" s="26" t="inlineStr">
        <is>
          <t>77067</t>
        </is>
      </c>
      <c r="L89" s="26" t="n"/>
      <c r="M89" s="26" t="n">
        <v>1</v>
      </c>
      <c r="N89" s="13" t="n">
        <v>535</v>
      </c>
      <c r="O89" s="13">
        <f>M89*N89</f>
        <v/>
      </c>
      <c r="P89" s="13" t="n">
        <v>236.8</v>
      </c>
      <c r="Q89" s="13">
        <f>P89*20%</f>
        <v/>
      </c>
      <c r="R89" s="13">
        <f>O89-P89</f>
        <v/>
      </c>
      <c r="S89" s="26" t="inlineStr">
        <is>
          <t>Athena Health Insurance</t>
        </is>
      </c>
      <c r="T89" s="26" t="inlineStr">
        <is>
          <t>Athena PPO</t>
        </is>
      </c>
      <c r="U89" s="26" t="n"/>
      <c r="V89" s="26" t="inlineStr">
        <is>
          <t>Eleanor Brooks, MD</t>
        </is>
      </c>
      <c r="W89" s="26" t="inlineStr">
        <is>
          <t>Assigned Department Provider</t>
        </is>
      </c>
      <c r="X89" s="26" t="inlineStr">
        <is>
          <t>RIS/PACS</t>
        </is>
      </c>
      <c r="Y89" s="26" t="inlineStr">
        <is>
          <t>Exam completed</t>
        </is>
      </c>
      <c r="Z89" s="26" t="inlineStr">
        <is>
          <t>Posted</t>
        </is>
      </c>
      <c r="AA89" s="26" t="inlineStr">
        <is>
          <t>Matched</t>
        </is>
      </c>
      <c r="AB89" s="26" t="inlineStr">
        <is>
          <t>Passed</t>
        </is>
      </c>
      <c r="AC89" s="26" t="n"/>
      <c r="AD89" s="26" t="inlineStr">
        <is>
          <t>Preventive rule</t>
        </is>
      </c>
      <c r="AE89" s="26" t="inlineStr">
        <is>
          <t>Z12.31</t>
        </is>
      </c>
      <c r="AF89" s="26" t="inlineStr">
        <is>
          <t>22</t>
        </is>
      </c>
      <c r="AG89" s="26" t="inlineStr">
        <is>
          <t>2026-09-19 16:30</t>
        </is>
      </c>
      <c r="AH89" s="26" t="inlineStr">
        <is>
          <t>Synthetic Athena negotiated charge</t>
        </is>
      </c>
    </row>
    <row r="90">
      <c r="A90" s="26" t="inlineStr">
        <is>
          <t>OPD-CHG-0043-CGH</t>
        </is>
      </c>
      <c r="B90" s="26" t="inlineStr">
        <is>
          <t>OP-202600043-CGH</t>
        </is>
      </c>
      <c r="C90" s="26" t="inlineStr">
        <is>
          <t>CSN-OPD-780043-CGH</t>
        </is>
      </c>
      <c r="D90" s="26" t="inlineStr">
        <is>
          <t>Outpatient</t>
        </is>
      </c>
      <c r="E90" s="26" t="inlineStr">
        <is>
          <t>Demo Regional Medical Center</t>
        </is>
      </c>
      <c r="F90" s="26" t="inlineStr">
        <is>
          <t>Mammography</t>
        </is>
      </c>
      <c r="G90" s="26" t="inlineStr">
        <is>
          <t>2026-09-19</t>
        </is>
      </c>
      <c r="H90" s="26" t="inlineStr">
        <is>
          <t>MAMMO-SCREEN</t>
        </is>
      </c>
      <c r="I90" s="26" t="inlineStr">
        <is>
          <t>Screening Mammography, Bilateral</t>
        </is>
      </c>
      <c r="J90" s="26" t="inlineStr">
        <is>
          <t>0403</t>
        </is>
      </c>
      <c r="K90" s="26" t="inlineStr">
        <is>
          <t>77067</t>
        </is>
      </c>
      <c r="L90" s="26" t="n"/>
      <c r="M90" s="26" t="n">
        <v>1</v>
      </c>
      <c r="N90" s="13" t="n">
        <v>535</v>
      </c>
      <c r="O90" s="13">
        <f>M90*N90</f>
        <v/>
      </c>
      <c r="P90" s="13" t="n">
        <v>213.12</v>
      </c>
      <c r="Q90" s="13">
        <f>P90*15%</f>
        <v/>
      </c>
      <c r="R90" s="13">
        <f>O90-P90</f>
        <v/>
      </c>
      <c r="S90" s="26" t="inlineStr">
        <is>
          <t>Care Gap Health</t>
        </is>
      </c>
      <c r="T90" s="26" t="inlineStr">
        <is>
          <t>Care Gap Value PPO</t>
        </is>
      </c>
      <c r="U90" s="26" t="n"/>
      <c r="V90" s="26" t="inlineStr">
        <is>
          <t>Eleanor Brooks, MD</t>
        </is>
      </c>
      <c r="W90" s="26" t="inlineStr">
        <is>
          <t>Assigned Department Provider</t>
        </is>
      </c>
      <c r="X90" s="26" t="inlineStr">
        <is>
          <t>RIS/PACS</t>
        </is>
      </c>
      <c r="Y90" s="26" t="inlineStr">
        <is>
          <t>Exam completed</t>
        </is>
      </c>
      <c r="Z90" s="26" t="inlineStr">
        <is>
          <t>Posted</t>
        </is>
      </c>
      <c r="AA90" s="26" t="inlineStr">
        <is>
          <t>Matched</t>
        </is>
      </c>
      <c r="AB90" s="26" t="inlineStr">
        <is>
          <t>Passed</t>
        </is>
      </c>
      <c r="AC90" s="26" t="n"/>
      <c r="AD90" s="26" t="inlineStr">
        <is>
          <t>Preventive rule</t>
        </is>
      </c>
      <c r="AE90" s="26" t="inlineStr">
        <is>
          <t>Z12.31</t>
        </is>
      </c>
      <c r="AF90" s="26" t="inlineStr">
        <is>
          <t>22</t>
        </is>
      </c>
      <c r="AG90" s="26" t="inlineStr">
        <is>
          <t>2026-09-19 16:30</t>
        </is>
      </c>
      <c r="AH90" s="26" t="inlineStr">
        <is>
          <t>Synthetic Care Gap charge; 10% below Athena allowed amount</t>
        </is>
      </c>
    </row>
    <row r="91">
      <c r="A91" s="26" t="inlineStr">
        <is>
          <t>OPD-CHG-0044-ATH</t>
        </is>
      </c>
      <c r="B91" s="26" t="inlineStr">
        <is>
          <t>OP-202600044-ATH</t>
        </is>
      </c>
      <c r="C91" s="26" t="inlineStr">
        <is>
          <t>CSN-OPD-780044-ATH</t>
        </is>
      </c>
      <c r="D91" s="26" t="inlineStr">
        <is>
          <t>Outpatient</t>
        </is>
      </c>
      <c r="E91" s="26" t="inlineStr">
        <is>
          <t>Demo Regional Medical Center</t>
        </is>
      </c>
      <c r="F91" s="26" t="inlineStr">
        <is>
          <t>Laboratory</t>
        </is>
      </c>
      <c r="G91" s="26" t="inlineStr">
        <is>
          <t>2026-09-20</t>
        </is>
      </c>
      <c r="H91" s="26" t="inlineStr">
        <is>
          <t>CBC-OP</t>
        </is>
      </c>
      <c r="I91" s="26" t="inlineStr">
        <is>
          <t>Complete Blood Count with Differential</t>
        </is>
      </c>
      <c r="J91" s="26" t="inlineStr">
        <is>
          <t>0300</t>
        </is>
      </c>
      <c r="K91" s="26" t="inlineStr">
        <is>
          <t>85025</t>
        </is>
      </c>
      <c r="L91" s="26" t="n"/>
      <c r="M91" s="26" t="n">
        <v>1</v>
      </c>
      <c r="N91" s="13" t="n">
        <v>155</v>
      </c>
      <c r="O91" s="13">
        <f>M91*N91</f>
        <v/>
      </c>
      <c r="P91" s="13" t="n">
        <v>102.67</v>
      </c>
      <c r="Q91" s="13">
        <f>P91*20%</f>
        <v/>
      </c>
      <c r="R91" s="13">
        <f>O91-P91</f>
        <v/>
      </c>
      <c r="S91" s="26" t="inlineStr">
        <is>
          <t>Athena Health Insurance</t>
        </is>
      </c>
      <c r="T91" s="26" t="inlineStr">
        <is>
          <t>Athena PPO</t>
        </is>
      </c>
      <c r="U91" s="26" t="n"/>
      <c r="V91" s="26" t="inlineStr">
        <is>
          <t>Eleanor Brooks, MD</t>
        </is>
      </c>
      <c r="W91" s="26" t="inlineStr">
        <is>
          <t>Assigned Department Provider</t>
        </is>
      </c>
      <c r="X91" s="26" t="inlineStr">
        <is>
          <t>LIS</t>
        </is>
      </c>
      <c r="Y91" s="26" t="inlineStr">
        <is>
          <t>Final result</t>
        </is>
      </c>
      <c r="Z91" s="26" t="inlineStr">
        <is>
          <t>Posted</t>
        </is>
      </c>
      <c r="AA91" s="26" t="inlineStr">
        <is>
          <t>Matched</t>
        </is>
      </c>
      <c r="AB91" s="26" t="inlineStr">
        <is>
          <t>Passed</t>
        </is>
      </c>
      <c r="AC91" s="26" t="n"/>
      <c r="AD91" s="26" t="inlineStr">
        <is>
          <t>Diagnosis/LCD</t>
        </is>
      </c>
      <c r="AE91" s="26" t="inlineStr">
        <is>
          <t>R53.83</t>
        </is>
      </c>
      <c r="AF91" s="26" t="inlineStr">
        <is>
          <t>22</t>
        </is>
      </c>
      <c r="AG91" s="26" t="inlineStr">
        <is>
          <t>2026-09-20 16:30</t>
        </is>
      </c>
      <c r="AH91" s="26" t="inlineStr">
        <is>
          <t>Synthetic Athena negotiated charge</t>
        </is>
      </c>
    </row>
    <row r="92">
      <c r="A92" s="26" t="inlineStr">
        <is>
          <t>OPD-CHG-0044-CGH</t>
        </is>
      </c>
      <c r="B92" s="26" t="inlineStr">
        <is>
          <t>OP-202600044-CGH</t>
        </is>
      </c>
      <c r="C92" s="26" t="inlineStr">
        <is>
          <t>CSN-OPD-780044-CGH</t>
        </is>
      </c>
      <c r="D92" s="26" t="inlineStr">
        <is>
          <t>Outpatient</t>
        </is>
      </c>
      <c r="E92" s="26" t="inlineStr">
        <is>
          <t>Demo Regional Medical Center</t>
        </is>
      </c>
      <c r="F92" s="26" t="inlineStr">
        <is>
          <t>Laboratory</t>
        </is>
      </c>
      <c r="G92" s="26" t="inlineStr">
        <is>
          <t>2026-09-20</t>
        </is>
      </c>
      <c r="H92" s="26" t="inlineStr">
        <is>
          <t>CBC-OP</t>
        </is>
      </c>
      <c r="I92" s="26" t="inlineStr">
        <is>
          <t>Complete Blood Count with Differential</t>
        </is>
      </c>
      <c r="J92" s="26" t="inlineStr">
        <is>
          <t>0300</t>
        </is>
      </c>
      <c r="K92" s="26" t="inlineStr">
        <is>
          <t>85025</t>
        </is>
      </c>
      <c r="L92" s="26" t="n"/>
      <c r="M92" s="26" t="n">
        <v>1</v>
      </c>
      <c r="N92" s="13" t="n">
        <v>155</v>
      </c>
      <c r="O92" s="13">
        <f>M92*N92</f>
        <v/>
      </c>
      <c r="P92" s="13" t="n">
        <v>92.40000000000001</v>
      </c>
      <c r="Q92" s="13">
        <f>P92*15%</f>
        <v/>
      </c>
      <c r="R92" s="13">
        <f>O92-P92</f>
        <v/>
      </c>
      <c r="S92" s="26" t="inlineStr">
        <is>
          <t>Care Gap Health</t>
        </is>
      </c>
      <c r="T92" s="26" t="inlineStr">
        <is>
          <t>Care Gap Value PPO</t>
        </is>
      </c>
      <c r="U92" s="26" t="n"/>
      <c r="V92" s="26" t="inlineStr">
        <is>
          <t>Eleanor Brooks, MD</t>
        </is>
      </c>
      <c r="W92" s="26" t="inlineStr">
        <is>
          <t>Assigned Department Provider</t>
        </is>
      </c>
      <c r="X92" s="26" t="inlineStr">
        <is>
          <t>LIS</t>
        </is>
      </c>
      <c r="Y92" s="26" t="inlineStr">
        <is>
          <t>Final result</t>
        </is>
      </c>
      <c r="Z92" s="26" t="inlineStr">
        <is>
          <t>Posted</t>
        </is>
      </c>
      <c r="AA92" s="26" t="inlineStr">
        <is>
          <t>Matched</t>
        </is>
      </c>
      <c r="AB92" s="26" t="inlineStr">
        <is>
          <t>Passed</t>
        </is>
      </c>
      <c r="AC92" s="26" t="n"/>
      <c r="AD92" s="26" t="inlineStr">
        <is>
          <t>Diagnosis/LCD</t>
        </is>
      </c>
      <c r="AE92" s="26" t="inlineStr">
        <is>
          <t>R53.83</t>
        </is>
      </c>
      <c r="AF92" s="26" t="inlineStr">
        <is>
          <t>22</t>
        </is>
      </c>
      <c r="AG92" s="26" t="inlineStr">
        <is>
          <t>2026-09-20 16:30</t>
        </is>
      </c>
      <c r="AH92" s="26" t="inlineStr">
        <is>
          <t>Synthetic Care Gap charge; 10% below Athena allowed amount</t>
        </is>
      </c>
    </row>
    <row r="93">
      <c r="A93" s="26" t="inlineStr">
        <is>
          <t>OPD-CHG-0045-ATH</t>
        </is>
      </c>
      <c r="B93" s="26" t="inlineStr">
        <is>
          <t>OP-202600045-ATH</t>
        </is>
      </c>
      <c r="C93" s="26" t="inlineStr">
        <is>
          <t>CSN-OPD-780045-ATH</t>
        </is>
      </c>
      <c r="D93" s="26" t="inlineStr">
        <is>
          <t>Outpatient</t>
        </is>
      </c>
      <c r="E93" s="26" t="inlineStr">
        <is>
          <t>Demo Regional Medical Center</t>
        </is>
      </c>
      <c r="F93" s="26" t="inlineStr">
        <is>
          <t>Laboratory</t>
        </is>
      </c>
      <c r="G93" s="26" t="inlineStr">
        <is>
          <t>2026-09-21</t>
        </is>
      </c>
      <c r="H93" s="26" t="inlineStr">
        <is>
          <t>BMP-OP</t>
        </is>
      </c>
      <c r="I93" s="26" t="inlineStr">
        <is>
          <t>Basic Metabolic Panel</t>
        </is>
      </c>
      <c r="J93" s="26" t="inlineStr">
        <is>
          <t>0301</t>
        </is>
      </c>
      <c r="K93" s="26" t="inlineStr">
        <is>
          <t>80048</t>
        </is>
      </c>
      <c r="L93" s="26" t="n"/>
      <c r="M93" s="26" t="n">
        <v>1</v>
      </c>
      <c r="N93" s="13" t="n">
        <v>185</v>
      </c>
      <c r="O93" s="13">
        <f>M93*N93</f>
        <v/>
      </c>
      <c r="P93" s="13" t="n">
        <v>125.21</v>
      </c>
      <c r="Q93" s="13">
        <f>P93*20%</f>
        <v/>
      </c>
      <c r="R93" s="13">
        <f>O93-P93</f>
        <v/>
      </c>
      <c r="S93" s="26" t="inlineStr">
        <is>
          <t>Athena Health Insurance</t>
        </is>
      </c>
      <c r="T93" s="26" t="inlineStr">
        <is>
          <t>Athena PPO</t>
        </is>
      </c>
      <c r="U93" s="26" t="n"/>
      <c r="V93" s="26" t="inlineStr">
        <is>
          <t>Eleanor Brooks, MD</t>
        </is>
      </c>
      <c r="W93" s="26" t="inlineStr">
        <is>
          <t>Assigned Department Provider</t>
        </is>
      </c>
      <c r="X93" s="26" t="inlineStr">
        <is>
          <t>LIS</t>
        </is>
      </c>
      <c r="Y93" s="26" t="inlineStr">
        <is>
          <t>Final result</t>
        </is>
      </c>
      <c r="Z93" s="26" t="inlineStr">
        <is>
          <t>Posted</t>
        </is>
      </c>
      <c r="AA93" s="26" t="inlineStr">
        <is>
          <t>Matched</t>
        </is>
      </c>
      <c r="AB93" s="26" t="inlineStr">
        <is>
          <t>Passed</t>
        </is>
      </c>
      <c r="AC93" s="26" t="n"/>
      <c r="AD93" s="26" t="inlineStr">
        <is>
          <t>Diagnosis/LCD</t>
        </is>
      </c>
      <c r="AE93" s="26" t="inlineStr">
        <is>
          <t>I10</t>
        </is>
      </c>
      <c r="AF93" s="26" t="inlineStr">
        <is>
          <t>22</t>
        </is>
      </c>
      <c r="AG93" s="26" t="inlineStr">
        <is>
          <t>2026-09-21 16:30</t>
        </is>
      </c>
      <c r="AH93" s="26" t="inlineStr">
        <is>
          <t>Synthetic Athena negotiated charge</t>
        </is>
      </c>
    </row>
    <row r="94">
      <c r="A94" s="26" t="inlineStr">
        <is>
          <t>OPD-CHG-0045-CGH</t>
        </is>
      </c>
      <c r="B94" s="26" t="inlineStr">
        <is>
          <t>OP-202600045-CGH</t>
        </is>
      </c>
      <c r="C94" s="26" t="inlineStr">
        <is>
          <t>CSN-OPD-780045-CGH</t>
        </is>
      </c>
      <c r="D94" s="26" t="inlineStr">
        <is>
          <t>Outpatient</t>
        </is>
      </c>
      <c r="E94" s="26" t="inlineStr">
        <is>
          <t>Demo Regional Medical Center</t>
        </is>
      </c>
      <c r="F94" s="26" t="inlineStr">
        <is>
          <t>Laboratory</t>
        </is>
      </c>
      <c r="G94" s="26" t="inlineStr">
        <is>
          <t>2026-09-21</t>
        </is>
      </c>
      <c r="H94" s="26" t="inlineStr">
        <is>
          <t>BMP-OP</t>
        </is>
      </c>
      <c r="I94" s="26" t="inlineStr">
        <is>
          <t>Basic Metabolic Panel</t>
        </is>
      </c>
      <c r="J94" s="26" t="inlineStr">
        <is>
          <t>0301</t>
        </is>
      </c>
      <c r="K94" s="26" t="inlineStr">
        <is>
          <t>80048</t>
        </is>
      </c>
      <c r="L94" s="26" t="n"/>
      <c r="M94" s="26" t="n">
        <v>1</v>
      </c>
      <c r="N94" s="13" t="n">
        <v>185</v>
      </c>
      <c r="O94" s="13">
        <f>M94*N94</f>
        <v/>
      </c>
      <c r="P94" s="13" t="n">
        <v>112.69</v>
      </c>
      <c r="Q94" s="13">
        <f>P94*15%</f>
        <v/>
      </c>
      <c r="R94" s="13">
        <f>O94-P94</f>
        <v/>
      </c>
      <c r="S94" s="26" t="inlineStr">
        <is>
          <t>Care Gap Health</t>
        </is>
      </c>
      <c r="T94" s="26" t="inlineStr">
        <is>
          <t>Care Gap Value PPO</t>
        </is>
      </c>
      <c r="U94" s="26" t="n"/>
      <c r="V94" s="26" t="inlineStr">
        <is>
          <t>Eleanor Brooks, MD</t>
        </is>
      </c>
      <c r="W94" s="26" t="inlineStr">
        <is>
          <t>Assigned Department Provider</t>
        </is>
      </c>
      <c r="X94" s="26" t="inlineStr">
        <is>
          <t>LIS</t>
        </is>
      </c>
      <c r="Y94" s="26" t="inlineStr">
        <is>
          <t>Final result</t>
        </is>
      </c>
      <c r="Z94" s="26" t="inlineStr">
        <is>
          <t>Posted</t>
        </is>
      </c>
      <c r="AA94" s="26" t="inlineStr">
        <is>
          <t>Matched</t>
        </is>
      </c>
      <c r="AB94" s="26" t="inlineStr">
        <is>
          <t>Passed</t>
        </is>
      </c>
      <c r="AC94" s="26" t="n"/>
      <c r="AD94" s="26" t="inlineStr">
        <is>
          <t>Diagnosis/LCD</t>
        </is>
      </c>
      <c r="AE94" s="26" t="inlineStr">
        <is>
          <t>I10</t>
        </is>
      </c>
      <c r="AF94" s="26" t="inlineStr">
        <is>
          <t>22</t>
        </is>
      </c>
      <c r="AG94" s="26" t="inlineStr">
        <is>
          <t>2026-09-21 16:30</t>
        </is>
      </c>
      <c r="AH94" s="26" t="inlineStr">
        <is>
          <t>Synthetic Care Gap charge; 10% below Athena allowed amount</t>
        </is>
      </c>
    </row>
    <row r="95">
      <c r="A95" s="26" t="inlineStr">
        <is>
          <t>OPD-CHG-0046-ATH</t>
        </is>
      </c>
      <c r="B95" s="26" t="inlineStr">
        <is>
          <t>OP-202600046-ATH</t>
        </is>
      </c>
      <c r="C95" s="26" t="inlineStr">
        <is>
          <t>CSN-OPD-780046-ATH</t>
        </is>
      </c>
      <c r="D95" s="26" t="inlineStr">
        <is>
          <t>Outpatient</t>
        </is>
      </c>
      <c r="E95" s="26" t="inlineStr">
        <is>
          <t>Demo Regional Medical Center</t>
        </is>
      </c>
      <c r="F95" s="26" t="inlineStr">
        <is>
          <t>Laboratory</t>
        </is>
      </c>
      <c r="G95" s="26" t="inlineStr">
        <is>
          <t>2026-09-22</t>
        </is>
      </c>
      <c r="H95" s="26" t="inlineStr">
        <is>
          <t>A1C-OP</t>
        </is>
      </c>
      <c r="I95" s="26" t="inlineStr">
        <is>
          <t>Hemoglobin A1c</t>
        </is>
      </c>
      <c r="J95" s="26" t="inlineStr">
        <is>
          <t>0301</t>
        </is>
      </c>
      <c r="K95" s="26" t="inlineStr">
        <is>
          <t>83036</t>
        </is>
      </c>
      <c r="L95" s="26" t="n"/>
      <c r="M95" s="26" t="n">
        <v>1</v>
      </c>
      <c r="N95" s="13" t="n">
        <v>110</v>
      </c>
      <c r="O95" s="13">
        <f>M95*N95</f>
        <v/>
      </c>
      <c r="P95" s="13" t="n">
        <v>49.43</v>
      </c>
      <c r="Q95" s="13">
        <f>P95*20%</f>
        <v/>
      </c>
      <c r="R95" s="13">
        <f>O95-P95</f>
        <v/>
      </c>
      <c r="S95" s="26" t="inlineStr">
        <is>
          <t>Athena Health Insurance</t>
        </is>
      </c>
      <c r="T95" s="26" t="inlineStr">
        <is>
          <t>Athena PPO</t>
        </is>
      </c>
      <c r="U95" s="26" t="n"/>
      <c r="V95" s="26" t="inlineStr">
        <is>
          <t>Eleanor Brooks, MD</t>
        </is>
      </c>
      <c r="W95" s="26" t="inlineStr">
        <is>
          <t>Assigned Department Provider</t>
        </is>
      </c>
      <c r="X95" s="26" t="inlineStr">
        <is>
          <t>LIS</t>
        </is>
      </c>
      <c r="Y95" s="26" t="inlineStr">
        <is>
          <t>Final result</t>
        </is>
      </c>
      <c r="Z95" s="26" t="inlineStr">
        <is>
          <t>Posted</t>
        </is>
      </c>
      <c r="AA95" s="26" t="inlineStr">
        <is>
          <t>Matched</t>
        </is>
      </c>
      <c r="AB95" s="26" t="inlineStr">
        <is>
          <t>Review</t>
        </is>
      </c>
      <c r="AC95" s="26" t="inlineStr">
        <is>
          <t>WQ-LAB-03</t>
        </is>
      </c>
      <c r="AD95" s="26" t="inlineStr">
        <is>
          <t>Diagnosis/LCD</t>
        </is>
      </c>
      <c r="AE95" s="26" t="inlineStr">
        <is>
          <t>E11.9</t>
        </is>
      </c>
      <c r="AF95" s="26" t="inlineStr">
        <is>
          <t>22</t>
        </is>
      </c>
      <c r="AG95" s="26" t="inlineStr">
        <is>
          <t>2026-09-22 16:30</t>
        </is>
      </c>
      <c r="AH95" s="26" t="inlineStr">
        <is>
          <t>Synthetic Athena negotiated charge</t>
        </is>
      </c>
    </row>
    <row r="96">
      <c r="A96" s="26" t="inlineStr">
        <is>
          <t>OPD-CHG-0046-CGH</t>
        </is>
      </c>
      <c r="B96" s="26" t="inlineStr">
        <is>
          <t>OP-202600046-CGH</t>
        </is>
      </c>
      <c r="C96" s="26" t="inlineStr">
        <is>
          <t>CSN-OPD-780046-CGH</t>
        </is>
      </c>
      <c r="D96" s="26" t="inlineStr">
        <is>
          <t>Outpatient</t>
        </is>
      </c>
      <c r="E96" s="26" t="inlineStr">
        <is>
          <t>Demo Regional Medical Center</t>
        </is>
      </c>
      <c r="F96" s="26" t="inlineStr">
        <is>
          <t>Laboratory</t>
        </is>
      </c>
      <c r="G96" s="26" t="inlineStr">
        <is>
          <t>2026-09-22</t>
        </is>
      </c>
      <c r="H96" s="26" t="inlineStr">
        <is>
          <t>A1C-OP</t>
        </is>
      </c>
      <c r="I96" s="26" t="inlineStr">
        <is>
          <t>Hemoglobin A1c</t>
        </is>
      </c>
      <c r="J96" s="26" t="inlineStr">
        <is>
          <t>0301</t>
        </is>
      </c>
      <c r="K96" s="26" t="inlineStr">
        <is>
          <t>83036</t>
        </is>
      </c>
      <c r="L96" s="26" t="n"/>
      <c r="M96" s="26" t="n">
        <v>1</v>
      </c>
      <c r="N96" s="13" t="n">
        <v>110</v>
      </c>
      <c r="O96" s="13">
        <f>M96*N96</f>
        <v/>
      </c>
      <c r="P96" s="13" t="n">
        <v>44.49</v>
      </c>
      <c r="Q96" s="13">
        <f>P96*15%</f>
        <v/>
      </c>
      <c r="R96" s="13">
        <f>O96-P96</f>
        <v/>
      </c>
      <c r="S96" s="26" t="inlineStr">
        <is>
          <t>Care Gap Health</t>
        </is>
      </c>
      <c r="T96" s="26" t="inlineStr">
        <is>
          <t>Care Gap Value PPO</t>
        </is>
      </c>
      <c r="U96" s="26" t="n"/>
      <c r="V96" s="26" t="inlineStr">
        <is>
          <t>Eleanor Brooks, MD</t>
        </is>
      </c>
      <c r="W96" s="26" t="inlineStr">
        <is>
          <t>Assigned Department Provider</t>
        </is>
      </c>
      <c r="X96" s="26" t="inlineStr">
        <is>
          <t>LIS</t>
        </is>
      </c>
      <c r="Y96" s="26" t="inlineStr">
        <is>
          <t>Final result</t>
        </is>
      </c>
      <c r="Z96" s="26" t="inlineStr">
        <is>
          <t>Posted</t>
        </is>
      </c>
      <c r="AA96" s="26" t="inlineStr">
        <is>
          <t>Matched</t>
        </is>
      </c>
      <c r="AB96" s="26" t="inlineStr">
        <is>
          <t>Review</t>
        </is>
      </c>
      <c r="AC96" s="26" t="inlineStr">
        <is>
          <t>WQ-LAB-03</t>
        </is>
      </c>
      <c r="AD96" s="26" t="inlineStr">
        <is>
          <t>Diagnosis/LCD</t>
        </is>
      </c>
      <c r="AE96" s="26" t="inlineStr">
        <is>
          <t>E11.9</t>
        </is>
      </c>
      <c r="AF96" s="26" t="inlineStr">
        <is>
          <t>22</t>
        </is>
      </c>
      <c r="AG96" s="26" t="inlineStr">
        <is>
          <t>2026-09-22 16:30</t>
        </is>
      </c>
      <c r="AH96" s="26" t="inlineStr">
        <is>
          <t>Synthetic Care Gap charge; 10% below Athena allowed amount</t>
        </is>
      </c>
    </row>
    <row r="97">
      <c r="A97" s="26" t="inlineStr">
        <is>
          <t>OPD-CHG-0047-ATH</t>
        </is>
      </c>
      <c r="B97" s="26" t="inlineStr">
        <is>
          <t>OP-202600047-ATH</t>
        </is>
      </c>
      <c r="C97" s="26" t="inlineStr">
        <is>
          <t>CSN-OPD-780047-ATH</t>
        </is>
      </c>
      <c r="D97" s="26" t="inlineStr">
        <is>
          <t>Outpatient</t>
        </is>
      </c>
      <c r="E97" s="26" t="inlineStr">
        <is>
          <t>Demo Regional Medical Center</t>
        </is>
      </c>
      <c r="F97" s="26" t="inlineStr">
        <is>
          <t>Laboratory</t>
        </is>
      </c>
      <c r="G97" s="26" t="inlineStr">
        <is>
          <t>2026-09-23</t>
        </is>
      </c>
      <c r="H97" s="26" t="inlineStr">
        <is>
          <t>LIPID-OP</t>
        </is>
      </c>
      <c r="I97" s="26" t="inlineStr">
        <is>
          <t>Lipid Panel</t>
        </is>
      </c>
      <c r="J97" s="26" t="inlineStr">
        <is>
          <t>0301</t>
        </is>
      </c>
      <c r="K97" s="26" t="inlineStr">
        <is>
          <t>80061</t>
        </is>
      </c>
      <c r="L97" s="26" t="n"/>
      <c r="M97" s="26" t="n">
        <v>1</v>
      </c>
      <c r="N97" s="13" t="n">
        <v>215</v>
      </c>
      <c r="O97" s="13">
        <f>M97*N97</f>
        <v/>
      </c>
      <c r="P97" s="13" t="n">
        <v>132.36</v>
      </c>
      <c r="Q97" s="13">
        <f>P97*20%</f>
        <v/>
      </c>
      <c r="R97" s="13">
        <f>O97-P97</f>
        <v/>
      </c>
      <c r="S97" s="26" t="inlineStr">
        <is>
          <t>Athena Health Insurance</t>
        </is>
      </c>
      <c r="T97" s="26" t="inlineStr">
        <is>
          <t>Athena PPO</t>
        </is>
      </c>
      <c r="U97" s="26" t="n"/>
      <c r="V97" s="26" t="inlineStr">
        <is>
          <t>Eleanor Brooks, MD</t>
        </is>
      </c>
      <c r="W97" s="26" t="inlineStr">
        <is>
          <t>Assigned Department Provider</t>
        </is>
      </c>
      <c r="X97" s="26" t="inlineStr">
        <is>
          <t>LIS</t>
        </is>
      </c>
      <c r="Y97" s="26" t="inlineStr">
        <is>
          <t>Final result</t>
        </is>
      </c>
      <c r="Z97" s="26" t="inlineStr">
        <is>
          <t>Posted</t>
        </is>
      </c>
      <c r="AA97" s="26" t="inlineStr">
        <is>
          <t>Matched</t>
        </is>
      </c>
      <c r="AB97" s="26" t="inlineStr">
        <is>
          <t>Passed</t>
        </is>
      </c>
      <c r="AC97" s="26" t="n"/>
      <c r="AD97" s="26" t="inlineStr">
        <is>
          <t>Diagnosis/LCD</t>
        </is>
      </c>
      <c r="AE97" s="26" t="inlineStr">
        <is>
          <t>E78.5</t>
        </is>
      </c>
      <c r="AF97" s="26" t="inlineStr">
        <is>
          <t>22</t>
        </is>
      </c>
      <c r="AG97" s="26" t="inlineStr">
        <is>
          <t>2026-09-23 16:30</t>
        </is>
      </c>
      <c r="AH97" s="26" t="inlineStr">
        <is>
          <t>Synthetic Athena negotiated charge</t>
        </is>
      </c>
    </row>
    <row r="98">
      <c r="A98" s="26" t="inlineStr">
        <is>
          <t>OPD-CHG-0047-CGH</t>
        </is>
      </c>
      <c r="B98" s="26" t="inlineStr">
        <is>
          <t>OP-202600047-CGH</t>
        </is>
      </c>
      <c r="C98" s="26" t="inlineStr">
        <is>
          <t>CSN-OPD-780047-CGH</t>
        </is>
      </c>
      <c r="D98" s="26" t="inlineStr">
        <is>
          <t>Outpatient</t>
        </is>
      </c>
      <c r="E98" s="26" t="inlineStr">
        <is>
          <t>Demo Regional Medical Center</t>
        </is>
      </c>
      <c r="F98" s="26" t="inlineStr">
        <is>
          <t>Laboratory</t>
        </is>
      </c>
      <c r="G98" s="26" t="inlineStr">
        <is>
          <t>2026-09-23</t>
        </is>
      </c>
      <c r="H98" s="26" t="inlineStr">
        <is>
          <t>LIPID-OP</t>
        </is>
      </c>
      <c r="I98" s="26" t="inlineStr">
        <is>
          <t>Lipid Panel</t>
        </is>
      </c>
      <c r="J98" s="26" t="inlineStr">
        <is>
          <t>0301</t>
        </is>
      </c>
      <c r="K98" s="26" t="inlineStr">
        <is>
          <t>80061</t>
        </is>
      </c>
      <c r="L98" s="26" t="n"/>
      <c r="M98" s="26" t="n">
        <v>1</v>
      </c>
      <c r="N98" s="13" t="n">
        <v>215</v>
      </c>
      <c r="O98" s="13">
        <f>M98*N98</f>
        <v/>
      </c>
      <c r="P98" s="13" t="n">
        <v>119.12</v>
      </c>
      <c r="Q98" s="13">
        <f>P98*15%</f>
        <v/>
      </c>
      <c r="R98" s="13">
        <f>O98-P98</f>
        <v/>
      </c>
      <c r="S98" s="26" t="inlineStr">
        <is>
          <t>Care Gap Health</t>
        </is>
      </c>
      <c r="T98" s="26" t="inlineStr">
        <is>
          <t>Care Gap Value PPO</t>
        </is>
      </c>
      <c r="U98" s="26" t="n"/>
      <c r="V98" s="26" t="inlineStr">
        <is>
          <t>Eleanor Brooks, MD</t>
        </is>
      </c>
      <c r="W98" s="26" t="inlineStr">
        <is>
          <t>Assigned Department Provider</t>
        </is>
      </c>
      <c r="X98" s="26" t="inlineStr">
        <is>
          <t>LIS</t>
        </is>
      </c>
      <c r="Y98" s="26" t="inlineStr">
        <is>
          <t>Final result</t>
        </is>
      </c>
      <c r="Z98" s="26" t="inlineStr">
        <is>
          <t>Posted</t>
        </is>
      </c>
      <c r="AA98" s="26" t="inlineStr">
        <is>
          <t>Matched</t>
        </is>
      </c>
      <c r="AB98" s="26" t="inlineStr">
        <is>
          <t>Passed</t>
        </is>
      </c>
      <c r="AC98" s="26" t="n"/>
      <c r="AD98" s="26" t="inlineStr">
        <is>
          <t>Diagnosis/LCD</t>
        </is>
      </c>
      <c r="AE98" s="26" t="inlineStr">
        <is>
          <t>E78.5</t>
        </is>
      </c>
      <c r="AF98" s="26" t="inlineStr">
        <is>
          <t>22</t>
        </is>
      </c>
      <c r="AG98" s="26" t="inlineStr">
        <is>
          <t>2026-09-23 16:30</t>
        </is>
      </c>
      <c r="AH98" s="26" t="inlineStr">
        <is>
          <t>Synthetic Care Gap charge; 10% below Athena allowed amount</t>
        </is>
      </c>
    </row>
    <row r="99">
      <c r="A99" s="26" t="inlineStr">
        <is>
          <t>OPD-CHG-0048-ATH</t>
        </is>
      </c>
      <c r="B99" s="26" t="inlineStr">
        <is>
          <t>OP-202600048-ATH</t>
        </is>
      </c>
      <c r="C99" s="26" t="inlineStr">
        <is>
          <t>CSN-OPD-780048-ATH</t>
        </is>
      </c>
      <c r="D99" s="26" t="inlineStr">
        <is>
          <t>Outpatient</t>
        </is>
      </c>
      <c r="E99" s="26" t="inlineStr">
        <is>
          <t>Demo Regional Medical Center</t>
        </is>
      </c>
      <c r="F99" s="26" t="inlineStr">
        <is>
          <t>Cardiology</t>
        </is>
      </c>
      <c r="G99" s="26" t="inlineStr">
        <is>
          <t>2026-09-24</t>
        </is>
      </c>
      <c r="H99" s="26" t="inlineStr">
        <is>
          <t>ECHO-COMP</t>
        </is>
      </c>
      <c r="I99" s="26" t="inlineStr">
        <is>
          <t>Complete Transthoracic Echocardiogram</t>
        </is>
      </c>
      <c r="J99" s="26" t="inlineStr">
        <is>
          <t>0483</t>
        </is>
      </c>
      <c r="K99" s="26" t="inlineStr">
        <is>
          <t>93306</t>
        </is>
      </c>
      <c r="L99" s="26" t="n"/>
      <c r="M99" s="26" t="n">
        <v>1</v>
      </c>
      <c r="N99" s="13" t="n">
        <v>1550</v>
      </c>
      <c r="O99" s="13">
        <f>M99*N99</f>
        <v/>
      </c>
      <c r="P99" s="13" t="n">
        <v>902.37</v>
      </c>
      <c r="Q99" s="13">
        <f>P99*20%</f>
        <v/>
      </c>
      <c r="R99" s="13">
        <f>O99-P99</f>
        <v/>
      </c>
      <c r="S99" s="26" t="inlineStr">
        <is>
          <t>Athena Health Insurance</t>
        </is>
      </c>
      <c r="T99" s="26" t="inlineStr">
        <is>
          <t>Athena PPO</t>
        </is>
      </c>
      <c r="U99" s="26" t="inlineStr">
        <is>
          <t>AUTH-700048</t>
        </is>
      </c>
      <c r="V99" s="26" t="inlineStr">
        <is>
          <t>Eleanor Brooks, MD</t>
        </is>
      </c>
      <c r="W99" s="26" t="inlineStr">
        <is>
          <t>Assigned Department Provider</t>
        </is>
      </c>
      <c r="X99" s="26" t="inlineStr">
        <is>
          <t>Cardiology</t>
        </is>
      </c>
      <c r="Y99" s="26" t="inlineStr">
        <is>
          <t>Test completed</t>
        </is>
      </c>
      <c r="Z99" s="26" t="inlineStr">
        <is>
          <t>Posted</t>
        </is>
      </c>
      <c r="AA99" s="26" t="inlineStr">
        <is>
          <t>Matched</t>
        </is>
      </c>
      <c r="AB99" s="26" t="inlineStr">
        <is>
          <t>Passed</t>
        </is>
      </c>
      <c r="AC99" s="26" t="n"/>
      <c r="AD99" s="26" t="inlineStr">
        <is>
          <t>Prior authorization</t>
        </is>
      </c>
      <c r="AE99" s="26" t="inlineStr">
        <is>
          <t>R01.1</t>
        </is>
      </c>
      <c r="AF99" s="26" t="inlineStr">
        <is>
          <t>22</t>
        </is>
      </c>
      <c r="AG99" s="26" t="inlineStr">
        <is>
          <t>2026-09-24 16:30</t>
        </is>
      </c>
      <c r="AH99" s="26" t="inlineStr">
        <is>
          <t>Synthetic Athena negotiated charge</t>
        </is>
      </c>
    </row>
    <row r="100">
      <c r="A100" s="26" t="inlineStr">
        <is>
          <t>OPD-CHG-0048-CGH</t>
        </is>
      </c>
      <c r="B100" s="26" t="inlineStr">
        <is>
          <t>OP-202600048-CGH</t>
        </is>
      </c>
      <c r="C100" s="26" t="inlineStr">
        <is>
          <t>CSN-OPD-780048-CGH</t>
        </is>
      </c>
      <c r="D100" s="26" t="inlineStr">
        <is>
          <t>Outpatient</t>
        </is>
      </c>
      <c r="E100" s="26" t="inlineStr">
        <is>
          <t>Demo Regional Medical Center</t>
        </is>
      </c>
      <c r="F100" s="26" t="inlineStr">
        <is>
          <t>Cardiology</t>
        </is>
      </c>
      <c r="G100" s="26" t="inlineStr">
        <is>
          <t>2026-09-24</t>
        </is>
      </c>
      <c r="H100" s="26" t="inlineStr">
        <is>
          <t>ECHO-COMP</t>
        </is>
      </c>
      <c r="I100" s="26" t="inlineStr">
        <is>
          <t>Complete Transthoracic Echocardiogram</t>
        </is>
      </c>
      <c r="J100" s="26" t="inlineStr">
        <is>
          <t>0483</t>
        </is>
      </c>
      <c r="K100" s="26" t="inlineStr">
        <is>
          <t>93306</t>
        </is>
      </c>
      <c r="L100" s="26" t="n"/>
      <c r="M100" s="26" t="n">
        <v>1</v>
      </c>
      <c r="N100" s="13" t="n">
        <v>1550</v>
      </c>
      <c r="O100" s="13">
        <f>M100*N100</f>
        <v/>
      </c>
      <c r="P100" s="13" t="n">
        <v>812.13</v>
      </c>
      <c r="Q100" s="13">
        <f>P100*15%</f>
        <v/>
      </c>
      <c r="R100" s="13">
        <f>O100-P100</f>
        <v/>
      </c>
      <c r="S100" s="26" t="inlineStr">
        <is>
          <t>Care Gap Health</t>
        </is>
      </c>
      <c r="T100" s="26" t="inlineStr">
        <is>
          <t>Care Gap Value PPO</t>
        </is>
      </c>
      <c r="U100" s="26" t="inlineStr">
        <is>
          <t>AUTH-700048</t>
        </is>
      </c>
      <c r="V100" s="26" t="inlineStr">
        <is>
          <t>Eleanor Brooks, MD</t>
        </is>
      </c>
      <c r="W100" s="26" t="inlineStr">
        <is>
          <t>Assigned Department Provider</t>
        </is>
      </c>
      <c r="X100" s="26" t="inlineStr">
        <is>
          <t>Cardiology</t>
        </is>
      </c>
      <c r="Y100" s="26" t="inlineStr">
        <is>
          <t>Test completed</t>
        </is>
      </c>
      <c r="Z100" s="26" t="inlineStr">
        <is>
          <t>Posted</t>
        </is>
      </c>
      <c r="AA100" s="26" t="inlineStr">
        <is>
          <t>Matched</t>
        </is>
      </c>
      <c r="AB100" s="26" t="inlineStr">
        <is>
          <t>Passed</t>
        </is>
      </c>
      <c r="AC100" s="26" t="n"/>
      <c r="AD100" s="26" t="inlineStr">
        <is>
          <t>Prior authorization</t>
        </is>
      </c>
      <c r="AE100" s="26" t="inlineStr">
        <is>
          <t>R01.1</t>
        </is>
      </c>
      <c r="AF100" s="26" t="inlineStr">
        <is>
          <t>22</t>
        </is>
      </c>
      <c r="AG100" s="26" t="inlineStr">
        <is>
          <t>2026-09-24 16:30</t>
        </is>
      </c>
      <c r="AH100" s="26" t="inlineStr">
        <is>
          <t>Synthetic Care Gap charge; 10% below Athena allowed amount</t>
        </is>
      </c>
    </row>
    <row r="101">
      <c r="A101" s="26" t="inlineStr">
        <is>
          <t>OPD-CHG-0049-ATH</t>
        </is>
      </c>
      <c r="B101" s="26" t="inlineStr">
        <is>
          <t>OP-202600049-ATH</t>
        </is>
      </c>
      <c r="C101" s="26" t="inlineStr">
        <is>
          <t>CSN-OPD-780049-ATH</t>
        </is>
      </c>
      <c r="D101" s="26" t="inlineStr">
        <is>
          <t>Outpatient</t>
        </is>
      </c>
      <c r="E101" s="26" t="inlineStr">
        <is>
          <t>Demo Regional Medical Center</t>
        </is>
      </c>
      <c r="F101" s="26" t="inlineStr">
        <is>
          <t>Cardiology</t>
        </is>
      </c>
      <c r="G101" s="26" t="inlineStr">
        <is>
          <t>2026-09-25</t>
        </is>
      </c>
      <c r="H101" s="26" t="inlineStr">
        <is>
          <t>STRESS-TEST</t>
        </is>
      </c>
      <c r="I101" s="26" t="inlineStr">
        <is>
          <t>Cardiovascular Stress Test</t>
        </is>
      </c>
      <c r="J101" s="26" t="inlineStr">
        <is>
          <t>0482</t>
        </is>
      </c>
      <c r="K101" s="26" t="inlineStr">
        <is>
          <t>93017</t>
        </is>
      </c>
      <c r="L101" s="26" t="n"/>
      <c r="M101" s="26" t="n">
        <v>1</v>
      </c>
      <c r="N101" s="13" t="n">
        <v>1150</v>
      </c>
      <c r="O101" s="13">
        <f>M101*N101</f>
        <v/>
      </c>
      <c r="P101" s="13" t="n">
        <v>488.09</v>
      </c>
      <c r="Q101" s="13">
        <f>P101*20%</f>
        <v/>
      </c>
      <c r="R101" s="13">
        <f>O101-P101</f>
        <v/>
      </c>
      <c r="S101" s="26" t="inlineStr">
        <is>
          <t>Athena Health Insurance</t>
        </is>
      </c>
      <c r="T101" s="26" t="inlineStr">
        <is>
          <t>Athena PPO</t>
        </is>
      </c>
      <c r="U101" s="26" t="inlineStr">
        <is>
          <t>AUTH-700049</t>
        </is>
      </c>
      <c r="V101" s="26" t="inlineStr">
        <is>
          <t>Eleanor Brooks, MD</t>
        </is>
      </c>
      <c r="W101" s="26" t="inlineStr">
        <is>
          <t>Assigned Department Provider</t>
        </is>
      </c>
      <c r="X101" s="26" t="inlineStr">
        <is>
          <t>Cardiology</t>
        </is>
      </c>
      <c r="Y101" s="26" t="inlineStr">
        <is>
          <t>Test completed</t>
        </is>
      </c>
      <c r="Z101" s="26" t="inlineStr">
        <is>
          <t>Posted</t>
        </is>
      </c>
      <c r="AA101" s="26" t="inlineStr">
        <is>
          <t>Matched</t>
        </is>
      </c>
      <c r="AB101" s="26" t="inlineStr">
        <is>
          <t>Passed</t>
        </is>
      </c>
      <c r="AC101" s="26" t="n"/>
      <c r="AD101" s="26" t="inlineStr">
        <is>
          <t>Prior authorization</t>
        </is>
      </c>
      <c r="AE101" s="26" t="inlineStr">
        <is>
          <t>R07.9</t>
        </is>
      </c>
      <c r="AF101" s="26" t="inlineStr">
        <is>
          <t>22</t>
        </is>
      </c>
      <c r="AG101" s="26" t="inlineStr">
        <is>
          <t>2026-09-25 16:30</t>
        </is>
      </c>
      <c r="AH101" s="26" t="inlineStr">
        <is>
          <t>Synthetic Athena negotiated charge</t>
        </is>
      </c>
    </row>
    <row r="102">
      <c r="A102" s="26" t="inlineStr">
        <is>
          <t>OPD-CHG-0049-CGH</t>
        </is>
      </c>
      <c r="B102" s="26" t="inlineStr">
        <is>
          <t>OP-202600049-CGH</t>
        </is>
      </c>
      <c r="C102" s="26" t="inlineStr">
        <is>
          <t>CSN-OPD-780049-CGH</t>
        </is>
      </c>
      <c r="D102" s="26" t="inlineStr">
        <is>
          <t>Outpatient</t>
        </is>
      </c>
      <c r="E102" s="26" t="inlineStr">
        <is>
          <t>Demo Regional Medical Center</t>
        </is>
      </c>
      <c r="F102" s="26" t="inlineStr">
        <is>
          <t>Cardiology</t>
        </is>
      </c>
      <c r="G102" s="26" t="inlineStr">
        <is>
          <t>2026-09-25</t>
        </is>
      </c>
      <c r="H102" s="26" t="inlineStr">
        <is>
          <t>STRESS-TEST</t>
        </is>
      </c>
      <c r="I102" s="26" t="inlineStr">
        <is>
          <t>Cardiovascular Stress Test</t>
        </is>
      </c>
      <c r="J102" s="26" t="inlineStr">
        <is>
          <t>0482</t>
        </is>
      </c>
      <c r="K102" s="26" t="inlineStr">
        <is>
          <t>93017</t>
        </is>
      </c>
      <c r="L102" s="26" t="n"/>
      <c r="M102" s="26" t="n">
        <v>1</v>
      </c>
      <c r="N102" s="13" t="n">
        <v>1150</v>
      </c>
      <c r="O102" s="13">
        <f>M102*N102</f>
        <v/>
      </c>
      <c r="P102" s="13" t="n">
        <v>439.28</v>
      </c>
      <c r="Q102" s="13">
        <f>P102*15%</f>
        <v/>
      </c>
      <c r="R102" s="13">
        <f>O102-P102</f>
        <v/>
      </c>
      <c r="S102" s="26" t="inlineStr">
        <is>
          <t>Care Gap Health</t>
        </is>
      </c>
      <c r="T102" s="26" t="inlineStr">
        <is>
          <t>Care Gap Value PPO</t>
        </is>
      </c>
      <c r="U102" s="26" t="inlineStr">
        <is>
          <t>AUTH-700049</t>
        </is>
      </c>
      <c r="V102" s="26" t="inlineStr">
        <is>
          <t>Eleanor Brooks, MD</t>
        </is>
      </c>
      <c r="W102" s="26" t="inlineStr">
        <is>
          <t>Assigned Department Provider</t>
        </is>
      </c>
      <c r="X102" s="26" t="inlineStr">
        <is>
          <t>Cardiology</t>
        </is>
      </c>
      <c r="Y102" s="26" t="inlineStr">
        <is>
          <t>Test completed</t>
        </is>
      </c>
      <c r="Z102" s="26" t="inlineStr">
        <is>
          <t>Posted</t>
        </is>
      </c>
      <c r="AA102" s="26" t="inlineStr">
        <is>
          <t>Matched</t>
        </is>
      </c>
      <c r="AB102" s="26" t="inlineStr">
        <is>
          <t>Passed</t>
        </is>
      </c>
      <c r="AC102" s="26" t="n"/>
      <c r="AD102" s="26" t="inlineStr">
        <is>
          <t>Prior authorization</t>
        </is>
      </c>
      <c r="AE102" s="26" t="inlineStr">
        <is>
          <t>R07.9</t>
        </is>
      </c>
      <c r="AF102" s="26" t="inlineStr">
        <is>
          <t>22</t>
        </is>
      </c>
      <c r="AG102" s="26" t="inlineStr">
        <is>
          <t>2026-09-25 16:30</t>
        </is>
      </c>
      <c r="AH102" s="26" t="inlineStr">
        <is>
          <t>Synthetic Care Gap charge; 10% below Athena allowed amount</t>
        </is>
      </c>
    </row>
    <row r="103">
      <c r="A103" s="26" t="inlineStr">
        <is>
          <t>OPD-CHG-0050-ATH</t>
        </is>
      </c>
      <c r="B103" s="26" t="inlineStr">
        <is>
          <t>OP-202600050-ATH</t>
        </is>
      </c>
      <c r="C103" s="26" t="inlineStr">
        <is>
          <t>CSN-OPD-780050-ATH</t>
        </is>
      </c>
      <c r="D103" s="26" t="inlineStr">
        <is>
          <t>Outpatient</t>
        </is>
      </c>
      <c r="E103" s="26" t="inlineStr">
        <is>
          <t>Demo Regional Medical Center</t>
        </is>
      </c>
      <c r="F103" s="26" t="inlineStr">
        <is>
          <t>Endoscopy</t>
        </is>
      </c>
      <c r="G103" s="26" t="inlineStr">
        <is>
          <t>2026-09-01</t>
        </is>
      </c>
      <c r="H103" s="26" t="inlineStr">
        <is>
          <t>COLON-DX</t>
        </is>
      </c>
      <c r="I103" s="26" t="inlineStr">
        <is>
          <t>Diagnostic Colonoscopy</t>
        </is>
      </c>
      <c r="J103" s="26" t="inlineStr">
        <is>
          <t>0750</t>
        </is>
      </c>
      <c r="K103" s="26" t="inlineStr">
        <is>
          <t>45378</t>
        </is>
      </c>
      <c r="L103" s="26" t="n"/>
      <c r="M103" s="26" t="n">
        <v>1</v>
      </c>
      <c r="N103" s="13" t="n">
        <v>3900</v>
      </c>
      <c r="O103" s="13">
        <f>M103*N103</f>
        <v/>
      </c>
      <c r="P103" s="13" t="n">
        <v>1747.12</v>
      </c>
      <c r="Q103" s="13">
        <f>P103*20%</f>
        <v/>
      </c>
      <c r="R103" s="13">
        <f>O103-P103</f>
        <v/>
      </c>
      <c r="S103" s="26" t="inlineStr">
        <is>
          <t>Athena Health Insurance</t>
        </is>
      </c>
      <c r="T103" s="26" t="inlineStr">
        <is>
          <t>Athena PPO</t>
        </is>
      </c>
      <c r="U103" s="26" t="inlineStr">
        <is>
          <t>AUTH-700050</t>
        </is>
      </c>
      <c r="V103" s="26" t="inlineStr">
        <is>
          <t>Eleanor Brooks, MD</t>
        </is>
      </c>
      <c r="W103" s="26" t="inlineStr">
        <is>
          <t>Assigned Department Provider</t>
        </is>
      </c>
      <c r="X103" s="26" t="inlineStr">
        <is>
          <t>Endoscopy</t>
        </is>
      </c>
      <c r="Y103" s="26" t="inlineStr">
        <is>
          <t>Procedure completed</t>
        </is>
      </c>
      <c r="Z103" s="26" t="inlineStr">
        <is>
          <t>Posted</t>
        </is>
      </c>
      <c r="AA103" s="26" t="inlineStr">
        <is>
          <t>Matched</t>
        </is>
      </c>
      <c r="AB103" s="26" t="inlineStr">
        <is>
          <t>Passed</t>
        </is>
      </c>
      <c r="AC103" s="26" t="n"/>
      <c r="AD103" s="26" t="inlineStr">
        <is>
          <t>Prior authorization</t>
        </is>
      </c>
      <c r="AE103" s="26" t="inlineStr">
        <is>
          <t>Z12.11</t>
        </is>
      </c>
      <c r="AF103" s="26" t="inlineStr">
        <is>
          <t>22</t>
        </is>
      </c>
      <c r="AG103" s="26" t="inlineStr">
        <is>
          <t>2026-09-01 16:30</t>
        </is>
      </c>
      <c r="AH103" s="26" t="inlineStr">
        <is>
          <t>Synthetic Athena negotiated charge</t>
        </is>
      </c>
    </row>
    <row r="104">
      <c r="A104" s="26" t="inlineStr">
        <is>
          <t>OPD-CHG-0050-CGH</t>
        </is>
      </c>
      <c r="B104" s="26" t="inlineStr">
        <is>
          <t>OP-202600050-CGH</t>
        </is>
      </c>
      <c r="C104" s="26" t="inlineStr">
        <is>
          <t>CSN-OPD-780050-CGH</t>
        </is>
      </c>
      <c r="D104" s="26" t="inlineStr">
        <is>
          <t>Outpatient</t>
        </is>
      </c>
      <c r="E104" s="26" t="inlineStr">
        <is>
          <t>Demo Regional Medical Center</t>
        </is>
      </c>
      <c r="F104" s="26" t="inlineStr">
        <is>
          <t>Endoscopy</t>
        </is>
      </c>
      <c r="G104" s="26" t="inlineStr">
        <is>
          <t>2026-09-01</t>
        </is>
      </c>
      <c r="H104" s="26" t="inlineStr">
        <is>
          <t>COLON-DX</t>
        </is>
      </c>
      <c r="I104" s="26" t="inlineStr">
        <is>
          <t>Diagnostic Colonoscopy</t>
        </is>
      </c>
      <c r="J104" s="26" t="inlineStr">
        <is>
          <t>0750</t>
        </is>
      </c>
      <c r="K104" s="26" t="inlineStr">
        <is>
          <t>45378</t>
        </is>
      </c>
      <c r="L104" s="26" t="n"/>
      <c r="M104" s="26" t="n">
        <v>1</v>
      </c>
      <c r="N104" s="13" t="n">
        <v>3900</v>
      </c>
      <c r="O104" s="13">
        <f>M104*N104</f>
        <v/>
      </c>
      <c r="P104" s="13" t="n">
        <v>1572.41</v>
      </c>
      <c r="Q104" s="13">
        <f>P104*15%</f>
        <v/>
      </c>
      <c r="R104" s="13">
        <f>O104-P104</f>
        <v/>
      </c>
      <c r="S104" s="26" t="inlineStr">
        <is>
          <t>Care Gap Health</t>
        </is>
      </c>
      <c r="T104" s="26" t="inlineStr">
        <is>
          <t>Care Gap Value PPO</t>
        </is>
      </c>
      <c r="U104" s="26" t="inlineStr">
        <is>
          <t>AUTH-700050</t>
        </is>
      </c>
      <c r="V104" s="26" t="inlineStr">
        <is>
          <t>Eleanor Brooks, MD</t>
        </is>
      </c>
      <c r="W104" s="26" t="inlineStr">
        <is>
          <t>Assigned Department Provider</t>
        </is>
      </c>
      <c r="X104" s="26" t="inlineStr">
        <is>
          <t>Endoscopy</t>
        </is>
      </c>
      <c r="Y104" s="26" t="inlineStr">
        <is>
          <t>Procedure completed</t>
        </is>
      </c>
      <c r="Z104" s="26" t="inlineStr">
        <is>
          <t>Posted</t>
        </is>
      </c>
      <c r="AA104" s="26" t="inlineStr">
        <is>
          <t>Matched</t>
        </is>
      </c>
      <c r="AB104" s="26" t="inlineStr">
        <is>
          <t>Passed</t>
        </is>
      </c>
      <c r="AC104" s="26" t="n"/>
      <c r="AD104" s="26" t="inlineStr">
        <is>
          <t>Prior authorization</t>
        </is>
      </c>
      <c r="AE104" s="26" t="inlineStr">
        <is>
          <t>Z12.11</t>
        </is>
      </c>
      <c r="AF104" s="26" t="inlineStr">
        <is>
          <t>22</t>
        </is>
      </c>
      <c r="AG104" s="26" t="inlineStr">
        <is>
          <t>2026-09-01 16:30</t>
        </is>
      </c>
      <c r="AH104" s="26" t="inlineStr">
        <is>
          <t>Synthetic Care Gap charge; 10% below Athena allowed amount</t>
        </is>
      </c>
    </row>
    <row r="105">
      <c r="A105" s="26" t="inlineStr">
        <is>
          <t>OPD-CHG-0051-ATH</t>
        </is>
      </c>
      <c r="B105" s="26" t="inlineStr">
        <is>
          <t>OP-202600051-ATH</t>
        </is>
      </c>
      <c r="C105" s="26" t="inlineStr">
        <is>
          <t>CSN-OPD-780051-ATH</t>
        </is>
      </c>
      <c r="D105" s="26" t="inlineStr">
        <is>
          <t>Outpatient</t>
        </is>
      </c>
      <c r="E105" s="26" t="inlineStr">
        <is>
          <t>Demo Regional Medical Center</t>
        </is>
      </c>
      <c r="F105" s="26" t="inlineStr">
        <is>
          <t>Endoscopy</t>
        </is>
      </c>
      <c r="G105" s="26" t="inlineStr">
        <is>
          <t>2026-09-02</t>
        </is>
      </c>
      <c r="H105" s="26" t="inlineStr">
        <is>
          <t>EGD-DX</t>
        </is>
      </c>
      <c r="I105" s="26" t="inlineStr">
        <is>
          <t>Diagnostic Upper GI Endoscopy</t>
        </is>
      </c>
      <c r="J105" s="26" t="inlineStr">
        <is>
          <t>0750</t>
        </is>
      </c>
      <c r="K105" s="26" t="inlineStr">
        <is>
          <t>43235</t>
        </is>
      </c>
      <c r="L105" s="26" t="n"/>
      <c r="M105" s="26" t="n">
        <v>1</v>
      </c>
      <c r="N105" s="13" t="n">
        <v>3300</v>
      </c>
      <c r="O105" s="13">
        <f>M105*N105</f>
        <v/>
      </c>
      <c r="P105" s="13" t="n">
        <v>2132.03</v>
      </c>
      <c r="Q105" s="13">
        <f>P105*20%</f>
        <v/>
      </c>
      <c r="R105" s="13">
        <f>O105-P105</f>
        <v/>
      </c>
      <c r="S105" s="26" t="inlineStr">
        <is>
          <t>Athena Health Insurance</t>
        </is>
      </c>
      <c r="T105" s="26" t="inlineStr">
        <is>
          <t>Athena PPO</t>
        </is>
      </c>
      <c r="U105" s="26" t="inlineStr">
        <is>
          <t>AUTH-700051</t>
        </is>
      </c>
      <c r="V105" s="26" t="inlineStr">
        <is>
          <t>Eleanor Brooks, MD</t>
        </is>
      </c>
      <c r="W105" s="26" t="inlineStr">
        <is>
          <t>Assigned Department Provider</t>
        </is>
      </c>
      <c r="X105" s="26" t="inlineStr">
        <is>
          <t>Endoscopy</t>
        </is>
      </c>
      <c r="Y105" s="26" t="inlineStr">
        <is>
          <t>Procedure completed</t>
        </is>
      </c>
      <c r="Z105" s="26" t="inlineStr">
        <is>
          <t>Posted</t>
        </is>
      </c>
      <c r="AA105" s="26" t="inlineStr">
        <is>
          <t>Matched</t>
        </is>
      </c>
      <c r="AB105" s="26" t="inlineStr">
        <is>
          <t>Passed</t>
        </is>
      </c>
      <c r="AC105" s="26" t="n"/>
      <c r="AD105" s="26" t="inlineStr">
        <is>
          <t>Prior authorization</t>
        </is>
      </c>
      <c r="AE105" s="26" t="inlineStr">
        <is>
          <t>K21.9</t>
        </is>
      </c>
      <c r="AF105" s="26" t="inlineStr">
        <is>
          <t>22</t>
        </is>
      </c>
      <c r="AG105" s="26" t="inlineStr">
        <is>
          <t>2026-09-02 16:30</t>
        </is>
      </c>
      <c r="AH105" s="26" t="inlineStr">
        <is>
          <t>Synthetic Athena negotiated charge</t>
        </is>
      </c>
    </row>
    <row r="106">
      <c r="A106" s="26" t="inlineStr">
        <is>
          <t>OPD-CHG-0051-CGH</t>
        </is>
      </c>
      <c r="B106" s="26" t="inlineStr">
        <is>
          <t>OP-202600051-CGH</t>
        </is>
      </c>
      <c r="C106" s="26" t="inlineStr">
        <is>
          <t>CSN-OPD-780051-CGH</t>
        </is>
      </c>
      <c r="D106" s="26" t="inlineStr">
        <is>
          <t>Outpatient</t>
        </is>
      </c>
      <c r="E106" s="26" t="inlineStr">
        <is>
          <t>Demo Regional Medical Center</t>
        </is>
      </c>
      <c r="F106" s="26" t="inlineStr">
        <is>
          <t>Endoscopy</t>
        </is>
      </c>
      <c r="G106" s="26" t="inlineStr">
        <is>
          <t>2026-09-02</t>
        </is>
      </c>
      <c r="H106" s="26" t="inlineStr">
        <is>
          <t>EGD-DX</t>
        </is>
      </c>
      <c r="I106" s="26" t="inlineStr">
        <is>
          <t>Diagnostic Upper GI Endoscopy</t>
        </is>
      </c>
      <c r="J106" s="26" t="inlineStr">
        <is>
          <t>0750</t>
        </is>
      </c>
      <c r="K106" s="26" t="inlineStr">
        <is>
          <t>43235</t>
        </is>
      </c>
      <c r="L106" s="26" t="n"/>
      <c r="M106" s="26" t="n">
        <v>1</v>
      </c>
      <c r="N106" s="13" t="n">
        <v>3300</v>
      </c>
      <c r="O106" s="13">
        <f>M106*N106</f>
        <v/>
      </c>
      <c r="P106" s="13" t="n">
        <v>1918.83</v>
      </c>
      <c r="Q106" s="13">
        <f>P106*15%</f>
        <v/>
      </c>
      <c r="R106" s="13">
        <f>O106-P106</f>
        <v/>
      </c>
      <c r="S106" s="26" t="inlineStr">
        <is>
          <t>Care Gap Health</t>
        </is>
      </c>
      <c r="T106" s="26" t="inlineStr">
        <is>
          <t>Care Gap Value PPO</t>
        </is>
      </c>
      <c r="U106" s="26" t="inlineStr">
        <is>
          <t>AUTH-700051</t>
        </is>
      </c>
      <c r="V106" s="26" t="inlineStr">
        <is>
          <t>Eleanor Brooks, MD</t>
        </is>
      </c>
      <c r="W106" s="26" t="inlineStr">
        <is>
          <t>Assigned Department Provider</t>
        </is>
      </c>
      <c r="X106" s="26" t="inlineStr">
        <is>
          <t>Endoscopy</t>
        </is>
      </c>
      <c r="Y106" s="26" t="inlineStr">
        <is>
          <t>Procedure completed</t>
        </is>
      </c>
      <c r="Z106" s="26" t="inlineStr">
        <is>
          <t>Posted</t>
        </is>
      </c>
      <c r="AA106" s="26" t="inlineStr">
        <is>
          <t>Matched</t>
        </is>
      </c>
      <c r="AB106" s="26" t="inlineStr">
        <is>
          <t>Passed</t>
        </is>
      </c>
      <c r="AC106" s="26" t="n"/>
      <c r="AD106" s="26" t="inlineStr">
        <is>
          <t>Prior authorization</t>
        </is>
      </c>
      <c r="AE106" s="26" t="inlineStr">
        <is>
          <t>K21.9</t>
        </is>
      </c>
      <c r="AF106" s="26" t="inlineStr">
        <is>
          <t>22</t>
        </is>
      </c>
      <c r="AG106" s="26" t="inlineStr">
        <is>
          <t>2026-09-02 16:30</t>
        </is>
      </c>
      <c r="AH106" s="26" t="inlineStr">
        <is>
          <t>Synthetic Care Gap charge; 10% below Athena allowed amount</t>
        </is>
      </c>
    </row>
    <row r="107">
      <c r="A107" s="26" t="inlineStr">
        <is>
          <t>OPD-CHG-0052-ATH</t>
        </is>
      </c>
      <c r="B107" s="26" t="inlineStr">
        <is>
          <t>OP-202600052-ATH</t>
        </is>
      </c>
      <c r="C107" s="26" t="inlineStr">
        <is>
          <t>CSN-OPD-780052-ATH</t>
        </is>
      </c>
      <c r="D107" s="26" t="inlineStr">
        <is>
          <t>Outpatient</t>
        </is>
      </c>
      <c r="E107" s="26" t="inlineStr">
        <is>
          <t>Demo Regional Medical Center</t>
        </is>
      </c>
      <c r="F107" s="26" t="inlineStr">
        <is>
          <t>Physical Therapy</t>
        </is>
      </c>
      <c r="G107" s="26" t="inlineStr">
        <is>
          <t>2026-09-03</t>
        </is>
      </c>
      <c r="H107" s="26" t="inlineStr">
        <is>
          <t>PT-EVAL-OP</t>
        </is>
      </c>
      <c r="I107" s="26" t="inlineStr">
        <is>
          <t>Outpatient Physical Therapy Evaluation</t>
        </is>
      </c>
      <c r="J107" s="26" t="inlineStr">
        <is>
          <t>0420</t>
        </is>
      </c>
      <c r="K107" s="26" t="inlineStr">
        <is>
          <t>97162</t>
        </is>
      </c>
      <c r="L107" s="26" t="n"/>
      <c r="M107" s="26" t="n">
        <v>1</v>
      </c>
      <c r="N107" s="13" t="n">
        <v>860</v>
      </c>
      <c r="O107" s="13">
        <f>M107*N107</f>
        <v/>
      </c>
      <c r="P107" s="13" t="n">
        <v>422.19</v>
      </c>
      <c r="Q107" s="13">
        <f>P107*20%</f>
        <v/>
      </c>
      <c r="R107" s="13">
        <f>O107-P107</f>
        <v/>
      </c>
      <c r="S107" s="26" t="inlineStr">
        <is>
          <t>Athena Health Insurance</t>
        </is>
      </c>
      <c r="T107" s="26" t="inlineStr">
        <is>
          <t>Athena PPO</t>
        </is>
      </c>
      <c r="U107" s="26" t="inlineStr">
        <is>
          <t>AUTH-700052</t>
        </is>
      </c>
      <c r="V107" s="26" t="inlineStr">
        <is>
          <t>Eleanor Brooks, MD</t>
        </is>
      </c>
      <c r="W107" s="26" t="inlineStr">
        <is>
          <t>Assigned Department Provider</t>
        </is>
      </c>
      <c r="X107" s="26" t="inlineStr">
        <is>
          <t>Therapy</t>
        </is>
      </c>
      <c r="Y107" s="26" t="inlineStr">
        <is>
          <t>Note signed</t>
        </is>
      </c>
      <c r="Z107" s="26" t="inlineStr">
        <is>
          <t>Posted</t>
        </is>
      </c>
      <c r="AA107" s="26" t="inlineStr">
        <is>
          <t>Matched</t>
        </is>
      </c>
      <c r="AB107" s="26" t="inlineStr">
        <is>
          <t>Passed</t>
        </is>
      </c>
      <c r="AC107" s="26" t="n"/>
      <c r="AD107" s="26" t="inlineStr">
        <is>
          <t>Plan benefits</t>
        </is>
      </c>
      <c r="AE107" s="26" t="inlineStr">
        <is>
          <t>M54.50</t>
        </is>
      </c>
      <c r="AF107" s="26" t="inlineStr">
        <is>
          <t>22</t>
        </is>
      </c>
      <c r="AG107" s="26" t="inlineStr">
        <is>
          <t>2026-09-03 16:30</t>
        </is>
      </c>
      <c r="AH107" s="26" t="inlineStr">
        <is>
          <t>Synthetic Athena negotiated charge</t>
        </is>
      </c>
    </row>
    <row r="108">
      <c r="A108" s="26" t="inlineStr">
        <is>
          <t>OPD-CHG-0052-CGH</t>
        </is>
      </c>
      <c r="B108" s="26" t="inlineStr">
        <is>
          <t>OP-202600052-CGH</t>
        </is>
      </c>
      <c r="C108" s="26" t="inlineStr">
        <is>
          <t>CSN-OPD-780052-CGH</t>
        </is>
      </c>
      <c r="D108" s="26" t="inlineStr">
        <is>
          <t>Outpatient</t>
        </is>
      </c>
      <c r="E108" s="26" t="inlineStr">
        <is>
          <t>Demo Regional Medical Center</t>
        </is>
      </c>
      <c r="F108" s="26" t="inlineStr">
        <is>
          <t>Physical Therapy</t>
        </is>
      </c>
      <c r="G108" s="26" t="inlineStr">
        <is>
          <t>2026-09-03</t>
        </is>
      </c>
      <c r="H108" s="26" t="inlineStr">
        <is>
          <t>PT-EVAL-OP</t>
        </is>
      </c>
      <c r="I108" s="26" t="inlineStr">
        <is>
          <t>Outpatient Physical Therapy Evaluation</t>
        </is>
      </c>
      <c r="J108" s="26" t="inlineStr">
        <is>
          <t>0420</t>
        </is>
      </c>
      <c r="K108" s="26" t="inlineStr">
        <is>
          <t>97162</t>
        </is>
      </c>
      <c r="L108" s="26" t="n"/>
      <c r="M108" s="26" t="n">
        <v>1</v>
      </c>
      <c r="N108" s="13" t="n">
        <v>860</v>
      </c>
      <c r="O108" s="13">
        <f>M108*N108</f>
        <v/>
      </c>
      <c r="P108" s="13" t="n">
        <v>379.97</v>
      </c>
      <c r="Q108" s="13">
        <f>P108*15%</f>
        <v/>
      </c>
      <c r="R108" s="13">
        <f>O108-P108</f>
        <v/>
      </c>
      <c r="S108" s="26" t="inlineStr">
        <is>
          <t>Care Gap Health</t>
        </is>
      </c>
      <c r="T108" s="26" t="inlineStr">
        <is>
          <t>Care Gap Value PPO</t>
        </is>
      </c>
      <c r="U108" s="26" t="inlineStr">
        <is>
          <t>AUTH-700052</t>
        </is>
      </c>
      <c r="V108" s="26" t="inlineStr">
        <is>
          <t>Eleanor Brooks, MD</t>
        </is>
      </c>
      <c r="W108" s="26" t="inlineStr">
        <is>
          <t>Assigned Department Provider</t>
        </is>
      </c>
      <c r="X108" s="26" t="inlineStr">
        <is>
          <t>Therapy</t>
        </is>
      </c>
      <c r="Y108" s="26" t="inlineStr">
        <is>
          <t>Note signed</t>
        </is>
      </c>
      <c r="Z108" s="26" t="inlineStr">
        <is>
          <t>Posted</t>
        </is>
      </c>
      <c r="AA108" s="26" t="inlineStr">
        <is>
          <t>Matched</t>
        </is>
      </c>
      <c r="AB108" s="26" t="inlineStr">
        <is>
          <t>Passed</t>
        </is>
      </c>
      <c r="AC108" s="26" t="n"/>
      <c r="AD108" s="26" t="inlineStr">
        <is>
          <t>Plan benefits</t>
        </is>
      </c>
      <c r="AE108" s="26" t="inlineStr">
        <is>
          <t>M54.50</t>
        </is>
      </c>
      <c r="AF108" s="26" t="inlineStr">
        <is>
          <t>22</t>
        </is>
      </c>
      <c r="AG108" s="26" t="inlineStr">
        <is>
          <t>2026-09-03 16:30</t>
        </is>
      </c>
      <c r="AH108" s="26" t="inlineStr">
        <is>
          <t>Synthetic Care Gap charge; 10% below Athena allowed amount</t>
        </is>
      </c>
    </row>
    <row r="109">
      <c r="A109" s="26" t="inlineStr">
        <is>
          <t>OPD-CHG-0053-ATH</t>
        </is>
      </c>
      <c r="B109" s="26" t="inlineStr">
        <is>
          <t>OP-202600053-ATH</t>
        </is>
      </c>
      <c r="C109" s="26" t="inlineStr">
        <is>
          <t>CSN-OPD-780053-ATH</t>
        </is>
      </c>
      <c r="D109" s="26" t="inlineStr">
        <is>
          <t>Outpatient</t>
        </is>
      </c>
      <c r="E109" s="26" t="inlineStr">
        <is>
          <t>Demo Regional Medical Center</t>
        </is>
      </c>
      <c r="F109" s="26" t="inlineStr">
        <is>
          <t>Physical Therapy</t>
        </is>
      </c>
      <c r="G109" s="26" t="inlineStr">
        <is>
          <t>2026-09-04</t>
        </is>
      </c>
      <c r="H109" s="26" t="inlineStr">
        <is>
          <t>PT-THEREX-OP</t>
        </is>
      </c>
      <c r="I109" s="26" t="inlineStr">
        <is>
          <t>Therapeutic Exercise, 15 Minutes</t>
        </is>
      </c>
      <c r="J109" s="26" t="inlineStr">
        <is>
          <t>0420</t>
        </is>
      </c>
      <c r="K109" s="26" t="inlineStr">
        <is>
          <t>97110</t>
        </is>
      </c>
      <c r="L109" s="26" t="n"/>
      <c r="M109" s="26" t="n">
        <v>6</v>
      </c>
      <c r="N109" s="13" t="n">
        <v>305</v>
      </c>
      <c r="O109" s="13">
        <f>M109*N109</f>
        <v/>
      </c>
      <c r="P109" s="13" t="n">
        <v>1035.22</v>
      </c>
      <c r="Q109" s="13">
        <f>P109*20%</f>
        <v/>
      </c>
      <c r="R109" s="13">
        <f>O109-P109</f>
        <v/>
      </c>
      <c r="S109" s="26" t="inlineStr">
        <is>
          <t>Athena Health Insurance</t>
        </is>
      </c>
      <c r="T109" s="26" t="inlineStr">
        <is>
          <t>Athena PPO</t>
        </is>
      </c>
      <c r="U109" s="26" t="n"/>
      <c r="V109" s="26" t="inlineStr">
        <is>
          <t>Eleanor Brooks, MD</t>
        </is>
      </c>
      <c r="W109" s="26" t="inlineStr">
        <is>
          <t>Assigned Department Provider</t>
        </is>
      </c>
      <c r="X109" s="26" t="inlineStr">
        <is>
          <t>Therapy</t>
        </is>
      </c>
      <c r="Y109" s="26" t="inlineStr">
        <is>
          <t>Note signed</t>
        </is>
      </c>
      <c r="Z109" s="26" t="inlineStr">
        <is>
          <t>Posted</t>
        </is>
      </c>
      <c r="AA109" s="26" t="inlineStr">
        <is>
          <t>Matched</t>
        </is>
      </c>
      <c r="AB109" s="26" t="inlineStr">
        <is>
          <t>Passed</t>
        </is>
      </c>
      <c r="AC109" s="26" t="n"/>
      <c r="AD109" s="26" t="inlineStr">
        <is>
          <t>Timed units</t>
        </is>
      </c>
      <c r="AE109" s="26" t="inlineStr">
        <is>
          <t>M54.50</t>
        </is>
      </c>
      <c r="AF109" s="26" t="inlineStr">
        <is>
          <t>22</t>
        </is>
      </c>
      <c r="AG109" s="26" t="inlineStr">
        <is>
          <t>2026-09-04 16:30</t>
        </is>
      </c>
      <c r="AH109" s="26" t="inlineStr">
        <is>
          <t>Synthetic Athena negotiated charge</t>
        </is>
      </c>
    </row>
    <row r="110">
      <c r="A110" s="26" t="inlineStr">
        <is>
          <t>OPD-CHG-0053-CGH</t>
        </is>
      </c>
      <c r="B110" s="26" t="inlineStr">
        <is>
          <t>OP-202600053-CGH</t>
        </is>
      </c>
      <c r="C110" s="26" t="inlineStr">
        <is>
          <t>CSN-OPD-780053-CGH</t>
        </is>
      </c>
      <c r="D110" s="26" t="inlineStr">
        <is>
          <t>Outpatient</t>
        </is>
      </c>
      <c r="E110" s="26" t="inlineStr">
        <is>
          <t>Demo Regional Medical Center</t>
        </is>
      </c>
      <c r="F110" s="26" t="inlineStr">
        <is>
          <t>Physical Therapy</t>
        </is>
      </c>
      <c r="G110" s="26" t="inlineStr">
        <is>
          <t>2026-09-04</t>
        </is>
      </c>
      <c r="H110" s="26" t="inlineStr">
        <is>
          <t>PT-THEREX-OP</t>
        </is>
      </c>
      <c r="I110" s="26" t="inlineStr">
        <is>
          <t>Therapeutic Exercise, 15 Minutes</t>
        </is>
      </c>
      <c r="J110" s="26" t="inlineStr">
        <is>
          <t>0420</t>
        </is>
      </c>
      <c r="K110" s="26" t="inlineStr">
        <is>
          <t>97110</t>
        </is>
      </c>
      <c r="L110" s="26" t="n"/>
      <c r="M110" s="26" t="n">
        <v>6</v>
      </c>
      <c r="N110" s="13" t="n">
        <v>305</v>
      </c>
      <c r="O110" s="13">
        <f>M110*N110</f>
        <v/>
      </c>
      <c r="P110" s="13" t="n">
        <v>931.7</v>
      </c>
      <c r="Q110" s="13">
        <f>P110*15%</f>
        <v/>
      </c>
      <c r="R110" s="13">
        <f>O110-P110</f>
        <v/>
      </c>
      <c r="S110" s="26" t="inlineStr">
        <is>
          <t>Care Gap Health</t>
        </is>
      </c>
      <c r="T110" s="26" t="inlineStr">
        <is>
          <t>Care Gap Value PPO</t>
        </is>
      </c>
      <c r="U110" s="26" t="n"/>
      <c r="V110" s="26" t="inlineStr">
        <is>
          <t>Eleanor Brooks, MD</t>
        </is>
      </c>
      <c r="W110" s="26" t="inlineStr">
        <is>
          <t>Assigned Department Provider</t>
        </is>
      </c>
      <c r="X110" s="26" t="inlineStr">
        <is>
          <t>Therapy</t>
        </is>
      </c>
      <c r="Y110" s="26" t="inlineStr">
        <is>
          <t>Note signed</t>
        </is>
      </c>
      <c r="Z110" s="26" t="inlineStr">
        <is>
          <t>Posted</t>
        </is>
      </c>
      <c r="AA110" s="26" t="inlineStr">
        <is>
          <t>Matched</t>
        </is>
      </c>
      <c r="AB110" s="26" t="inlineStr">
        <is>
          <t>Passed</t>
        </is>
      </c>
      <c r="AC110" s="26" t="n"/>
      <c r="AD110" s="26" t="inlineStr">
        <is>
          <t>Timed units</t>
        </is>
      </c>
      <c r="AE110" s="26" t="inlineStr">
        <is>
          <t>M54.50</t>
        </is>
      </c>
      <c r="AF110" s="26" t="inlineStr">
        <is>
          <t>22</t>
        </is>
      </c>
      <c r="AG110" s="26" t="inlineStr">
        <is>
          <t>2026-09-04 16:30</t>
        </is>
      </c>
      <c r="AH110" s="26" t="inlineStr">
        <is>
          <t>Synthetic Care Gap charge; 10% below Athena allowed amount</t>
        </is>
      </c>
    </row>
    <row r="111">
      <c r="A111" s="26" t="inlineStr">
        <is>
          <t>OPD-CHG-0054-ATH</t>
        </is>
      </c>
      <c r="B111" s="26" t="inlineStr">
        <is>
          <t>OP-202600054-ATH</t>
        </is>
      </c>
      <c r="C111" s="26" t="inlineStr">
        <is>
          <t>CSN-OPD-780054-ATH</t>
        </is>
      </c>
      <c r="D111" s="26" t="inlineStr">
        <is>
          <t>Outpatient</t>
        </is>
      </c>
      <c r="E111" s="26" t="inlineStr">
        <is>
          <t>Demo Regional Medical Center</t>
        </is>
      </c>
      <c r="F111" s="26" t="inlineStr">
        <is>
          <t>Infusion</t>
        </is>
      </c>
      <c r="G111" s="26" t="inlineStr">
        <is>
          <t>2026-09-05</t>
        </is>
      </c>
      <c r="H111" s="26" t="inlineStr">
        <is>
          <t>INFUSION-1H</t>
        </is>
      </c>
      <c r="I111" s="26" t="inlineStr">
        <is>
          <t>Therapeutic Infusion, Initial Hour</t>
        </is>
      </c>
      <c r="J111" s="26" t="inlineStr">
        <is>
          <t>0260</t>
        </is>
      </c>
      <c r="K111" s="26" t="inlineStr">
        <is>
          <t>96365</t>
        </is>
      </c>
      <c r="L111" s="26" t="n"/>
      <c r="M111" s="26" t="n">
        <v>1</v>
      </c>
      <c r="N111" s="13" t="n">
        <v>780</v>
      </c>
      <c r="O111" s="13">
        <f>M111*N111</f>
        <v/>
      </c>
      <c r="P111" s="13" t="n">
        <v>377.62</v>
      </c>
      <c r="Q111" s="13">
        <f>P111*20%</f>
        <v/>
      </c>
      <c r="R111" s="13">
        <f>O111-P111</f>
        <v/>
      </c>
      <c r="S111" s="26" t="inlineStr">
        <is>
          <t>Athena Health Insurance</t>
        </is>
      </c>
      <c r="T111" s="26" t="inlineStr">
        <is>
          <t>Athena PPO</t>
        </is>
      </c>
      <c r="U111" s="26" t="inlineStr">
        <is>
          <t>AUTH-700054</t>
        </is>
      </c>
      <c r="V111" s="26" t="inlineStr">
        <is>
          <t>Eleanor Brooks, MD</t>
        </is>
      </c>
      <c r="W111" s="26" t="inlineStr">
        <is>
          <t>Assigned Department Provider</t>
        </is>
      </c>
      <c r="X111" s="26" t="inlineStr">
        <is>
          <t>Infusion</t>
        </is>
      </c>
      <c r="Y111" s="26" t="inlineStr">
        <is>
          <t>Administration completed</t>
        </is>
      </c>
      <c r="Z111" s="26" t="inlineStr">
        <is>
          <t>Posted</t>
        </is>
      </c>
      <c r="AA111" s="26" t="inlineStr">
        <is>
          <t>Matched</t>
        </is>
      </c>
      <c r="AB111" s="26" t="inlineStr">
        <is>
          <t>Passed</t>
        </is>
      </c>
      <c r="AC111" s="26" t="n"/>
      <c r="AD111" s="26" t="inlineStr">
        <is>
          <t>Drug policy</t>
        </is>
      </c>
      <c r="AE111" s="26" t="inlineStr">
        <is>
          <t>Z51.11</t>
        </is>
      </c>
      <c r="AF111" s="26" t="inlineStr">
        <is>
          <t>22</t>
        </is>
      </c>
      <c r="AG111" s="26" t="inlineStr">
        <is>
          <t>2026-09-05 16:30</t>
        </is>
      </c>
      <c r="AH111" s="26" t="inlineStr">
        <is>
          <t>Synthetic Athena negotiated charge</t>
        </is>
      </c>
    </row>
    <row r="112">
      <c r="A112" s="26" t="inlineStr">
        <is>
          <t>OPD-CHG-0054-CGH</t>
        </is>
      </c>
      <c r="B112" s="26" t="inlineStr">
        <is>
          <t>OP-202600054-CGH</t>
        </is>
      </c>
      <c r="C112" s="26" t="inlineStr">
        <is>
          <t>CSN-OPD-780054-CGH</t>
        </is>
      </c>
      <c r="D112" s="26" t="inlineStr">
        <is>
          <t>Outpatient</t>
        </is>
      </c>
      <c r="E112" s="26" t="inlineStr">
        <is>
          <t>Demo Regional Medical Center</t>
        </is>
      </c>
      <c r="F112" s="26" t="inlineStr">
        <is>
          <t>Infusion</t>
        </is>
      </c>
      <c r="G112" s="26" t="inlineStr">
        <is>
          <t>2026-09-05</t>
        </is>
      </c>
      <c r="H112" s="26" t="inlineStr">
        <is>
          <t>INFUSION-1H</t>
        </is>
      </c>
      <c r="I112" s="26" t="inlineStr">
        <is>
          <t>Therapeutic Infusion, Initial Hour</t>
        </is>
      </c>
      <c r="J112" s="26" t="inlineStr">
        <is>
          <t>0260</t>
        </is>
      </c>
      <c r="K112" s="26" t="inlineStr">
        <is>
          <t>96365</t>
        </is>
      </c>
      <c r="L112" s="26" t="n"/>
      <c r="M112" s="26" t="n">
        <v>1</v>
      </c>
      <c r="N112" s="13" t="n">
        <v>780</v>
      </c>
      <c r="O112" s="13">
        <f>M112*N112</f>
        <v/>
      </c>
      <c r="P112" s="13" t="n">
        <v>339.86</v>
      </c>
      <c r="Q112" s="13">
        <f>P112*15%</f>
        <v/>
      </c>
      <c r="R112" s="13">
        <f>O112-P112</f>
        <v/>
      </c>
      <c r="S112" s="26" t="inlineStr">
        <is>
          <t>Care Gap Health</t>
        </is>
      </c>
      <c r="T112" s="26" t="inlineStr">
        <is>
          <t>Care Gap Value PPO</t>
        </is>
      </c>
      <c r="U112" s="26" t="inlineStr">
        <is>
          <t>AUTH-700054</t>
        </is>
      </c>
      <c r="V112" s="26" t="inlineStr">
        <is>
          <t>Eleanor Brooks, MD</t>
        </is>
      </c>
      <c r="W112" s="26" t="inlineStr">
        <is>
          <t>Assigned Department Provider</t>
        </is>
      </c>
      <c r="X112" s="26" t="inlineStr">
        <is>
          <t>Infusion</t>
        </is>
      </c>
      <c r="Y112" s="26" t="inlineStr">
        <is>
          <t>Administration completed</t>
        </is>
      </c>
      <c r="Z112" s="26" t="inlineStr">
        <is>
          <t>Posted</t>
        </is>
      </c>
      <c r="AA112" s="26" t="inlineStr">
        <is>
          <t>Matched</t>
        </is>
      </c>
      <c r="AB112" s="26" t="inlineStr">
        <is>
          <t>Passed</t>
        </is>
      </c>
      <c r="AC112" s="26" t="n"/>
      <c r="AD112" s="26" t="inlineStr">
        <is>
          <t>Drug policy</t>
        </is>
      </c>
      <c r="AE112" s="26" t="inlineStr">
        <is>
          <t>Z51.11</t>
        </is>
      </c>
      <c r="AF112" s="26" t="inlineStr">
        <is>
          <t>22</t>
        </is>
      </c>
      <c r="AG112" s="26" t="inlineStr">
        <is>
          <t>2026-09-05 16:30</t>
        </is>
      </c>
      <c r="AH112" s="26" t="inlineStr">
        <is>
          <t>Synthetic Care Gap charge; 10% below Athena allowed amount</t>
        </is>
      </c>
    </row>
    <row r="113">
      <c r="A113" s="26" t="inlineStr">
        <is>
          <t>OPD-CHG-0055-ATH</t>
        </is>
      </c>
      <c r="B113" s="26" t="inlineStr">
        <is>
          <t>OP-202600055-ATH</t>
        </is>
      </c>
      <c r="C113" s="26" t="inlineStr">
        <is>
          <t>CSN-OPD-780055-ATH</t>
        </is>
      </c>
      <c r="D113" s="26" t="inlineStr">
        <is>
          <t>Outpatient</t>
        </is>
      </c>
      <c r="E113" s="26" t="inlineStr">
        <is>
          <t>Demo Regional Medical Center</t>
        </is>
      </c>
      <c r="F113" s="26" t="inlineStr">
        <is>
          <t>Chemotherapy</t>
        </is>
      </c>
      <c r="G113" s="26" t="inlineStr">
        <is>
          <t>2026-09-06</t>
        </is>
      </c>
      <c r="H113" s="26" t="inlineStr">
        <is>
          <t>CHEMO-1H</t>
        </is>
      </c>
      <c r="I113" s="26" t="inlineStr">
        <is>
          <t>Chemotherapy Infusion, Initial Hour</t>
        </is>
      </c>
      <c r="J113" s="26" t="inlineStr">
        <is>
          <t>0335</t>
        </is>
      </c>
      <c r="K113" s="26" t="inlineStr">
        <is>
          <t>96413</t>
        </is>
      </c>
      <c r="L113" s="26" t="n"/>
      <c r="M113" s="26" t="n">
        <v>1</v>
      </c>
      <c r="N113" s="13" t="n">
        <v>1850</v>
      </c>
      <c r="O113" s="13">
        <f>M113*N113</f>
        <v/>
      </c>
      <c r="P113" s="13" t="n">
        <v>999.58</v>
      </c>
      <c r="Q113" s="13">
        <f>P113*20%</f>
        <v/>
      </c>
      <c r="R113" s="13">
        <f>O113-P113</f>
        <v/>
      </c>
      <c r="S113" s="26" t="inlineStr">
        <is>
          <t>Athena Health Insurance</t>
        </is>
      </c>
      <c r="T113" s="26" t="inlineStr">
        <is>
          <t>Athena PPO</t>
        </is>
      </c>
      <c r="U113" s="26" t="inlineStr">
        <is>
          <t>AUTH-700055</t>
        </is>
      </c>
      <c r="V113" s="26" t="inlineStr">
        <is>
          <t>Eleanor Brooks, MD</t>
        </is>
      </c>
      <c r="W113" s="26" t="inlineStr">
        <is>
          <t>Assigned Department Provider</t>
        </is>
      </c>
      <c r="X113" s="26" t="inlineStr">
        <is>
          <t>Infusion</t>
        </is>
      </c>
      <c r="Y113" s="26" t="inlineStr">
        <is>
          <t>Administration completed</t>
        </is>
      </c>
      <c r="Z113" s="26" t="inlineStr">
        <is>
          <t>Posted</t>
        </is>
      </c>
      <c r="AA113" s="26" t="inlineStr">
        <is>
          <t>Matched</t>
        </is>
      </c>
      <c r="AB113" s="26" t="inlineStr">
        <is>
          <t>Passed</t>
        </is>
      </c>
      <c r="AC113" s="26" t="n"/>
      <c r="AD113" s="26" t="inlineStr">
        <is>
          <t>Drug policy</t>
        </is>
      </c>
      <c r="AE113" s="26" t="inlineStr">
        <is>
          <t>C50.919</t>
        </is>
      </c>
      <c r="AF113" s="26" t="inlineStr">
        <is>
          <t>22</t>
        </is>
      </c>
      <c r="AG113" s="26" t="inlineStr">
        <is>
          <t>2026-09-06 16:30</t>
        </is>
      </c>
      <c r="AH113" s="26" t="inlineStr">
        <is>
          <t>Synthetic Athena negotiated charge</t>
        </is>
      </c>
    </row>
    <row r="114">
      <c r="A114" s="26" t="inlineStr">
        <is>
          <t>OPD-CHG-0055-CGH</t>
        </is>
      </c>
      <c r="B114" s="26" t="inlineStr">
        <is>
          <t>OP-202600055-CGH</t>
        </is>
      </c>
      <c r="C114" s="26" t="inlineStr">
        <is>
          <t>CSN-OPD-780055-CGH</t>
        </is>
      </c>
      <c r="D114" s="26" t="inlineStr">
        <is>
          <t>Outpatient</t>
        </is>
      </c>
      <c r="E114" s="26" t="inlineStr">
        <is>
          <t>Demo Regional Medical Center</t>
        </is>
      </c>
      <c r="F114" s="26" t="inlineStr">
        <is>
          <t>Chemotherapy</t>
        </is>
      </c>
      <c r="G114" s="26" t="inlineStr">
        <is>
          <t>2026-09-06</t>
        </is>
      </c>
      <c r="H114" s="26" t="inlineStr">
        <is>
          <t>CHEMO-1H</t>
        </is>
      </c>
      <c r="I114" s="26" t="inlineStr">
        <is>
          <t>Chemotherapy Infusion, Initial Hour</t>
        </is>
      </c>
      <c r="J114" s="26" t="inlineStr">
        <is>
          <t>0335</t>
        </is>
      </c>
      <c r="K114" s="26" t="inlineStr">
        <is>
          <t>96413</t>
        </is>
      </c>
      <c r="L114" s="26" t="n"/>
      <c r="M114" s="26" t="n">
        <v>1</v>
      </c>
      <c r="N114" s="13" t="n">
        <v>1850</v>
      </c>
      <c r="O114" s="13">
        <f>M114*N114</f>
        <v/>
      </c>
      <c r="P114" s="13" t="n">
        <v>899.62</v>
      </c>
      <c r="Q114" s="13">
        <f>P114*15%</f>
        <v/>
      </c>
      <c r="R114" s="13">
        <f>O114-P114</f>
        <v/>
      </c>
      <c r="S114" s="26" t="inlineStr">
        <is>
          <t>Care Gap Health</t>
        </is>
      </c>
      <c r="T114" s="26" t="inlineStr">
        <is>
          <t>Care Gap Value PPO</t>
        </is>
      </c>
      <c r="U114" s="26" t="inlineStr">
        <is>
          <t>AUTH-700055</t>
        </is>
      </c>
      <c r="V114" s="26" t="inlineStr">
        <is>
          <t>Eleanor Brooks, MD</t>
        </is>
      </c>
      <c r="W114" s="26" t="inlineStr">
        <is>
          <t>Assigned Department Provider</t>
        </is>
      </c>
      <c r="X114" s="26" t="inlineStr">
        <is>
          <t>Infusion</t>
        </is>
      </c>
      <c r="Y114" s="26" t="inlineStr">
        <is>
          <t>Administration completed</t>
        </is>
      </c>
      <c r="Z114" s="26" t="inlineStr">
        <is>
          <t>Posted</t>
        </is>
      </c>
      <c r="AA114" s="26" t="inlineStr">
        <is>
          <t>Matched</t>
        </is>
      </c>
      <c r="AB114" s="26" t="inlineStr">
        <is>
          <t>Passed</t>
        </is>
      </c>
      <c r="AC114" s="26" t="n"/>
      <c r="AD114" s="26" t="inlineStr">
        <is>
          <t>Drug policy</t>
        </is>
      </c>
      <c r="AE114" s="26" t="inlineStr">
        <is>
          <t>C50.919</t>
        </is>
      </c>
      <c r="AF114" s="26" t="inlineStr">
        <is>
          <t>22</t>
        </is>
      </c>
      <c r="AG114" s="26" t="inlineStr">
        <is>
          <t>2026-09-06 16:30</t>
        </is>
      </c>
      <c r="AH114" s="26" t="inlineStr">
        <is>
          <t>Synthetic Care Gap charge; 10% below Athena allowed amount</t>
        </is>
      </c>
    </row>
    <row r="115">
      <c r="A115" s="26" t="inlineStr">
        <is>
          <t>OPD-CHG-0056-ATH</t>
        </is>
      </c>
      <c r="B115" s="26" t="inlineStr">
        <is>
          <t>OP-202600056-ATH</t>
        </is>
      </c>
      <c r="C115" s="26" t="inlineStr">
        <is>
          <t>CSN-OPD-780056-ATH</t>
        </is>
      </c>
      <c r="D115" s="26" t="inlineStr">
        <is>
          <t>Outpatient</t>
        </is>
      </c>
      <c r="E115" s="26" t="inlineStr">
        <is>
          <t>Demo Regional Medical Center</t>
        </is>
      </c>
      <c r="F115" s="26" t="inlineStr">
        <is>
          <t>Behavioral Health</t>
        </is>
      </c>
      <c r="G115" s="26" t="inlineStr">
        <is>
          <t>2026-09-07</t>
        </is>
      </c>
      <c r="H115" s="26" t="inlineStr">
        <is>
          <t>BH-INDIVIDUAL</t>
        </is>
      </c>
      <c r="I115" s="26" t="inlineStr">
        <is>
          <t>Outpatient Psychotherapy, 45 Minutes</t>
        </is>
      </c>
      <c r="J115" s="26" t="inlineStr">
        <is>
          <t>0914</t>
        </is>
      </c>
      <c r="K115" s="26" t="inlineStr">
        <is>
          <t>90834</t>
        </is>
      </c>
      <c r="L115" s="26" t="n"/>
      <c r="M115" s="26" t="n">
        <v>1</v>
      </c>
      <c r="N115" s="13" t="n">
        <v>285</v>
      </c>
      <c r="O115" s="13">
        <f>M115*N115</f>
        <v/>
      </c>
      <c r="P115" s="13" t="n">
        <v>124.71</v>
      </c>
      <c r="Q115" s="13">
        <f>P115*20%</f>
        <v/>
      </c>
      <c r="R115" s="13">
        <f>O115-P115</f>
        <v/>
      </c>
      <c r="S115" s="26" t="inlineStr">
        <is>
          <t>Athena Health Insurance</t>
        </is>
      </c>
      <c r="T115" s="26" t="inlineStr">
        <is>
          <t>Athena PPO</t>
        </is>
      </c>
      <c r="U115" s="26" t="n"/>
      <c r="V115" s="26" t="inlineStr">
        <is>
          <t>Eleanor Brooks, MD</t>
        </is>
      </c>
      <c r="W115" s="26" t="inlineStr">
        <is>
          <t>Assigned Department Provider</t>
        </is>
      </c>
      <c r="X115" s="26" t="inlineStr">
        <is>
          <t>Behavioral Health</t>
        </is>
      </c>
      <c r="Y115" s="26" t="inlineStr">
        <is>
          <t>Note signed</t>
        </is>
      </c>
      <c r="Z115" s="26" t="inlineStr">
        <is>
          <t>Posted</t>
        </is>
      </c>
      <c r="AA115" s="26" t="inlineStr">
        <is>
          <t>Matched</t>
        </is>
      </c>
      <c r="AB115" s="26" t="inlineStr">
        <is>
          <t>Passed</t>
        </is>
      </c>
      <c r="AC115" s="26" t="n"/>
      <c r="AD115" s="26" t="inlineStr">
        <is>
          <t>Benefits</t>
        </is>
      </c>
      <c r="AE115" s="26" t="inlineStr">
        <is>
          <t>F41.1</t>
        </is>
      </c>
      <c r="AF115" s="26" t="inlineStr">
        <is>
          <t>22</t>
        </is>
      </c>
      <c r="AG115" s="26" t="inlineStr">
        <is>
          <t>2026-09-07 16:30</t>
        </is>
      </c>
      <c r="AH115" s="26" t="inlineStr">
        <is>
          <t>Synthetic Athena negotiated charge</t>
        </is>
      </c>
    </row>
    <row r="116">
      <c r="A116" s="26" t="inlineStr">
        <is>
          <t>OPD-CHG-0056-CGH</t>
        </is>
      </c>
      <c r="B116" s="26" t="inlineStr">
        <is>
          <t>OP-202600056-CGH</t>
        </is>
      </c>
      <c r="C116" s="26" t="inlineStr">
        <is>
          <t>CSN-OPD-780056-CGH</t>
        </is>
      </c>
      <c r="D116" s="26" t="inlineStr">
        <is>
          <t>Outpatient</t>
        </is>
      </c>
      <c r="E116" s="26" t="inlineStr">
        <is>
          <t>Demo Regional Medical Center</t>
        </is>
      </c>
      <c r="F116" s="26" t="inlineStr">
        <is>
          <t>Behavioral Health</t>
        </is>
      </c>
      <c r="G116" s="26" t="inlineStr">
        <is>
          <t>2026-09-07</t>
        </is>
      </c>
      <c r="H116" s="26" t="inlineStr">
        <is>
          <t>BH-INDIVIDUAL</t>
        </is>
      </c>
      <c r="I116" s="26" t="inlineStr">
        <is>
          <t>Outpatient Psychotherapy, 45 Minutes</t>
        </is>
      </c>
      <c r="J116" s="26" t="inlineStr">
        <is>
          <t>0914</t>
        </is>
      </c>
      <c r="K116" s="26" t="inlineStr">
        <is>
          <t>90834</t>
        </is>
      </c>
      <c r="L116" s="26" t="n"/>
      <c r="M116" s="26" t="n">
        <v>1</v>
      </c>
      <c r="N116" s="13" t="n">
        <v>285</v>
      </c>
      <c r="O116" s="13">
        <f>M116*N116</f>
        <v/>
      </c>
      <c r="P116" s="13" t="n">
        <v>112.24</v>
      </c>
      <c r="Q116" s="13">
        <f>P116*15%</f>
        <v/>
      </c>
      <c r="R116" s="13">
        <f>O116-P116</f>
        <v/>
      </c>
      <c r="S116" s="26" t="inlineStr">
        <is>
          <t>Care Gap Health</t>
        </is>
      </c>
      <c r="T116" s="26" t="inlineStr">
        <is>
          <t>Care Gap Value PPO</t>
        </is>
      </c>
      <c r="U116" s="26" t="n"/>
      <c r="V116" s="26" t="inlineStr">
        <is>
          <t>Eleanor Brooks, MD</t>
        </is>
      </c>
      <c r="W116" s="26" t="inlineStr">
        <is>
          <t>Assigned Department Provider</t>
        </is>
      </c>
      <c r="X116" s="26" t="inlineStr">
        <is>
          <t>Behavioral Health</t>
        </is>
      </c>
      <c r="Y116" s="26" t="inlineStr">
        <is>
          <t>Note signed</t>
        </is>
      </c>
      <c r="Z116" s="26" t="inlineStr">
        <is>
          <t>Posted</t>
        </is>
      </c>
      <c r="AA116" s="26" t="inlineStr">
        <is>
          <t>Matched</t>
        </is>
      </c>
      <c r="AB116" s="26" t="inlineStr">
        <is>
          <t>Passed</t>
        </is>
      </c>
      <c r="AC116" s="26" t="n"/>
      <c r="AD116" s="26" t="inlineStr">
        <is>
          <t>Benefits</t>
        </is>
      </c>
      <c r="AE116" s="26" t="inlineStr">
        <is>
          <t>F41.1</t>
        </is>
      </c>
      <c r="AF116" s="26" t="inlineStr">
        <is>
          <t>22</t>
        </is>
      </c>
      <c r="AG116" s="26" t="inlineStr">
        <is>
          <t>2026-09-07 16:30</t>
        </is>
      </c>
      <c r="AH116" s="26" t="inlineStr">
        <is>
          <t>Synthetic Care Gap charge; 10% below Athena allowed amount</t>
        </is>
      </c>
    </row>
    <row r="117">
      <c r="A117" s="26" t="inlineStr">
        <is>
          <t>OPD-CHG-0057-ATH</t>
        </is>
      </c>
      <c r="B117" s="26" t="inlineStr">
        <is>
          <t>OP-202600057-ATH</t>
        </is>
      </c>
      <c r="C117" s="26" t="inlineStr">
        <is>
          <t>CSN-OPD-780057-ATH</t>
        </is>
      </c>
      <c r="D117" s="26" t="inlineStr">
        <is>
          <t>Outpatient</t>
        </is>
      </c>
      <c r="E117" s="26" t="inlineStr">
        <is>
          <t>Demo Regional Medical Center</t>
        </is>
      </c>
      <c r="F117" s="26" t="inlineStr">
        <is>
          <t>Emergency Department</t>
        </is>
      </c>
      <c r="G117" s="26" t="inlineStr">
        <is>
          <t>2026-09-08</t>
        </is>
      </c>
      <c r="H117" s="26" t="inlineStr">
        <is>
          <t>ED-LEVEL-1</t>
        </is>
      </c>
      <c r="I117" s="26" t="inlineStr">
        <is>
          <t>Emergency Department Visit Level 1</t>
        </is>
      </c>
      <c r="J117" s="26" t="inlineStr">
        <is>
          <t>0450</t>
        </is>
      </c>
      <c r="K117" s="26" t="inlineStr">
        <is>
          <t>99281</t>
        </is>
      </c>
      <c r="L117" s="26" t="n"/>
      <c r="M117" s="26" t="n">
        <v>1</v>
      </c>
      <c r="N117" s="13" t="n">
        <v>360</v>
      </c>
      <c r="O117" s="13">
        <f>M117*N117</f>
        <v/>
      </c>
      <c r="P117" s="13" t="n">
        <v>192.13</v>
      </c>
      <c r="Q117" s="13">
        <f>P117*20%</f>
        <v/>
      </c>
      <c r="R117" s="13">
        <f>O117-P117</f>
        <v/>
      </c>
      <c r="S117" s="26" t="inlineStr">
        <is>
          <t>Athena Health Insurance</t>
        </is>
      </c>
      <c r="T117" s="26" t="inlineStr">
        <is>
          <t>Athena PPO</t>
        </is>
      </c>
      <c r="U117" s="26" t="n"/>
      <c r="V117" s="26" t="inlineStr">
        <is>
          <t>Eleanor Brooks, MD</t>
        </is>
      </c>
      <c r="W117" s="26" t="inlineStr">
        <is>
          <t>Assigned Department Provider</t>
        </is>
      </c>
      <c r="X117" s="26" t="inlineStr">
        <is>
          <t>ED</t>
        </is>
      </c>
      <c r="Y117" s="26" t="inlineStr">
        <is>
          <t>Encounter close</t>
        </is>
      </c>
      <c r="Z117" s="26" t="inlineStr">
        <is>
          <t>Posted</t>
        </is>
      </c>
      <c r="AA117" s="26" t="inlineStr">
        <is>
          <t>Matched</t>
        </is>
      </c>
      <c r="AB117" s="26" t="inlineStr">
        <is>
          <t>Passed</t>
        </is>
      </c>
      <c r="AC117" s="26" t="n"/>
      <c r="AD117" s="26" t="inlineStr">
        <is>
          <t>Documentation</t>
        </is>
      </c>
      <c r="AE117" s="26" t="inlineStr">
        <is>
          <t>R50.9</t>
        </is>
      </c>
      <c r="AF117" s="26" t="inlineStr">
        <is>
          <t>22</t>
        </is>
      </c>
      <c r="AG117" s="26" t="inlineStr">
        <is>
          <t>2026-09-08 16:30</t>
        </is>
      </c>
      <c r="AH117" s="26" t="inlineStr">
        <is>
          <t>Synthetic Athena negotiated charge</t>
        </is>
      </c>
    </row>
    <row r="118">
      <c r="A118" s="26" t="inlineStr">
        <is>
          <t>OPD-CHG-0057-CGH</t>
        </is>
      </c>
      <c r="B118" s="26" t="inlineStr">
        <is>
          <t>OP-202600057-CGH</t>
        </is>
      </c>
      <c r="C118" s="26" t="inlineStr">
        <is>
          <t>CSN-OPD-780057-CGH</t>
        </is>
      </c>
      <c r="D118" s="26" t="inlineStr">
        <is>
          <t>Outpatient</t>
        </is>
      </c>
      <c r="E118" s="26" t="inlineStr">
        <is>
          <t>Demo Regional Medical Center</t>
        </is>
      </c>
      <c r="F118" s="26" t="inlineStr">
        <is>
          <t>Emergency Department</t>
        </is>
      </c>
      <c r="G118" s="26" t="inlineStr">
        <is>
          <t>2026-09-08</t>
        </is>
      </c>
      <c r="H118" s="26" t="inlineStr">
        <is>
          <t>ED-LEVEL-1</t>
        </is>
      </c>
      <c r="I118" s="26" t="inlineStr">
        <is>
          <t>Emergency Department Visit Level 1</t>
        </is>
      </c>
      <c r="J118" s="26" t="inlineStr">
        <is>
          <t>0450</t>
        </is>
      </c>
      <c r="K118" s="26" t="inlineStr">
        <is>
          <t>99281</t>
        </is>
      </c>
      <c r="L118" s="26" t="n"/>
      <c r="M118" s="26" t="n">
        <v>1</v>
      </c>
      <c r="N118" s="13" t="n">
        <v>360</v>
      </c>
      <c r="O118" s="13">
        <f>M118*N118</f>
        <v/>
      </c>
      <c r="P118" s="13" t="n">
        <v>172.92</v>
      </c>
      <c r="Q118" s="13">
        <f>P118*15%</f>
        <v/>
      </c>
      <c r="R118" s="13">
        <f>O118-P118</f>
        <v/>
      </c>
      <c r="S118" s="26" t="inlineStr">
        <is>
          <t>Care Gap Health</t>
        </is>
      </c>
      <c r="T118" s="26" t="inlineStr">
        <is>
          <t>Care Gap Value PPO</t>
        </is>
      </c>
      <c r="U118" s="26" t="n"/>
      <c r="V118" s="26" t="inlineStr">
        <is>
          <t>Eleanor Brooks, MD</t>
        </is>
      </c>
      <c r="W118" s="26" t="inlineStr">
        <is>
          <t>Assigned Department Provider</t>
        </is>
      </c>
      <c r="X118" s="26" t="inlineStr">
        <is>
          <t>ED</t>
        </is>
      </c>
      <c r="Y118" s="26" t="inlineStr">
        <is>
          <t>Encounter close</t>
        </is>
      </c>
      <c r="Z118" s="26" t="inlineStr">
        <is>
          <t>Posted</t>
        </is>
      </c>
      <c r="AA118" s="26" t="inlineStr">
        <is>
          <t>Matched</t>
        </is>
      </c>
      <c r="AB118" s="26" t="inlineStr">
        <is>
          <t>Passed</t>
        </is>
      </c>
      <c r="AC118" s="26" t="n"/>
      <c r="AD118" s="26" t="inlineStr">
        <is>
          <t>Documentation</t>
        </is>
      </c>
      <c r="AE118" s="26" t="inlineStr">
        <is>
          <t>R50.9</t>
        </is>
      </c>
      <c r="AF118" s="26" t="inlineStr">
        <is>
          <t>22</t>
        </is>
      </c>
      <c r="AG118" s="26" t="inlineStr">
        <is>
          <t>2026-09-08 16:30</t>
        </is>
      </c>
      <c r="AH118" s="26" t="inlineStr">
        <is>
          <t>Synthetic Care Gap charge; 10% below Athena allowed amount</t>
        </is>
      </c>
    </row>
    <row r="119">
      <c r="A119" s="26" t="inlineStr">
        <is>
          <t>OPD-CHG-0058-ATH</t>
        </is>
      </c>
      <c r="B119" s="26" t="inlineStr">
        <is>
          <t>OP-202600058-ATH</t>
        </is>
      </c>
      <c r="C119" s="26" t="inlineStr">
        <is>
          <t>CSN-OPD-780058-ATH</t>
        </is>
      </c>
      <c r="D119" s="26" t="inlineStr">
        <is>
          <t>Outpatient</t>
        </is>
      </c>
      <c r="E119" s="26" t="inlineStr">
        <is>
          <t>Demo Regional Medical Center</t>
        </is>
      </c>
      <c r="F119" s="26" t="inlineStr">
        <is>
          <t>Emergency Department</t>
        </is>
      </c>
      <c r="G119" s="26" t="inlineStr">
        <is>
          <t>2026-09-09</t>
        </is>
      </c>
      <c r="H119" s="26" t="inlineStr">
        <is>
          <t>ED-LEVEL-2</t>
        </is>
      </c>
      <c r="I119" s="26" t="inlineStr">
        <is>
          <t>Emergency Department Visit Level 2</t>
        </is>
      </c>
      <c r="J119" s="26" t="inlineStr">
        <is>
          <t>0450</t>
        </is>
      </c>
      <c r="K119" s="26" t="inlineStr">
        <is>
          <t>99282</t>
        </is>
      </c>
      <c r="L119" s="26" t="n"/>
      <c r="M119" s="26" t="n">
        <v>1</v>
      </c>
      <c r="N119" s="13" t="n">
        <v>670</v>
      </c>
      <c r="O119" s="13">
        <f>M119*N119</f>
        <v/>
      </c>
      <c r="P119" s="13" t="n">
        <v>479.45</v>
      </c>
      <c r="Q119" s="13">
        <f>P119*20%</f>
        <v/>
      </c>
      <c r="R119" s="13">
        <f>O119-P119</f>
        <v/>
      </c>
      <c r="S119" s="26" t="inlineStr">
        <is>
          <t>Athena Health Insurance</t>
        </is>
      </c>
      <c r="T119" s="26" t="inlineStr">
        <is>
          <t>Athena PPO</t>
        </is>
      </c>
      <c r="U119" s="26" t="n"/>
      <c r="V119" s="26" t="inlineStr">
        <is>
          <t>Eleanor Brooks, MD</t>
        </is>
      </c>
      <c r="W119" s="26" t="inlineStr">
        <is>
          <t>Assigned Department Provider</t>
        </is>
      </c>
      <c r="X119" s="26" t="inlineStr">
        <is>
          <t>ED</t>
        </is>
      </c>
      <c r="Y119" s="26" t="inlineStr">
        <is>
          <t>Encounter close</t>
        </is>
      </c>
      <c r="Z119" s="26" t="inlineStr">
        <is>
          <t>Hold</t>
        </is>
      </c>
      <c r="AA119" s="26" t="inlineStr">
        <is>
          <t>Exception</t>
        </is>
      </c>
      <c r="AB119" s="26" t="inlineStr">
        <is>
          <t>Review</t>
        </is>
      </c>
      <c r="AC119" s="26" t="inlineStr">
        <is>
          <t>WQ-EME-03</t>
        </is>
      </c>
      <c r="AD119" s="26" t="inlineStr">
        <is>
          <t>Documentation</t>
        </is>
      </c>
      <c r="AE119" s="26" t="inlineStr">
        <is>
          <t>R51.9</t>
        </is>
      </c>
      <c r="AF119" s="26" t="inlineStr">
        <is>
          <t>22</t>
        </is>
      </c>
      <c r="AG119" s="26" t="inlineStr">
        <is>
          <t>2026-09-09 16:30</t>
        </is>
      </c>
      <c r="AH119" s="26" t="inlineStr">
        <is>
          <t>Synthetic Athena negotiated charge</t>
        </is>
      </c>
    </row>
    <row r="120">
      <c r="A120" s="26" t="inlineStr">
        <is>
          <t>OPD-CHG-0058-CGH</t>
        </is>
      </c>
      <c r="B120" s="26" t="inlineStr">
        <is>
          <t>OP-202600058-CGH</t>
        </is>
      </c>
      <c r="C120" s="26" t="inlineStr">
        <is>
          <t>CSN-OPD-780058-CGH</t>
        </is>
      </c>
      <c r="D120" s="26" t="inlineStr">
        <is>
          <t>Outpatient</t>
        </is>
      </c>
      <c r="E120" s="26" t="inlineStr">
        <is>
          <t>Demo Regional Medical Center</t>
        </is>
      </c>
      <c r="F120" s="26" t="inlineStr">
        <is>
          <t>Emergency Department</t>
        </is>
      </c>
      <c r="G120" s="26" t="inlineStr">
        <is>
          <t>2026-09-09</t>
        </is>
      </c>
      <c r="H120" s="26" t="inlineStr">
        <is>
          <t>ED-LEVEL-2</t>
        </is>
      </c>
      <c r="I120" s="26" t="inlineStr">
        <is>
          <t>Emergency Department Visit Level 2</t>
        </is>
      </c>
      <c r="J120" s="26" t="inlineStr">
        <is>
          <t>0450</t>
        </is>
      </c>
      <c r="K120" s="26" t="inlineStr">
        <is>
          <t>99282</t>
        </is>
      </c>
      <c r="L120" s="26" t="n"/>
      <c r="M120" s="26" t="n">
        <v>1</v>
      </c>
      <c r="N120" s="13" t="n">
        <v>670</v>
      </c>
      <c r="O120" s="13">
        <f>M120*N120</f>
        <v/>
      </c>
      <c r="P120" s="13" t="n">
        <v>431.5</v>
      </c>
      <c r="Q120" s="13">
        <f>P120*15%</f>
        <v/>
      </c>
      <c r="R120" s="13">
        <f>O120-P120</f>
        <v/>
      </c>
      <c r="S120" s="26" t="inlineStr">
        <is>
          <t>Care Gap Health</t>
        </is>
      </c>
      <c r="T120" s="26" t="inlineStr">
        <is>
          <t>Care Gap Value PPO</t>
        </is>
      </c>
      <c r="U120" s="26" t="n"/>
      <c r="V120" s="26" t="inlineStr">
        <is>
          <t>Eleanor Brooks, MD</t>
        </is>
      </c>
      <c r="W120" s="26" t="inlineStr">
        <is>
          <t>Assigned Department Provider</t>
        </is>
      </c>
      <c r="X120" s="26" t="inlineStr">
        <is>
          <t>ED</t>
        </is>
      </c>
      <c r="Y120" s="26" t="inlineStr">
        <is>
          <t>Encounter close</t>
        </is>
      </c>
      <c r="Z120" s="26" t="inlineStr">
        <is>
          <t>Hold</t>
        </is>
      </c>
      <c r="AA120" s="26" t="inlineStr">
        <is>
          <t>Exception</t>
        </is>
      </c>
      <c r="AB120" s="26" t="inlineStr">
        <is>
          <t>Review</t>
        </is>
      </c>
      <c r="AC120" s="26" t="inlineStr">
        <is>
          <t>WQ-EME-03</t>
        </is>
      </c>
      <c r="AD120" s="26" t="inlineStr">
        <is>
          <t>Documentation</t>
        </is>
      </c>
      <c r="AE120" s="26" t="inlineStr">
        <is>
          <t>R51.9</t>
        </is>
      </c>
      <c r="AF120" s="26" t="inlineStr">
        <is>
          <t>22</t>
        </is>
      </c>
      <c r="AG120" s="26" t="inlineStr">
        <is>
          <t>2026-09-09 16:30</t>
        </is>
      </c>
      <c r="AH120" s="26" t="inlineStr">
        <is>
          <t>Synthetic Care Gap charge; 10% below Athena allowed amount</t>
        </is>
      </c>
    </row>
    <row r="121">
      <c r="A121" s="26" t="inlineStr">
        <is>
          <t>OPD-CHG-0059-ATH</t>
        </is>
      </c>
      <c r="B121" s="26" t="inlineStr">
        <is>
          <t>OP-202600059-ATH</t>
        </is>
      </c>
      <c r="C121" s="26" t="inlineStr">
        <is>
          <t>CSN-OPD-780059-ATH</t>
        </is>
      </c>
      <c r="D121" s="26" t="inlineStr">
        <is>
          <t>Outpatient</t>
        </is>
      </c>
      <c r="E121" s="26" t="inlineStr">
        <is>
          <t>Demo Regional Medical Center</t>
        </is>
      </c>
      <c r="F121" s="26" t="inlineStr">
        <is>
          <t>Emergency Department</t>
        </is>
      </c>
      <c r="G121" s="26" t="inlineStr">
        <is>
          <t>2026-09-10</t>
        </is>
      </c>
      <c r="H121" s="26" t="inlineStr">
        <is>
          <t>ED-LEVEL-3</t>
        </is>
      </c>
      <c r="I121" s="26" t="inlineStr">
        <is>
          <t>Emergency Department Visit Level 3</t>
        </is>
      </c>
      <c r="J121" s="26" t="inlineStr">
        <is>
          <t>0450</t>
        </is>
      </c>
      <c r="K121" s="26" t="inlineStr">
        <is>
          <t>99283</t>
        </is>
      </c>
      <c r="L121" s="26" t="n"/>
      <c r="M121" s="26" t="n">
        <v>1</v>
      </c>
      <c r="N121" s="13" t="n">
        <v>1280</v>
      </c>
      <c r="O121" s="13">
        <f>M121*N121</f>
        <v/>
      </c>
      <c r="P121" s="13" t="n">
        <v>639.4400000000001</v>
      </c>
      <c r="Q121" s="13">
        <f>P121*20%</f>
        <v/>
      </c>
      <c r="R121" s="13">
        <f>O121-P121</f>
        <v/>
      </c>
      <c r="S121" s="26" t="inlineStr">
        <is>
          <t>Athena Health Insurance</t>
        </is>
      </c>
      <c r="T121" s="26" t="inlineStr">
        <is>
          <t>Athena PPO</t>
        </is>
      </c>
      <c r="U121" s="26" t="n"/>
      <c r="V121" s="26" t="inlineStr">
        <is>
          <t>Eleanor Brooks, MD</t>
        </is>
      </c>
      <c r="W121" s="26" t="inlineStr">
        <is>
          <t>Assigned Department Provider</t>
        </is>
      </c>
      <c r="X121" s="26" t="inlineStr">
        <is>
          <t>ED</t>
        </is>
      </c>
      <c r="Y121" s="26" t="inlineStr">
        <is>
          <t>Encounter close</t>
        </is>
      </c>
      <c r="Z121" s="26" t="inlineStr">
        <is>
          <t>Posted</t>
        </is>
      </c>
      <c r="AA121" s="26" t="inlineStr">
        <is>
          <t>Matched</t>
        </is>
      </c>
      <c r="AB121" s="26" t="inlineStr">
        <is>
          <t>Passed</t>
        </is>
      </c>
      <c r="AC121" s="26" t="n"/>
      <c r="AD121" s="26" t="inlineStr">
        <is>
          <t>Documentation</t>
        </is>
      </c>
      <c r="AE121" s="26" t="inlineStr">
        <is>
          <t>R10.9</t>
        </is>
      </c>
      <c r="AF121" s="26" t="inlineStr">
        <is>
          <t>22</t>
        </is>
      </c>
      <c r="AG121" s="26" t="inlineStr">
        <is>
          <t>2026-09-10 16:30</t>
        </is>
      </c>
      <c r="AH121" s="26" t="inlineStr">
        <is>
          <t>Synthetic Athena negotiated charge</t>
        </is>
      </c>
    </row>
    <row r="122">
      <c r="A122" s="26" t="inlineStr">
        <is>
          <t>OPD-CHG-0059-CGH</t>
        </is>
      </c>
      <c r="B122" s="26" t="inlineStr">
        <is>
          <t>OP-202600059-CGH</t>
        </is>
      </c>
      <c r="C122" s="26" t="inlineStr">
        <is>
          <t>CSN-OPD-780059-CGH</t>
        </is>
      </c>
      <c r="D122" s="26" t="inlineStr">
        <is>
          <t>Outpatient</t>
        </is>
      </c>
      <c r="E122" s="26" t="inlineStr">
        <is>
          <t>Demo Regional Medical Center</t>
        </is>
      </c>
      <c r="F122" s="26" t="inlineStr">
        <is>
          <t>Emergency Department</t>
        </is>
      </c>
      <c r="G122" s="26" t="inlineStr">
        <is>
          <t>2026-09-10</t>
        </is>
      </c>
      <c r="H122" s="26" t="inlineStr">
        <is>
          <t>ED-LEVEL-3</t>
        </is>
      </c>
      <c r="I122" s="26" t="inlineStr">
        <is>
          <t>Emergency Department Visit Level 3</t>
        </is>
      </c>
      <c r="J122" s="26" t="inlineStr">
        <is>
          <t>0450</t>
        </is>
      </c>
      <c r="K122" s="26" t="inlineStr">
        <is>
          <t>99283</t>
        </is>
      </c>
      <c r="L122" s="26" t="n"/>
      <c r="M122" s="26" t="n">
        <v>1</v>
      </c>
      <c r="N122" s="13" t="n">
        <v>1280</v>
      </c>
      <c r="O122" s="13">
        <f>M122*N122</f>
        <v/>
      </c>
      <c r="P122" s="13" t="n">
        <v>575.5</v>
      </c>
      <c r="Q122" s="13">
        <f>P122*15%</f>
        <v/>
      </c>
      <c r="R122" s="13">
        <f>O122-P122</f>
        <v/>
      </c>
      <c r="S122" s="26" t="inlineStr">
        <is>
          <t>Care Gap Health</t>
        </is>
      </c>
      <c r="T122" s="26" t="inlineStr">
        <is>
          <t>Care Gap Value PPO</t>
        </is>
      </c>
      <c r="U122" s="26" t="n"/>
      <c r="V122" s="26" t="inlineStr">
        <is>
          <t>Eleanor Brooks, MD</t>
        </is>
      </c>
      <c r="W122" s="26" t="inlineStr">
        <is>
          <t>Assigned Department Provider</t>
        </is>
      </c>
      <c r="X122" s="26" t="inlineStr">
        <is>
          <t>ED</t>
        </is>
      </c>
      <c r="Y122" s="26" t="inlineStr">
        <is>
          <t>Encounter close</t>
        </is>
      </c>
      <c r="Z122" s="26" t="inlineStr">
        <is>
          <t>Posted</t>
        </is>
      </c>
      <c r="AA122" s="26" t="inlineStr">
        <is>
          <t>Matched</t>
        </is>
      </c>
      <c r="AB122" s="26" t="inlineStr">
        <is>
          <t>Passed</t>
        </is>
      </c>
      <c r="AC122" s="26" t="n"/>
      <c r="AD122" s="26" t="inlineStr">
        <is>
          <t>Documentation</t>
        </is>
      </c>
      <c r="AE122" s="26" t="inlineStr">
        <is>
          <t>R10.9</t>
        </is>
      </c>
      <c r="AF122" s="26" t="inlineStr">
        <is>
          <t>22</t>
        </is>
      </c>
      <c r="AG122" s="26" t="inlineStr">
        <is>
          <t>2026-09-10 16:30</t>
        </is>
      </c>
      <c r="AH122" s="26" t="inlineStr">
        <is>
          <t>Synthetic Care Gap charge; 10% below Athena allowed amount</t>
        </is>
      </c>
    </row>
    <row r="123">
      <c r="A123" s="26" t="inlineStr">
        <is>
          <t>OPD-CHG-0060-ATH</t>
        </is>
      </c>
      <c r="B123" s="26" t="inlineStr">
        <is>
          <t>OP-202600060-ATH</t>
        </is>
      </c>
      <c r="C123" s="26" t="inlineStr">
        <is>
          <t>CSN-OPD-780060-ATH</t>
        </is>
      </c>
      <c r="D123" s="26" t="inlineStr">
        <is>
          <t>Outpatient</t>
        </is>
      </c>
      <c r="E123" s="26" t="inlineStr">
        <is>
          <t>Demo Regional Medical Center</t>
        </is>
      </c>
      <c r="F123" s="26" t="inlineStr">
        <is>
          <t>Emergency Department</t>
        </is>
      </c>
      <c r="G123" s="26" t="inlineStr">
        <is>
          <t>2026-09-11</t>
        </is>
      </c>
      <c r="H123" s="26" t="inlineStr">
        <is>
          <t>ED-LEVEL-4</t>
        </is>
      </c>
      <c r="I123" s="26" t="inlineStr">
        <is>
          <t>Emergency Department Visit Level 4</t>
        </is>
      </c>
      <c r="J123" s="26" t="inlineStr">
        <is>
          <t>0450</t>
        </is>
      </c>
      <c r="K123" s="26" t="inlineStr">
        <is>
          <t>99284</t>
        </is>
      </c>
      <c r="L123" s="26" t="n"/>
      <c r="M123" s="26" t="n">
        <v>1</v>
      </c>
      <c r="N123" s="13" t="n">
        <v>2350</v>
      </c>
      <c r="O123" s="13">
        <f>M123*N123</f>
        <v/>
      </c>
      <c r="P123" s="13" t="n">
        <v>1539.77</v>
      </c>
      <c r="Q123" s="13">
        <f>P123*20%</f>
        <v/>
      </c>
      <c r="R123" s="13">
        <f>O123-P123</f>
        <v/>
      </c>
      <c r="S123" s="26" t="inlineStr">
        <is>
          <t>Athena Health Insurance</t>
        </is>
      </c>
      <c r="T123" s="26" t="inlineStr">
        <is>
          <t>Athena PPO</t>
        </is>
      </c>
      <c r="U123" s="26" t="n"/>
      <c r="V123" s="26" t="inlineStr">
        <is>
          <t>Eleanor Brooks, MD</t>
        </is>
      </c>
      <c r="W123" s="26" t="inlineStr">
        <is>
          <t>Assigned Department Provider</t>
        </is>
      </c>
      <c r="X123" s="26" t="inlineStr">
        <is>
          <t>ED</t>
        </is>
      </c>
      <c r="Y123" s="26" t="inlineStr">
        <is>
          <t>Encounter close</t>
        </is>
      </c>
      <c r="Z123" s="26" t="inlineStr">
        <is>
          <t>Posted</t>
        </is>
      </c>
      <c r="AA123" s="26" t="inlineStr">
        <is>
          <t>Matched</t>
        </is>
      </c>
      <c r="AB123" s="26" t="inlineStr">
        <is>
          <t>Passed</t>
        </is>
      </c>
      <c r="AC123" s="26" t="n"/>
      <c r="AD123" s="26" t="inlineStr">
        <is>
          <t>Documentation</t>
        </is>
      </c>
      <c r="AE123" s="26" t="inlineStr">
        <is>
          <t>R06.02</t>
        </is>
      </c>
      <c r="AF123" s="26" t="inlineStr">
        <is>
          <t>22</t>
        </is>
      </c>
      <c r="AG123" s="26" t="inlineStr">
        <is>
          <t>2026-09-11 16:30</t>
        </is>
      </c>
      <c r="AH123" s="26" t="inlineStr">
        <is>
          <t>Synthetic Athena negotiated charge</t>
        </is>
      </c>
    </row>
    <row r="124">
      <c r="A124" s="26" t="inlineStr">
        <is>
          <t>OPD-CHG-0060-CGH</t>
        </is>
      </c>
      <c r="B124" s="26" t="inlineStr">
        <is>
          <t>OP-202600060-CGH</t>
        </is>
      </c>
      <c r="C124" s="26" t="inlineStr">
        <is>
          <t>CSN-OPD-780060-CGH</t>
        </is>
      </c>
      <c r="D124" s="26" t="inlineStr">
        <is>
          <t>Outpatient</t>
        </is>
      </c>
      <c r="E124" s="26" t="inlineStr">
        <is>
          <t>Demo Regional Medical Center</t>
        </is>
      </c>
      <c r="F124" s="26" t="inlineStr">
        <is>
          <t>Emergency Department</t>
        </is>
      </c>
      <c r="G124" s="26" t="inlineStr">
        <is>
          <t>2026-09-11</t>
        </is>
      </c>
      <c r="H124" s="26" t="inlineStr">
        <is>
          <t>ED-LEVEL-4</t>
        </is>
      </c>
      <c r="I124" s="26" t="inlineStr">
        <is>
          <t>Emergency Department Visit Level 4</t>
        </is>
      </c>
      <c r="J124" s="26" t="inlineStr">
        <is>
          <t>0450</t>
        </is>
      </c>
      <c r="K124" s="26" t="inlineStr">
        <is>
          <t>99284</t>
        </is>
      </c>
      <c r="L124" s="26" t="n"/>
      <c r="M124" s="26" t="n">
        <v>1</v>
      </c>
      <c r="N124" s="13" t="n">
        <v>2350</v>
      </c>
      <c r="O124" s="13">
        <f>M124*N124</f>
        <v/>
      </c>
      <c r="P124" s="13" t="n">
        <v>1385.79</v>
      </c>
      <c r="Q124" s="13">
        <f>P124*15%</f>
        <v/>
      </c>
      <c r="R124" s="13">
        <f>O124-P124</f>
        <v/>
      </c>
      <c r="S124" s="26" t="inlineStr">
        <is>
          <t>Care Gap Health</t>
        </is>
      </c>
      <c r="T124" s="26" t="inlineStr">
        <is>
          <t>Care Gap Value PPO</t>
        </is>
      </c>
      <c r="U124" s="26" t="n"/>
      <c r="V124" s="26" t="inlineStr">
        <is>
          <t>Eleanor Brooks, MD</t>
        </is>
      </c>
      <c r="W124" s="26" t="inlineStr">
        <is>
          <t>Assigned Department Provider</t>
        </is>
      </c>
      <c r="X124" s="26" t="inlineStr">
        <is>
          <t>ED</t>
        </is>
      </c>
      <c r="Y124" s="26" t="inlineStr">
        <is>
          <t>Encounter close</t>
        </is>
      </c>
      <c r="Z124" s="26" t="inlineStr">
        <is>
          <t>Posted</t>
        </is>
      </c>
      <c r="AA124" s="26" t="inlineStr">
        <is>
          <t>Matched</t>
        </is>
      </c>
      <c r="AB124" s="26" t="inlineStr">
        <is>
          <t>Passed</t>
        </is>
      </c>
      <c r="AC124" s="26" t="n"/>
      <c r="AD124" s="26" t="inlineStr">
        <is>
          <t>Documentation</t>
        </is>
      </c>
      <c r="AE124" s="26" t="inlineStr">
        <is>
          <t>R06.02</t>
        </is>
      </c>
      <c r="AF124" s="26" t="inlineStr">
        <is>
          <t>22</t>
        </is>
      </c>
      <c r="AG124" s="26" t="inlineStr">
        <is>
          <t>2026-09-11 16:30</t>
        </is>
      </c>
      <c r="AH124" s="26" t="inlineStr">
        <is>
          <t>Synthetic Care Gap charge; 10% below Athena allowed amount</t>
        </is>
      </c>
    </row>
    <row r="125">
      <c r="A125" s="26" t="inlineStr">
        <is>
          <t>OPD-CHG-0061-ATH</t>
        </is>
      </c>
      <c r="B125" s="26" t="inlineStr">
        <is>
          <t>OP-202600061-ATH</t>
        </is>
      </c>
      <c r="C125" s="26" t="inlineStr">
        <is>
          <t>CSN-OPD-780061-ATH</t>
        </is>
      </c>
      <c r="D125" s="26" t="inlineStr">
        <is>
          <t>Outpatient</t>
        </is>
      </c>
      <c r="E125" s="26" t="inlineStr">
        <is>
          <t>Demo Regional Medical Center</t>
        </is>
      </c>
      <c r="F125" s="26" t="inlineStr">
        <is>
          <t>Emergency Department</t>
        </is>
      </c>
      <c r="G125" s="26" t="inlineStr">
        <is>
          <t>2026-09-12</t>
        </is>
      </c>
      <c r="H125" s="26" t="inlineStr">
        <is>
          <t>ED-LEVEL-5</t>
        </is>
      </c>
      <c r="I125" s="26" t="inlineStr">
        <is>
          <t>Emergency Department Visit Level 5</t>
        </is>
      </c>
      <c r="J125" s="26" t="inlineStr">
        <is>
          <t>0450</t>
        </is>
      </c>
      <c r="K125" s="26" t="inlineStr">
        <is>
          <t>99285</t>
        </is>
      </c>
      <c r="L125" s="26" t="n"/>
      <c r="M125" s="26" t="n">
        <v>1</v>
      </c>
      <c r="N125" s="13" t="n">
        <v>4300</v>
      </c>
      <c r="O125" s="13">
        <f>M125*N125</f>
        <v/>
      </c>
      <c r="P125" s="13" t="n">
        <v>2392.96</v>
      </c>
      <c r="Q125" s="13">
        <f>P125*20%</f>
        <v/>
      </c>
      <c r="R125" s="13">
        <f>O125-P125</f>
        <v/>
      </c>
      <c r="S125" s="26" t="inlineStr">
        <is>
          <t>Athena Health Insurance</t>
        </is>
      </c>
      <c r="T125" s="26" t="inlineStr">
        <is>
          <t>Athena PPO</t>
        </is>
      </c>
      <c r="U125" s="26" t="n"/>
      <c r="V125" s="26" t="inlineStr">
        <is>
          <t>Eleanor Brooks, MD</t>
        </is>
      </c>
      <c r="W125" s="26" t="inlineStr">
        <is>
          <t>Assigned Department Provider</t>
        </is>
      </c>
      <c r="X125" s="26" t="inlineStr">
        <is>
          <t>ED</t>
        </is>
      </c>
      <c r="Y125" s="26" t="inlineStr">
        <is>
          <t>Encounter close</t>
        </is>
      </c>
      <c r="Z125" s="26" t="inlineStr">
        <is>
          <t>Posted</t>
        </is>
      </c>
      <c r="AA125" s="26" t="inlineStr">
        <is>
          <t>Matched</t>
        </is>
      </c>
      <c r="AB125" s="26" t="inlineStr">
        <is>
          <t>Passed</t>
        </is>
      </c>
      <c r="AC125" s="26" t="n"/>
      <c r="AD125" s="26" t="inlineStr">
        <is>
          <t>Documentation</t>
        </is>
      </c>
      <c r="AE125" s="26" t="inlineStr">
        <is>
          <t>R07.9</t>
        </is>
      </c>
      <c r="AF125" s="26" t="inlineStr">
        <is>
          <t>22</t>
        </is>
      </c>
      <c r="AG125" s="26" t="inlineStr">
        <is>
          <t>2026-09-12 16:30</t>
        </is>
      </c>
      <c r="AH125" s="26" t="inlineStr">
        <is>
          <t>Synthetic Athena negotiated charge</t>
        </is>
      </c>
    </row>
    <row r="126">
      <c r="A126" s="26" t="inlineStr">
        <is>
          <t>OPD-CHG-0061-CGH</t>
        </is>
      </c>
      <c r="B126" s="26" t="inlineStr">
        <is>
          <t>OP-202600061-CGH</t>
        </is>
      </c>
      <c r="C126" s="26" t="inlineStr">
        <is>
          <t>CSN-OPD-780061-CGH</t>
        </is>
      </c>
      <c r="D126" s="26" t="inlineStr">
        <is>
          <t>Outpatient</t>
        </is>
      </c>
      <c r="E126" s="26" t="inlineStr">
        <is>
          <t>Demo Regional Medical Center</t>
        </is>
      </c>
      <c r="F126" s="26" t="inlineStr">
        <is>
          <t>Emergency Department</t>
        </is>
      </c>
      <c r="G126" s="26" t="inlineStr">
        <is>
          <t>2026-09-12</t>
        </is>
      </c>
      <c r="H126" s="26" t="inlineStr">
        <is>
          <t>ED-LEVEL-5</t>
        </is>
      </c>
      <c r="I126" s="26" t="inlineStr">
        <is>
          <t>Emergency Department Visit Level 5</t>
        </is>
      </c>
      <c r="J126" s="26" t="inlineStr">
        <is>
          <t>0450</t>
        </is>
      </c>
      <c r="K126" s="26" t="inlineStr">
        <is>
          <t>99285</t>
        </is>
      </c>
      <c r="L126" s="26" t="n"/>
      <c r="M126" s="26" t="n">
        <v>1</v>
      </c>
      <c r="N126" s="13" t="n">
        <v>4300</v>
      </c>
      <c r="O126" s="13">
        <f>M126*N126</f>
        <v/>
      </c>
      <c r="P126" s="13" t="n">
        <v>2153.66</v>
      </c>
      <c r="Q126" s="13">
        <f>P126*15%</f>
        <v/>
      </c>
      <c r="R126" s="13">
        <f>O126-P126</f>
        <v/>
      </c>
      <c r="S126" s="26" t="inlineStr">
        <is>
          <t>Care Gap Health</t>
        </is>
      </c>
      <c r="T126" s="26" t="inlineStr">
        <is>
          <t>Care Gap Value PPO</t>
        </is>
      </c>
      <c r="U126" s="26" t="n"/>
      <c r="V126" s="26" t="inlineStr">
        <is>
          <t>Eleanor Brooks, MD</t>
        </is>
      </c>
      <c r="W126" s="26" t="inlineStr">
        <is>
          <t>Assigned Department Provider</t>
        </is>
      </c>
      <c r="X126" s="26" t="inlineStr">
        <is>
          <t>ED</t>
        </is>
      </c>
      <c r="Y126" s="26" t="inlineStr">
        <is>
          <t>Encounter close</t>
        </is>
      </c>
      <c r="Z126" s="26" t="inlineStr">
        <is>
          <t>Posted</t>
        </is>
      </c>
      <c r="AA126" s="26" t="inlineStr">
        <is>
          <t>Matched</t>
        </is>
      </c>
      <c r="AB126" s="26" t="inlineStr">
        <is>
          <t>Passed</t>
        </is>
      </c>
      <c r="AC126" s="26" t="n"/>
      <c r="AD126" s="26" t="inlineStr">
        <is>
          <t>Documentation</t>
        </is>
      </c>
      <c r="AE126" s="26" t="inlineStr">
        <is>
          <t>R07.9</t>
        </is>
      </c>
      <c r="AF126" s="26" t="inlineStr">
        <is>
          <t>22</t>
        </is>
      </c>
      <c r="AG126" s="26" t="inlineStr">
        <is>
          <t>2026-09-12 16:30</t>
        </is>
      </c>
      <c r="AH126" s="26" t="inlineStr">
        <is>
          <t>Synthetic Care Gap charge; 10% below Athena allowed amount</t>
        </is>
      </c>
    </row>
    <row r="127">
      <c r="A127" s="26" t="inlineStr">
        <is>
          <t>OPD-CHG-0062-ATH</t>
        </is>
      </c>
      <c r="B127" s="26" t="inlineStr">
        <is>
          <t>OP-202600062-ATH</t>
        </is>
      </c>
      <c r="C127" s="26" t="inlineStr">
        <is>
          <t>CSN-OPD-780062-ATH</t>
        </is>
      </c>
      <c r="D127" s="26" t="inlineStr">
        <is>
          <t>Outpatient</t>
        </is>
      </c>
      <c r="E127" s="26" t="inlineStr">
        <is>
          <t>Demo Regional Medical Center</t>
        </is>
      </c>
      <c r="F127" s="26" t="inlineStr">
        <is>
          <t>Hospital Clinic</t>
        </is>
      </c>
      <c r="G127" s="26" t="inlineStr">
        <is>
          <t>2026-09-13</t>
        </is>
      </c>
      <c r="H127" s="26" t="inlineStr">
        <is>
          <t>CLINIC-L2</t>
        </is>
      </c>
      <c r="I127" s="26" t="inlineStr">
        <is>
          <t>Hospital Outpatient Clinic Visit Level 2</t>
        </is>
      </c>
      <c r="J127" s="26" t="inlineStr">
        <is>
          <t>0510</t>
        </is>
      </c>
      <c r="K127" s="26" t="inlineStr">
        <is>
          <t>99212</t>
        </is>
      </c>
      <c r="L127" s="26" t="n"/>
      <c r="M127" s="26" t="n">
        <v>1</v>
      </c>
      <c r="N127" s="13" t="n">
        <v>215</v>
      </c>
      <c r="O127" s="13">
        <f>M127*N127</f>
        <v/>
      </c>
      <c r="P127" s="13" t="n">
        <v>117.58</v>
      </c>
      <c r="Q127" s="13">
        <f>P127*20%</f>
        <v/>
      </c>
      <c r="R127" s="13">
        <f>O127-P127</f>
        <v/>
      </c>
      <c r="S127" s="26" t="inlineStr">
        <is>
          <t>Athena Health Insurance</t>
        </is>
      </c>
      <c r="T127" s="26" t="inlineStr">
        <is>
          <t>Athena PPO</t>
        </is>
      </c>
      <c r="U127" s="26" t="n"/>
      <c r="V127" s="26" t="inlineStr">
        <is>
          <t>Eleanor Brooks, MD</t>
        </is>
      </c>
      <c r="W127" s="26" t="inlineStr">
        <is>
          <t>Assigned Department Provider</t>
        </is>
      </c>
      <c r="X127" s="26" t="inlineStr">
        <is>
          <t>Ambulatory</t>
        </is>
      </c>
      <c r="Y127" s="26" t="inlineStr">
        <is>
          <t>Visit close</t>
        </is>
      </c>
      <c r="Z127" s="26" t="inlineStr">
        <is>
          <t>Posted</t>
        </is>
      </c>
      <c r="AA127" s="26" t="inlineStr">
        <is>
          <t>Matched</t>
        </is>
      </c>
      <c r="AB127" s="26" t="inlineStr">
        <is>
          <t>Passed</t>
        </is>
      </c>
      <c r="AC127" s="26" t="n"/>
      <c r="AD127" s="26" t="inlineStr">
        <is>
          <t>E/M documentation</t>
        </is>
      </c>
      <c r="AE127" s="26" t="inlineStr">
        <is>
          <t>I10</t>
        </is>
      </c>
      <c r="AF127" s="26" t="inlineStr">
        <is>
          <t>22</t>
        </is>
      </c>
      <c r="AG127" s="26" t="inlineStr">
        <is>
          <t>2026-09-13 16:30</t>
        </is>
      </c>
      <c r="AH127" s="26" t="inlineStr">
        <is>
          <t>Synthetic Athena negotiated charge</t>
        </is>
      </c>
    </row>
    <row r="128">
      <c r="A128" s="26" t="inlineStr">
        <is>
          <t>OPD-CHG-0062-CGH</t>
        </is>
      </c>
      <c r="B128" s="26" t="inlineStr">
        <is>
          <t>OP-202600062-CGH</t>
        </is>
      </c>
      <c r="C128" s="26" t="inlineStr">
        <is>
          <t>CSN-OPD-780062-CGH</t>
        </is>
      </c>
      <c r="D128" s="26" t="inlineStr">
        <is>
          <t>Outpatient</t>
        </is>
      </c>
      <c r="E128" s="26" t="inlineStr">
        <is>
          <t>Demo Regional Medical Center</t>
        </is>
      </c>
      <c r="F128" s="26" t="inlineStr">
        <is>
          <t>Hospital Clinic</t>
        </is>
      </c>
      <c r="G128" s="26" t="inlineStr">
        <is>
          <t>2026-09-13</t>
        </is>
      </c>
      <c r="H128" s="26" t="inlineStr">
        <is>
          <t>CLINIC-L2</t>
        </is>
      </c>
      <c r="I128" s="26" t="inlineStr">
        <is>
          <t>Hospital Outpatient Clinic Visit Level 2</t>
        </is>
      </c>
      <c r="J128" s="26" t="inlineStr">
        <is>
          <t>0510</t>
        </is>
      </c>
      <c r="K128" s="26" t="inlineStr">
        <is>
          <t>99212</t>
        </is>
      </c>
      <c r="L128" s="26" t="n"/>
      <c r="M128" s="26" t="n">
        <v>1</v>
      </c>
      <c r="N128" s="13" t="n">
        <v>215</v>
      </c>
      <c r="O128" s="13">
        <f>M128*N128</f>
        <v/>
      </c>
      <c r="P128" s="13" t="n">
        <v>105.82</v>
      </c>
      <c r="Q128" s="13">
        <f>P128*15%</f>
        <v/>
      </c>
      <c r="R128" s="13">
        <f>O128-P128</f>
        <v/>
      </c>
      <c r="S128" s="26" t="inlineStr">
        <is>
          <t>Care Gap Health</t>
        </is>
      </c>
      <c r="T128" s="26" t="inlineStr">
        <is>
          <t>Care Gap Value PPO</t>
        </is>
      </c>
      <c r="U128" s="26" t="n"/>
      <c r="V128" s="26" t="inlineStr">
        <is>
          <t>Eleanor Brooks, MD</t>
        </is>
      </c>
      <c r="W128" s="26" t="inlineStr">
        <is>
          <t>Assigned Department Provider</t>
        </is>
      </c>
      <c r="X128" s="26" t="inlineStr">
        <is>
          <t>Ambulatory</t>
        </is>
      </c>
      <c r="Y128" s="26" t="inlineStr">
        <is>
          <t>Visit close</t>
        </is>
      </c>
      <c r="Z128" s="26" t="inlineStr">
        <is>
          <t>Posted</t>
        </is>
      </c>
      <c r="AA128" s="26" t="inlineStr">
        <is>
          <t>Matched</t>
        </is>
      </c>
      <c r="AB128" s="26" t="inlineStr">
        <is>
          <t>Passed</t>
        </is>
      </c>
      <c r="AC128" s="26" t="n"/>
      <c r="AD128" s="26" t="inlineStr">
        <is>
          <t>E/M documentation</t>
        </is>
      </c>
      <c r="AE128" s="26" t="inlineStr">
        <is>
          <t>I10</t>
        </is>
      </c>
      <c r="AF128" s="26" t="inlineStr">
        <is>
          <t>22</t>
        </is>
      </c>
      <c r="AG128" s="26" t="inlineStr">
        <is>
          <t>2026-09-13 16:30</t>
        </is>
      </c>
      <c r="AH128" s="26" t="inlineStr">
        <is>
          <t>Synthetic Care Gap charge; 10% below Athena allowed amount</t>
        </is>
      </c>
    </row>
    <row r="129">
      <c r="A129" s="26" t="inlineStr">
        <is>
          <t>OPD-CHG-0063-ATH</t>
        </is>
      </c>
      <c r="B129" s="26" t="inlineStr">
        <is>
          <t>OP-202600063-ATH</t>
        </is>
      </c>
      <c r="C129" s="26" t="inlineStr">
        <is>
          <t>CSN-OPD-780063-ATH</t>
        </is>
      </c>
      <c r="D129" s="26" t="inlineStr">
        <is>
          <t>Outpatient</t>
        </is>
      </c>
      <c r="E129" s="26" t="inlineStr">
        <is>
          <t>Demo Regional Medical Center</t>
        </is>
      </c>
      <c r="F129" s="26" t="inlineStr">
        <is>
          <t>Hospital Clinic</t>
        </is>
      </c>
      <c r="G129" s="26" t="inlineStr">
        <is>
          <t>2026-09-14</t>
        </is>
      </c>
      <c r="H129" s="26" t="inlineStr">
        <is>
          <t>CLINIC-L3</t>
        </is>
      </c>
      <c r="I129" s="26" t="inlineStr">
        <is>
          <t>Hospital Outpatient Clinic Visit Level 3</t>
        </is>
      </c>
      <c r="J129" s="26" t="inlineStr">
        <is>
          <t>0510</t>
        </is>
      </c>
      <c r="K129" s="26" t="inlineStr">
        <is>
          <t>99213</t>
        </is>
      </c>
      <c r="L129" s="26" t="n"/>
      <c r="M129" s="26" t="n">
        <v>1</v>
      </c>
      <c r="N129" s="13" t="n">
        <v>315</v>
      </c>
      <c r="O129" s="13">
        <f>M129*N129</f>
        <v/>
      </c>
      <c r="P129" s="13" t="n">
        <v>222.77</v>
      </c>
      <c r="Q129" s="13">
        <f>P129*20%</f>
        <v/>
      </c>
      <c r="R129" s="13">
        <f>O129-P129</f>
        <v/>
      </c>
      <c r="S129" s="26" t="inlineStr">
        <is>
          <t>Athena Health Insurance</t>
        </is>
      </c>
      <c r="T129" s="26" t="inlineStr">
        <is>
          <t>Athena PPO</t>
        </is>
      </c>
      <c r="U129" s="26" t="n"/>
      <c r="V129" s="26" t="inlineStr">
        <is>
          <t>Eleanor Brooks, MD</t>
        </is>
      </c>
      <c r="W129" s="26" t="inlineStr">
        <is>
          <t>Assigned Department Provider</t>
        </is>
      </c>
      <c r="X129" s="26" t="inlineStr">
        <is>
          <t>Ambulatory</t>
        </is>
      </c>
      <c r="Y129" s="26" t="inlineStr">
        <is>
          <t>Visit close</t>
        </is>
      </c>
      <c r="Z129" s="26" t="inlineStr">
        <is>
          <t>Posted</t>
        </is>
      </c>
      <c r="AA129" s="26" t="inlineStr">
        <is>
          <t>Matched</t>
        </is>
      </c>
      <c r="AB129" s="26" t="inlineStr">
        <is>
          <t>Passed</t>
        </is>
      </c>
      <c r="AC129" s="26" t="n"/>
      <c r="AD129" s="26" t="inlineStr">
        <is>
          <t>E/M documentation</t>
        </is>
      </c>
      <c r="AE129" s="26" t="inlineStr">
        <is>
          <t>E11.9</t>
        </is>
      </c>
      <c r="AF129" s="26" t="inlineStr">
        <is>
          <t>22</t>
        </is>
      </c>
      <c r="AG129" s="26" t="inlineStr">
        <is>
          <t>2026-09-14 16:30</t>
        </is>
      </c>
      <c r="AH129" s="26" t="inlineStr">
        <is>
          <t>Synthetic Athena negotiated charge</t>
        </is>
      </c>
    </row>
    <row r="130">
      <c r="A130" s="26" t="inlineStr">
        <is>
          <t>OPD-CHG-0063-CGH</t>
        </is>
      </c>
      <c r="B130" s="26" t="inlineStr">
        <is>
          <t>OP-202600063-CGH</t>
        </is>
      </c>
      <c r="C130" s="26" t="inlineStr">
        <is>
          <t>CSN-OPD-780063-CGH</t>
        </is>
      </c>
      <c r="D130" s="26" t="inlineStr">
        <is>
          <t>Outpatient</t>
        </is>
      </c>
      <c r="E130" s="26" t="inlineStr">
        <is>
          <t>Demo Regional Medical Center</t>
        </is>
      </c>
      <c r="F130" s="26" t="inlineStr">
        <is>
          <t>Hospital Clinic</t>
        </is>
      </c>
      <c r="G130" s="26" t="inlineStr">
        <is>
          <t>2026-09-14</t>
        </is>
      </c>
      <c r="H130" s="26" t="inlineStr">
        <is>
          <t>CLINIC-L3</t>
        </is>
      </c>
      <c r="I130" s="26" t="inlineStr">
        <is>
          <t>Hospital Outpatient Clinic Visit Level 3</t>
        </is>
      </c>
      <c r="J130" s="26" t="inlineStr">
        <is>
          <t>0510</t>
        </is>
      </c>
      <c r="K130" s="26" t="inlineStr">
        <is>
          <t>99213</t>
        </is>
      </c>
      <c r="L130" s="26" t="n"/>
      <c r="M130" s="26" t="n">
        <v>1</v>
      </c>
      <c r="N130" s="13" t="n">
        <v>315</v>
      </c>
      <c r="O130" s="13">
        <f>M130*N130</f>
        <v/>
      </c>
      <c r="P130" s="13" t="n">
        <v>200.49</v>
      </c>
      <c r="Q130" s="13">
        <f>P130*15%</f>
        <v/>
      </c>
      <c r="R130" s="13">
        <f>O130-P130</f>
        <v/>
      </c>
      <c r="S130" s="26" t="inlineStr">
        <is>
          <t>Care Gap Health</t>
        </is>
      </c>
      <c r="T130" s="26" t="inlineStr">
        <is>
          <t>Care Gap Value PPO</t>
        </is>
      </c>
      <c r="U130" s="26" t="n"/>
      <c r="V130" s="26" t="inlineStr">
        <is>
          <t>Eleanor Brooks, MD</t>
        </is>
      </c>
      <c r="W130" s="26" t="inlineStr">
        <is>
          <t>Assigned Department Provider</t>
        </is>
      </c>
      <c r="X130" s="26" t="inlineStr">
        <is>
          <t>Ambulatory</t>
        </is>
      </c>
      <c r="Y130" s="26" t="inlineStr">
        <is>
          <t>Visit close</t>
        </is>
      </c>
      <c r="Z130" s="26" t="inlineStr">
        <is>
          <t>Posted</t>
        </is>
      </c>
      <c r="AA130" s="26" t="inlineStr">
        <is>
          <t>Matched</t>
        </is>
      </c>
      <c r="AB130" s="26" t="inlineStr">
        <is>
          <t>Passed</t>
        </is>
      </c>
      <c r="AC130" s="26" t="n"/>
      <c r="AD130" s="26" t="inlineStr">
        <is>
          <t>E/M documentation</t>
        </is>
      </c>
      <c r="AE130" s="26" t="inlineStr">
        <is>
          <t>E11.9</t>
        </is>
      </c>
      <c r="AF130" s="26" t="inlineStr">
        <is>
          <t>22</t>
        </is>
      </c>
      <c r="AG130" s="26" t="inlineStr">
        <is>
          <t>2026-09-14 16:30</t>
        </is>
      </c>
      <c r="AH130" s="26" t="inlineStr">
        <is>
          <t>Synthetic Care Gap charge; 10% below Athena allowed amount</t>
        </is>
      </c>
    </row>
    <row r="131">
      <c r="A131" s="26" t="inlineStr">
        <is>
          <t>OPD-CHG-0064-ATH</t>
        </is>
      </c>
      <c r="B131" s="26" t="inlineStr">
        <is>
          <t>OP-202600064-ATH</t>
        </is>
      </c>
      <c r="C131" s="26" t="inlineStr">
        <is>
          <t>CSN-OPD-780064-ATH</t>
        </is>
      </c>
      <c r="D131" s="26" t="inlineStr">
        <is>
          <t>Outpatient</t>
        </is>
      </c>
      <c r="E131" s="26" t="inlineStr">
        <is>
          <t>Demo Regional Medical Center</t>
        </is>
      </c>
      <c r="F131" s="26" t="inlineStr">
        <is>
          <t>Hospital Clinic</t>
        </is>
      </c>
      <c r="G131" s="26" t="inlineStr">
        <is>
          <t>2026-09-15</t>
        </is>
      </c>
      <c r="H131" s="26" t="inlineStr">
        <is>
          <t>CLINIC-L4</t>
        </is>
      </c>
      <c r="I131" s="26" t="inlineStr">
        <is>
          <t>Hospital Outpatient Clinic Visit Level 4</t>
        </is>
      </c>
      <c r="J131" s="26" t="inlineStr">
        <is>
          <t>0510</t>
        </is>
      </c>
      <c r="K131" s="26" t="inlineStr">
        <is>
          <t>99214</t>
        </is>
      </c>
      <c r="L131" s="26" t="n"/>
      <c r="M131" s="26" t="n">
        <v>1</v>
      </c>
      <c r="N131" s="13" t="n">
        <v>410</v>
      </c>
      <c r="O131" s="13">
        <f>M131*N131</f>
        <v/>
      </c>
      <c r="P131" s="13" t="n">
        <v>294.64</v>
      </c>
      <c r="Q131" s="13">
        <f>P131*20%</f>
        <v/>
      </c>
      <c r="R131" s="13">
        <f>O131-P131</f>
        <v/>
      </c>
      <c r="S131" s="26" t="inlineStr">
        <is>
          <t>Athena Health Insurance</t>
        </is>
      </c>
      <c r="T131" s="26" t="inlineStr">
        <is>
          <t>Athena PPO</t>
        </is>
      </c>
      <c r="U131" s="26" t="n"/>
      <c r="V131" s="26" t="inlineStr">
        <is>
          <t>Eleanor Brooks, MD</t>
        </is>
      </c>
      <c r="W131" s="26" t="inlineStr">
        <is>
          <t>Assigned Department Provider</t>
        </is>
      </c>
      <c r="X131" s="26" t="inlineStr">
        <is>
          <t>Ambulatory</t>
        </is>
      </c>
      <c r="Y131" s="26" t="inlineStr">
        <is>
          <t>Visit close</t>
        </is>
      </c>
      <c r="Z131" s="26" t="inlineStr">
        <is>
          <t>Posted</t>
        </is>
      </c>
      <c r="AA131" s="26" t="inlineStr">
        <is>
          <t>Matched</t>
        </is>
      </c>
      <c r="AB131" s="26" t="inlineStr">
        <is>
          <t>Passed</t>
        </is>
      </c>
      <c r="AC131" s="26" t="n"/>
      <c r="AD131" s="26" t="inlineStr">
        <is>
          <t>E/M documentation</t>
        </is>
      </c>
      <c r="AE131" s="26" t="inlineStr">
        <is>
          <t>J45.40</t>
        </is>
      </c>
      <c r="AF131" s="26" t="inlineStr">
        <is>
          <t>22</t>
        </is>
      </c>
      <c r="AG131" s="26" t="inlineStr">
        <is>
          <t>2026-09-15 16:30</t>
        </is>
      </c>
      <c r="AH131" s="26" t="inlineStr">
        <is>
          <t>Synthetic Athena negotiated charge</t>
        </is>
      </c>
    </row>
    <row r="132">
      <c r="A132" s="26" t="inlineStr">
        <is>
          <t>OPD-CHG-0064-CGH</t>
        </is>
      </c>
      <c r="B132" s="26" t="inlineStr">
        <is>
          <t>OP-202600064-CGH</t>
        </is>
      </c>
      <c r="C132" s="26" t="inlineStr">
        <is>
          <t>CSN-OPD-780064-CGH</t>
        </is>
      </c>
      <c r="D132" s="26" t="inlineStr">
        <is>
          <t>Outpatient</t>
        </is>
      </c>
      <c r="E132" s="26" t="inlineStr">
        <is>
          <t>Demo Regional Medical Center</t>
        </is>
      </c>
      <c r="F132" s="26" t="inlineStr">
        <is>
          <t>Hospital Clinic</t>
        </is>
      </c>
      <c r="G132" s="26" t="inlineStr">
        <is>
          <t>2026-09-15</t>
        </is>
      </c>
      <c r="H132" s="26" t="inlineStr">
        <is>
          <t>CLINIC-L4</t>
        </is>
      </c>
      <c r="I132" s="26" t="inlineStr">
        <is>
          <t>Hospital Outpatient Clinic Visit Level 4</t>
        </is>
      </c>
      <c r="J132" s="26" t="inlineStr">
        <is>
          <t>0510</t>
        </is>
      </c>
      <c r="K132" s="26" t="inlineStr">
        <is>
          <t>99214</t>
        </is>
      </c>
      <c r="L132" s="26" t="n"/>
      <c r="M132" s="26" t="n">
        <v>1</v>
      </c>
      <c r="N132" s="13" t="n">
        <v>410</v>
      </c>
      <c r="O132" s="13">
        <f>M132*N132</f>
        <v/>
      </c>
      <c r="P132" s="13" t="n">
        <v>265.18</v>
      </c>
      <c r="Q132" s="13">
        <f>P132*15%</f>
        <v/>
      </c>
      <c r="R132" s="13">
        <f>O132-P132</f>
        <v/>
      </c>
      <c r="S132" s="26" t="inlineStr">
        <is>
          <t>Care Gap Health</t>
        </is>
      </c>
      <c r="T132" s="26" t="inlineStr">
        <is>
          <t>Care Gap Value PPO</t>
        </is>
      </c>
      <c r="U132" s="26" t="n"/>
      <c r="V132" s="26" t="inlineStr">
        <is>
          <t>Eleanor Brooks, MD</t>
        </is>
      </c>
      <c r="W132" s="26" t="inlineStr">
        <is>
          <t>Assigned Department Provider</t>
        </is>
      </c>
      <c r="X132" s="26" t="inlineStr">
        <is>
          <t>Ambulatory</t>
        </is>
      </c>
      <c r="Y132" s="26" t="inlineStr">
        <is>
          <t>Visit close</t>
        </is>
      </c>
      <c r="Z132" s="26" t="inlineStr">
        <is>
          <t>Posted</t>
        </is>
      </c>
      <c r="AA132" s="26" t="inlineStr">
        <is>
          <t>Matched</t>
        </is>
      </c>
      <c r="AB132" s="26" t="inlineStr">
        <is>
          <t>Passed</t>
        </is>
      </c>
      <c r="AC132" s="26" t="n"/>
      <c r="AD132" s="26" t="inlineStr">
        <is>
          <t>E/M documentation</t>
        </is>
      </c>
      <c r="AE132" s="26" t="inlineStr">
        <is>
          <t>J45.40</t>
        </is>
      </c>
      <c r="AF132" s="26" t="inlineStr">
        <is>
          <t>22</t>
        </is>
      </c>
      <c r="AG132" s="26" t="inlineStr">
        <is>
          <t>2026-09-15 16:30</t>
        </is>
      </c>
      <c r="AH132" s="26" t="inlineStr">
        <is>
          <t>Synthetic Care Gap charge; 10% below Athena allowed amount</t>
        </is>
      </c>
    </row>
    <row r="133">
      <c r="A133" s="26" t="inlineStr">
        <is>
          <t>OPD-CHG-0065-ATH</t>
        </is>
      </c>
      <c r="B133" s="26" t="inlineStr">
        <is>
          <t>OP-202600065-ATH</t>
        </is>
      </c>
      <c r="C133" s="26" t="inlineStr">
        <is>
          <t>CSN-OPD-780065-ATH</t>
        </is>
      </c>
      <c r="D133" s="26" t="inlineStr">
        <is>
          <t>Outpatient</t>
        </is>
      </c>
      <c r="E133" s="26" t="inlineStr">
        <is>
          <t>Demo Regional Medical Center</t>
        </is>
      </c>
      <c r="F133" s="26" t="inlineStr">
        <is>
          <t>Hospital Clinic</t>
        </is>
      </c>
      <c r="G133" s="26" t="inlineStr">
        <is>
          <t>2026-09-16</t>
        </is>
      </c>
      <c r="H133" s="26" t="inlineStr">
        <is>
          <t>CLINIC-L5</t>
        </is>
      </c>
      <c r="I133" s="26" t="inlineStr">
        <is>
          <t>Hospital Outpatient Clinic Visit Level 5</t>
        </is>
      </c>
      <c r="J133" s="26" t="inlineStr">
        <is>
          <t>0510</t>
        </is>
      </c>
      <c r="K133" s="26" t="inlineStr">
        <is>
          <t>99215</t>
        </is>
      </c>
      <c r="L133" s="26" t="n"/>
      <c r="M133" s="26" t="n">
        <v>1</v>
      </c>
      <c r="N133" s="13" t="n">
        <v>570</v>
      </c>
      <c r="O133" s="13">
        <f>M133*N133</f>
        <v/>
      </c>
      <c r="P133" s="13" t="n">
        <v>334.44</v>
      </c>
      <c r="Q133" s="13">
        <f>P133*20%</f>
        <v/>
      </c>
      <c r="R133" s="13">
        <f>O133-P133</f>
        <v/>
      </c>
      <c r="S133" s="26" t="inlineStr">
        <is>
          <t>Athena Health Insurance</t>
        </is>
      </c>
      <c r="T133" s="26" t="inlineStr">
        <is>
          <t>Athena PPO</t>
        </is>
      </c>
      <c r="U133" s="26" t="n"/>
      <c r="V133" s="26" t="inlineStr">
        <is>
          <t>Eleanor Brooks, MD</t>
        </is>
      </c>
      <c r="W133" s="26" t="inlineStr">
        <is>
          <t>Assigned Department Provider</t>
        </is>
      </c>
      <c r="X133" s="26" t="inlineStr">
        <is>
          <t>Ambulatory</t>
        </is>
      </c>
      <c r="Y133" s="26" t="inlineStr">
        <is>
          <t>Visit close</t>
        </is>
      </c>
      <c r="Z133" s="26" t="inlineStr">
        <is>
          <t>Posted</t>
        </is>
      </c>
      <c r="AA133" s="26" t="inlineStr">
        <is>
          <t>Matched</t>
        </is>
      </c>
      <c r="AB133" s="26" t="inlineStr">
        <is>
          <t>Passed</t>
        </is>
      </c>
      <c r="AC133" s="26" t="n"/>
      <c r="AD133" s="26" t="inlineStr">
        <is>
          <t>E/M documentation</t>
        </is>
      </c>
      <c r="AE133" s="26" t="inlineStr">
        <is>
          <t>I50.9</t>
        </is>
      </c>
      <c r="AF133" s="26" t="inlineStr">
        <is>
          <t>22</t>
        </is>
      </c>
      <c r="AG133" s="26" t="inlineStr">
        <is>
          <t>2026-09-16 16:30</t>
        </is>
      </c>
      <c r="AH133" s="26" t="inlineStr">
        <is>
          <t>Synthetic Athena negotiated charge</t>
        </is>
      </c>
    </row>
    <row r="134">
      <c r="A134" s="26" t="inlineStr">
        <is>
          <t>OPD-CHG-0065-CGH</t>
        </is>
      </c>
      <c r="B134" s="26" t="inlineStr">
        <is>
          <t>OP-202600065-CGH</t>
        </is>
      </c>
      <c r="C134" s="26" t="inlineStr">
        <is>
          <t>CSN-OPD-780065-CGH</t>
        </is>
      </c>
      <c r="D134" s="26" t="inlineStr">
        <is>
          <t>Outpatient</t>
        </is>
      </c>
      <c r="E134" s="26" t="inlineStr">
        <is>
          <t>Demo Regional Medical Center</t>
        </is>
      </c>
      <c r="F134" s="26" t="inlineStr">
        <is>
          <t>Hospital Clinic</t>
        </is>
      </c>
      <c r="G134" s="26" t="inlineStr">
        <is>
          <t>2026-09-16</t>
        </is>
      </c>
      <c r="H134" s="26" t="inlineStr">
        <is>
          <t>CLINIC-L5</t>
        </is>
      </c>
      <c r="I134" s="26" t="inlineStr">
        <is>
          <t>Hospital Outpatient Clinic Visit Level 5</t>
        </is>
      </c>
      <c r="J134" s="26" t="inlineStr">
        <is>
          <t>0510</t>
        </is>
      </c>
      <c r="K134" s="26" t="inlineStr">
        <is>
          <t>99215</t>
        </is>
      </c>
      <c r="L134" s="26" t="n"/>
      <c r="M134" s="26" t="n">
        <v>1</v>
      </c>
      <c r="N134" s="13" t="n">
        <v>570</v>
      </c>
      <c r="O134" s="13">
        <f>M134*N134</f>
        <v/>
      </c>
      <c r="P134" s="13" t="n">
        <v>301</v>
      </c>
      <c r="Q134" s="13">
        <f>P134*15%</f>
        <v/>
      </c>
      <c r="R134" s="13">
        <f>O134-P134</f>
        <v/>
      </c>
      <c r="S134" s="26" t="inlineStr">
        <is>
          <t>Care Gap Health</t>
        </is>
      </c>
      <c r="T134" s="26" t="inlineStr">
        <is>
          <t>Care Gap Value PPO</t>
        </is>
      </c>
      <c r="U134" s="26" t="n"/>
      <c r="V134" s="26" t="inlineStr">
        <is>
          <t>Eleanor Brooks, MD</t>
        </is>
      </c>
      <c r="W134" s="26" t="inlineStr">
        <is>
          <t>Assigned Department Provider</t>
        </is>
      </c>
      <c r="X134" s="26" t="inlineStr">
        <is>
          <t>Ambulatory</t>
        </is>
      </c>
      <c r="Y134" s="26" t="inlineStr">
        <is>
          <t>Visit close</t>
        </is>
      </c>
      <c r="Z134" s="26" t="inlineStr">
        <is>
          <t>Posted</t>
        </is>
      </c>
      <c r="AA134" s="26" t="inlineStr">
        <is>
          <t>Matched</t>
        </is>
      </c>
      <c r="AB134" s="26" t="inlineStr">
        <is>
          <t>Passed</t>
        </is>
      </c>
      <c r="AC134" s="26" t="n"/>
      <c r="AD134" s="26" t="inlineStr">
        <is>
          <t>E/M documentation</t>
        </is>
      </c>
      <c r="AE134" s="26" t="inlineStr">
        <is>
          <t>I50.9</t>
        </is>
      </c>
      <c r="AF134" s="26" t="inlineStr">
        <is>
          <t>22</t>
        </is>
      </c>
      <c r="AG134" s="26" t="inlineStr">
        <is>
          <t>2026-09-16 16:30</t>
        </is>
      </c>
      <c r="AH134" s="26" t="inlineStr">
        <is>
          <t>Synthetic Care Gap charge; 10% below Athena allowed amount</t>
        </is>
      </c>
    </row>
    <row r="135">
      <c r="A135" s="26" t="inlineStr">
        <is>
          <t>OPD-CHG-0066-ATH</t>
        </is>
      </c>
      <c r="B135" s="26" t="inlineStr">
        <is>
          <t>OP-202600066-ATH</t>
        </is>
      </c>
      <c r="C135" s="26" t="inlineStr">
        <is>
          <t>CSN-OPD-780066-ATH</t>
        </is>
      </c>
      <c r="D135" s="26" t="inlineStr">
        <is>
          <t>Outpatient</t>
        </is>
      </c>
      <c r="E135" s="26" t="inlineStr">
        <is>
          <t>Demo Regional Medical Center</t>
        </is>
      </c>
      <c r="F135" s="26" t="inlineStr">
        <is>
          <t>Radiology</t>
        </is>
      </c>
      <c r="G135" s="26" t="inlineStr">
        <is>
          <t>2026-09-17</t>
        </is>
      </c>
      <c r="H135" s="26" t="inlineStr">
        <is>
          <t>XR-CHEST-2V</t>
        </is>
      </c>
      <c r="I135" s="26" t="inlineStr">
        <is>
          <t>Chest X-ray, 2 Views</t>
        </is>
      </c>
      <c r="J135" s="26" t="inlineStr">
        <is>
          <t>0320</t>
        </is>
      </c>
      <c r="K135" s="26" t="inlineStr">
        <is>
          <t>71046</t>
        </is>
      </c>
      <c r="L135" s="26" t="n"/>
      <c r="M135" s="26" t="n">
        <v>1</v>
      </c>
      <c r="N135" s="13" t="n">
        <v>185</v>
      </c>
      <c r="O135" s="13">
        <f>M135*N135</f>
        <v/>
      </c>
      <c r="P135" s="13" t="n">
        <v>117.57</v>
      </c>
      <c r="Q135" s="13">
        <f>P135*20%</f>
        <v/>
      </c>
      <c r="R135" s="13">
        <f>O135-P135</f>
        <v/>
      </c>
      <c r="S135" s="26" t="inlineStr">
        <is>
          <t>Athena Health Insurance</t>
        </is>
      </c>
      <c r="T135" s="26" t="inlineStr">
        <is>
          <t>Athena PPO</t>
        </is>
      </c>
      <c r="U135" s="26" t="n"/>
      <c r="V135" s="26" t="inlineStr">
        <is>
          <t>Eleanor Brooks, MD</t>
        </is>
      </c>
      <c r="W135" s="26" t="inlineStr">
        <is>
          <t>Assigned Department Provider</t>
        </is>
      </c>
      <c r="X135" s="26" t="inlineStr">
        <is>
          <t>RIS/PACS</t>
        </is>
      </c>
      <c r="Y135" s="26" t="inlineStr">
        <is>
          <t>Exam completed</t>
        </is>
      </c>
      <c r="Z135" s="26" t="inlineStr">
        <is>
          <t>Posted</t>
        </is>
      </c>
      <c r="AA135" s="26" t="inlineStr">
        <is>
          <t>Matched</t>
        </is>
      </c>
      <c r="AB135" s="26" t="inlineStr">
        <is>
          <t>Passed</t>
        </is>
      </c>
      <c r="AC135" s="26" t="n"/>
      <c r="AD135" s="26" t="inlineStr">
        <is>
          <t>Diagnosis/LCD</t>
        </is>
      </c>
      <c r="AE135" s="26" t="inlineStr">
        <is>
          <t>R05.9</t>
        </is>
      </c>
      <c r="AF135" s="26" t="inlineStr">
        <is>
          <t>22</t>
        </is>
      </c>
      <c r="AG135" s="26" t="inlineStr">
        <is>
          <t>2026-09-17 16:30</t>
        </is>
      </c>
      <c r="AH135" s="26" t="inlineStr">
        <is>
          <t>Synthetic Athena negotiated charge</t>
        </is>
      </c>
    </row>
    <row r="136">
      <c r="A136" s="26" t="inlineStr">
        <is>
          <t>OPD-CHG-0066-CGH</t>
        </is>
      </c>
      <c r="B136" s="26" t="inlineStr">
        <is>
          <t>OP-202600066-CGH</t>
        </is>
      </c>
      <c r="C136" s="26" t="inlineStr">
        <is>
          <t>CSN-OPD-780066-CGH</t>
        </is>
      </c>
      <c r="D136" s="26" t="inlineStr">
        <is>
          <t>Outpatient</t>
        </is>
      </c>
      <c r="E136" s="26" t="inlineStr">
        <is>
          <t>Demo Regional Medical Center</t>
        </is>
      </c>
      <c r="F136" s="26" t="inlineStr">
        <is>
          <t>Radiology</t>
        </is>
      </c>
      <c r="G136" s="26" t="inlineStr">
        <is>
          <t>2026-09-17</t>
        </is>
      </c>
      <c r="H136" s="26" t="inlineStr">
        <is>
          <t>XR-CHEST-2V</t>
        </is>
      </c>
      <c r="I136" s="26" t="inlineStr">
        <is>
          <t>Chest X-ray, 2 Views</t>
        </is>
      </c>
      <c r="J136" s="26" t="inlineStr">
        <is>
          <t>0320</t>
        </is>
      </c>
      <c r="K136" s="26" t="inlineStr">
        <is>
          <t>71046</t>
        </is>
      </c>
      <c r="L136" s="26" t="n"/>
      <c r="M136" s="26" t="n">
        <v>1</v>
      </c>
      <c r="N136" s="13" t="n">
        <v>185</v>
      </c>
      <c r="O136" s="13">
        <f>M136*N136</f>
        <v/>
      </c>
      <c r="P136" s="13" t="n">
        <v>105.81</v>
      </c>
      <c r="Q136" s="13">
        <f>P136*15%</f>
        <v/>
      </c>
      <c r="R136" s="13">
        <f>O136-P136</f>
        <v/>
      </c>
      <c r="S136" s="26" t="inlineStr">
        <is>
          <t>Care Gap Health</t>
        </is>
      </c>
      <c r="T136" s="26" t="inlineStr">
        <is>
          <t>Care Gap Value PPO</t>
        </is>
      </c>
      <c r="U136" s="26" t="n"/>
      <c r="V136" s="26" t="inlineStr">
        <is>
          <t>Eleanor Brooks, MD</t>
        </is>
      </c>
      <c r="W136" s="26" t="inlineStr">
        <is>
          <t>Assigned Department Provider</t>
        </is>
      </c>
      <c r="X136" s="26" t="inlineStr">
        <is>
          <t>RIS/PACS</t>
        </is>
      </c>
      <c r="Y136" s="26" t="inlineStr">
        <is>
          <t>Exam completed</t>
        </is>
      </c>
      <c r="Z136" s="26" t="inlineStr">
        <is>
          <t>Posted</t>
        </is>
      </c>
      <c r="AA136" s="26" t="inlineStr">
        <is>
          <t>Matched</t>
        </is>
      </c>
      <c r="AB136" s="26" t="inlineStr">
        <is>
          <t>Passed</t>
        </is>
      </c>
      <c r="AC136" s="26" t="n"/>
      <c r="AD136" s="26" t="inlineStr">
        <is>
          <t>Diagnosis/LCD</t>
        </is>
      </c>
      <c r="AE136" s="26" t="inlineStr">
        <is>
          <t>R05.9</t>
        </is>
      </c>
      <c r="AF136" s="26" t="inlineStr">
        <is>
          <t>22</t>
        </is>
      </c>
      <c r="AG136" s="26" t="inlineStr">
        <is>
          <t>2026-09-17 16:30</t>
        </is>
      </c>
      <c r="AH136" s="26" t="inlineStr">
        <is>
          <t>Synthetic Care Gap charge; 10% below Athena allowed amount</t>
        </is>
      </c>
    </row>
    <row r="137">
      <c r="A137" s="26" t="inlineStr">
        <is>
          <t>OPD-CHG-0067-ATH</t>
        </is>
      </c>
      <c r="B137" s="26" t="inlineStr">
        <is>
          <t>OP-202600067-ATH</t>
        </is>
      </c>
      <c r="C137" s="26" t="inlineStr">
        <is>
          <t>CSN-OPD-780067-ATH</t>
        </is>
      </c>
      <c r="D137" s="26" t="inlineStr">
        <is>
          <t>Outpatient</t>
        </is>
      </c>
      <c r="E137" s="26" t="inlineStr">
        <is>
          <t>Demo Regional Medical Center</t>
        </is>
      </c>
      <c r="F137" s="26" t="inlineStr">
        <is>
          <t>Radiology</t>
        </is>
      </c>
      <c r="G137" s="26" t="inlineStr">
        <is>
          <t>2026-09-18</t>
        </is>
      </c>
      <c r="H137" s="26" t="inlineStr">
        <is>
          <t>CT-HEAD-WO</t>
        </is>
      </c>
      <c r="I137" s="26" t="inlineStr">
        <is>
          <t>CT Head Without Contrast</t>
        </is>
      </c>
      <c r="J137" s="26" t="inlineStr">
        <is>
          <t>0350</t>
        </is>
      </c>
      <c r="K137" s="26" t="inlineStr">
        <is>
          <t>70450</t>
        </is>
      </c>
      <c r="L137" s="26" t="n"/>
      <c r="M137" s="26" t="n">
        <v>1</v>
      </c>
      <c r="N137" s="13" t="n">
        <v>1900</v>
      </c>
      <c r="O137" s="13">
        <f>M137*N137</f>
        <v/>
      </c>
      <c r="P137" s="13" t="n">
        <v>886.23</v>
      </c>
      <c r="Q137" s="13">
        <f>P137*20%</f>
        <v/>
      </c>
      <c r="R137" s="13">
        <f>O137-P137</f>
        <v/>
      </c>
      <c r="S137" s="26" t="inlineStr">
        <is>
          <t>Athena Health Insurance</t>
        </is>
      </c>
      <c r="T137" s="26" t="inlineStr">
        <is>
          <t>Athena PPO</t>
        </is>
      </c>
      <c r="U137" s="26" t="inlineStr">
        <is>
          <t>AUTH-700067</t>
        </is>
      </c>
      <c r="V137" s="26" t="inlineStr">
        <is>
          <t>Eleanor Brooks, MD</t>
        </is>
      </c>
      <c r="W137" s="26" t="inlineStr">
        <is>
          <t>Assigned Department Provider</t>
        </is>
      </c>
      <c r="X137" s="26" t="inlineStr">
        <is>
          <t>RIS/PACS</t>
        </is>
      </c>
      <c r="Y137" s="26" t="inlineStr">
        <is>
          <t>Exam completed</t>
        </is>
      </c>
      <c r="Z137" s="26" t="inlineStr">
        <is>
          <t>Posted</t>
        </is>
      </c>
      <c r="AA137" s="26" t="inlineStr">
        <is>
          <t>Matched</t>
        </is>
      </c>
      <c r="AB137" s="26" t="inlineStr">
        <is>
          <t>Passed</t>
        </is>
      </c>
      <c r="AC137" s="26" t="n"/>
      <c r="AD137" s="26" t="inlineStr">
        <is>
          <t>Prior authorization</t>
        </is>
      </c>
      <c r="AE137" s="26" t="inlineStr">
        <is>
          <t>R51.9</t>
        </is>
      </c>
      <c r="AF137" s="26" t="inlineStr">
        <is>
          <t>22</t>
        </is>
      </c>
      <c r="AG137" s="26" t="inlineStr">
        <is>
          <t>2026-09-18 16:30</t>
        </is>
      </c>
      <c r="AH137" s="26" t="inlineStr">
        <is>
          <t>Synthetic Athena negotiated charge</t>
        </is>
      </c>
    </row>
    <row r="138">
      <c r="A138" s="26" t="inlineStr">
        <is>
          <t>OPD-CHG-0067-CGH</t>
        </is>
      </c>
      <c r="B138" s="26" t="inlineStr">
        <is>
          <t>OP-202600067-CGH</t>
        </is>
      </c>
      <c r="C138" s="26" t="inlineStr">
        <is>
          <t>CSN-OPD-780067-CGH</t>
        </is>
      </c>
      <c r="D138" s="26" t="inlineStr">
        <is>
          <t>Outpatient</t>
        </is>
      </c>
      <c r="E138" s="26" t="inlineStr">
        <is>
          <t>Demo Regional Medical Center</t>
        </is>
      </c>
      <c r="F138" s="26" t="inlineStr">
        <is>
          <t>Radiology</t>
        </is>
      </c>
      <c r="G138" s="26" t="inlineStr">
        <is>
          <t>2026-09-18</t>
        </is>
      </c>
      <c r="H138" s="26" t="inlineStr">
        <is>
          <t>CT-HEAD-WO</t>
        </is>
      </c>
      <c r="I138" s="26" t="inlineStr">
        <is>
          <t>CT Head Without Contrast</t>
        </is>
      </c>
      <c r="J138" s="26" t="inlineStr">
        <is>
          <t>0350</t>
        </is>
      </c>
      <c r="K138" s="26" t="inlineStr">
        <is>
          <t>70450</t>
        </is>
      </c>
      <c r="L138" s="26" t="n"/>
      <c r="M138" s="26" t="n">
        <v>1</v>
      </c>
      <c r="N138" s="13" t="n">
        <v>1900</v>
      </c>
      <c r="O138" s="13">
        <f>M138*N138</f>
        <v/>
      </c>
      <c r="P138" s="13" t="n">
        <v>797.61</v>
      </c>
      <c r="Q138" s="13">
        <f>P138*15%</f>
        <v/>
      </c>
      <c r="R138" s="13">
        <f>O138-P138</f>
        <v/>
      </c>
      <c r="S138" s="26" t="inlineStr">
        <is>
          <t>Care Gap Health</t>
        </is>
      </c>
      <c r="T138" s="26" t="inlineStr">
        <is>
          <t>Care Gap Value PPO</t>
        </is>
      </c>
      <c r="U138" s="26" t="inlineStr">
        <is>
          <t>AUTH-700067</t>
        </is>
      </c>
      <c r="V138" s="26" t="inlineStr">
        <is>
          <t>Eleanor Brooks, MD</t>
        </is>
      </c>
      <c r="W138" s="26" t="inlineStr">
        <is>
          <t>Assigned Department Provider</t>
        </is>
      </c>
      <c r="X138" s="26" t="inlineStr">
        <is>
          <t>RIS/PACS</t>
        </is>
      </c>
      <c r="Y138" s="26" t="inlineStr">
        <is>
          <t>Exam completed</t>
        </is>
      </c>
      <c r="Z138" s="26" t="inlineStr">
        <is>
          <t>Posted</t>
        </is>
      </c>
      <c r="AA138" s="26" t="inlineStr">
        <is>
          <t>Matched</t>
        </is>
      </c>
      <c r="AB138" s="26" t="inlineStr">
        <is>
          <t>Passed</t>
        </is>
      </c>
      <c r="AC138" s="26" t="n"/>
      <c r="AD138" s="26" t="inlineStr">
        <is>
          <t>Prior authorization</t>
        </is>
      </c>
      <c r="AE138" s="26" t="inlineStr">
        <is>
          <t>R51.9</t>
        </is>
      </c>
      <c r="AF138" s="26" t="inlineStr">
        <is>
          <t>22</t>
        </is>
      </c>
      <c r="AG138" s="26" t="inlineStr">
        <is>
          <t>2026-09-18 16:30</t>
        </is>
      </c>
      <c r="AH138" s="26" t="inlineStr">
        <is>
          <t>Synthetic Care Gap charge; 10% below Athena allowed amount</t>
        </is>
      </c>
    </row>
    <row r="139">
      <c r="A139" s="26" t="inlineStr">
        <is>
          <t>OPD-CHG-0068-ATH</t>
        </is>
      </c>
      <c r="B139" s="26" t="inlineStr">
        <is>
          <t>OP-202600068-ATH</t>
        </is>
      </c>
      <c r="C139" s="26" t="inlineStr">
        <is>
          <t>CSN-OPD-780068-ATH</t>
        </is>
      </c>
      <c r="D139" s="26" t="inlineStr">
        <is>
          <t>Outpatient</t>
        </is>
      </c>
      <c r="E139" s="26" t="inlineStr">
        <is>
          <t>Demo Regional Medical Center</t>
        </is>
      </c>
      <c r="F139" s="26" t="inlineStr">
        <is>
          <t>Radiology</t>
        </is>
      </c>
      <c r="G139" s="26" t="inlineStr">
        <is>
          <t>2026-09-19</t>
        </is>
      </c>
      <c r="H139" s="26" t="inlineStr">
        <is>
          <t>CT-CHEST-W</t>
        </is>
      </c>
      <c r="I139" s="26" t="inlineStr">
        <is>
          <t>CT Chest With Contrast</t>
        </is>
      </c>
      <c r="J139" s="26" t="inlineStr">
        <is>
          <t>0350</t>
        </is>
      </c>
      <c r="K139" s="26" t="inlineStr">
        <is>
          <t>71260</t>
        </is>
      </c>
      <c r="L139" s="26" t="n"/>
      <c r="M139" s="26" t="n">
        <v>1</v>
      </c>
      <c r="N139" s="13" t="n">
        <v>2500</v>
      </c>
      <c r="O139" s="13">
        <f>M139*N139</f>
        <v/>
      </c>
      <c r="P139" s="13" t="n">
        <v>1272.53</v>
      </c>
      <c r="Q139" s="13">
        <f>P139*20%</f>
        <v/>
      </c>
      <c r="R139" s="13">
        <f>O139-P139</f>
        <v/>
      </c>
      <c r="S139" s="26" t="inlineStr">
        <is>
          <t>Athena Health Insurance</t>
        </is>
      </c>
      <c r="T139" s="26" t="inlineStr">
        <is>
          <t>Athena PPO</t>
        </is>
      </c>
      <c r="U139" s="26" t="inlineStr">
        <is>
          <t>AUTH-700068</t>
        </is>
      </c>
      <c r="V139" s="26" t="inlineStr">
        <is>
          <t>Eleanor Brooks, MD</t>
        </is>
      </c>
      <c r="W139" s="26" t="inlineStr">
        <is>
          <t>Assigned Department Provider</t>
        </is>
      </c>
      <c r="X139" s="26" t="inlineStr">
        <is>
          <t>RIS/PACS</t>
        </is>
      </c>
      <c r="Y139" s="26" t="inlineStr">
        <is>
          <t>Exam completed</t>
        </is>
      </c>
      <c r="Z139" s="26" t="inlineStr">
        <is>
          <t>Posted</t>
        </is>
      </c>
      <c r="AA139" s="26" t="inlineStr">
        <is>
          <t>Matched</t>
        </is>
      </c>
      <c r="AB139" s="26" t="inlineStr">
        <is>
          <t>Passed</t>
        </is>
      </c>
      <c r="AC139" s="26" t="n"/>
      <c r="AD139" s="26" t="inlineStr">
        <is>
          <t>Prior authorization</t>
        </is>
      </c>
      <c r="AE139" s="26" t="inlineStr">
        <is>
          <t>R91.1</t>
        </is>
      </c>
      <c r="AF139" s="26" t="inlineStr">
        <is>
          <t>22</t>
        </is>
      </c>
      <c r="AG139" s="26" t="inlineStr">
        <is>
          <t>2026-09-19 16:30</t>
        </is>
      </c>
      <c r="AH139" s="26" t="inlineStr">
        <is>
          <t>Synthetic Athena negotiated charge</t>
        </is>
      </c>
    </row>
    <row r="140">
      <c r="A140" s="26" t="inlineStr">
        <is>
          <t>OPD-CHG-0068-CGH</t>
        </is>
      </c>
      <c r="B140" s="26" t="inlineStr">
        <is>
          <t>OP-202600068-CGH</t>
        </is>
      </c>
      <c r="C140" s="26" t="inlineStr">
        <is>
          <t>CSN-OPD-780068-CGH</t>
        </is>
      </c>
      <c r="D140" s="26" t="inlineStr">
        <is>
          <t>Outpatient</t>
        </is>
      </c>
      <c r="E140" s="26" t="inlineStr">
        <is>
          <t>Demo Regional Medical Center</t>
        </is>
      </c>
      <c r="F140" s="26" t="inlineStr">
        <is>
          <t>Radiology</t>
        </is>
      </c>
      <c r="G140" s="26" t="inlineStr">
        <is>
          <t>2026-09-19</t>
        </is>
      </c>
      <c r="H140" s="26" t="inlineStr">
        <is>
          <t>CT-CHEST-W</t>
        </is>
      </c>
      <c r="I140" s="26" t="inlineStr">
        <is>
          <t>CT Chest With Contrast</t>
        </is>
      </c>
      <c r="J140" s="26" t="inlineStr">
        <is>
          <t>0350</t>
        </is>
      </c>
      <c r="K140" s="26" t="inlineStr">
        <is>
          <t>71260</t>
        </is>
      </c>
      <c r="L140" s="26" t="n"/>
      <c r="M140" s="26" t="n">
        <v>1</v>
      </c>
      <c r="N140" s="13" t="n">
        <v>2500</v>
      </c>
      <c r="O140" s="13">
        <f>M140*N140</f>
        <v/>
      </c>
      <c r="P140" s="13" t="n">
        <v>1145.28</v>
      </c>
      <c r="Q140" s="13">
        <f>P140*15%</f>
        <v/>
      </c>
      <c r="R140" s="13">
        <f>O140-P140</f>
        <v/>
      </c>
      <c r="S140" s="26" t="inlineStr">
        <is>
          <t>Care Gap Health</t>
        </is>
      </c>
      <c r="T140" s="26" t="inlineStr">
        <is>
          <t>Care Gap Value PPO</t>
        </is>
      </c>
      <c r="U140" s="26" t="inlineStr">
        <is>
          <t>AUTH-700068</t>
        </is>
      </c>
      <c r="V140" s="26" t="inlineStr">
        <is>
          <t>Eleanor Brooks, MD</t>
        </is>
      </c>
      <c r="W140" s="26" t="inlineStr">
        <is>
          <t>Assigned Department Provider</t>
        </is>
      </c>
      <c r="X140" s="26" t="inlineStr">
        <is>
          <t>RIS/PACS</t>
        </is>
      </c>
      <c r="Y140" s="26" t="inlineStr">
        <is>
          <t>Exam completed</t>
        </is>
      </c>
      <c r="Z140" s="26" t="inlineStr">
        <is>
          <t>Posted</t>
        </is>
      </c>
      <c r="AA140" s="26" t="inlineStr">
        <is>
          <t>Matched</t>
        </is>
      </c>
      <c r="AB140" s="26" t="inlineStr">
        <is>
          <t>Passed</t>
        </is>
      </c>
      <c r="AC140" s="26" t="n"/>
      <c r="AD140" s="26" t="inlineStr">
        <is>
          <t>Prior authorization</t>
        </is>
      </c>
      <c r="AE140" s="26" t="inlineStr">
        <is>
          <t>R91.1</t>
        </is>
      </c>
      <c r="AF140" s="26" t="inlineStr">
        <is>
          <t>22</t>
        </is>
      </c>
      <c r="AG140" s="26" t="inlineStr">
        <is>
          <t>2026-09-19 16:30</t>
        </is>
      </c>
      <c r="AH140" s="26" t="inlineStr">
        <is>
          <t>Synthetic Care Gap charge; 10% below Athena allowed amount</t>
        </is>
      </c>
    </row>
    <row r="141">
      <c r="A141" s="26" t="inlineStr">
        <is>
          <t>OPD-CHG-0069-ATH</t>
        </is>
      </c>
      <c r="B141" s="26" t="inlineStr">
        <is>
          <t>OP-202600069-ATH</t>
        </is>
      </c>
      <c r="C141" s="26" t="inlineStr">
        <is>
          <t>CSN-OPD-780069-ATH</t>
        </is>
      </c>
      <c r="D141" s="26" t="inlineStr">
        <is>
          <t>Outpatient</t>
        </is>
      </c>
      <c r="E141" s="26" t="inlineStr">
        <is>
          <t>Demo Regional Medical Center</t>
        </is>
      </c>
      <c r="F141" s="26" t="inlineStr">
        <is>
          <t>Radiology</t>
        </is>
      </c>
      <c r="G141" s="26" t="inlineStr">
        <is>
          <t>2026-09-20</t>
        </is>
      </c>
      <c r="H141" s="26" t="inlineStr">
        <is>
          <t>MRI-BRAIN-WO</t>
        </is>
      </c>
      <c r="I141" s="26" t="inlineStr">
        <is>
          <t>MRI Brain Without Contrast</t>
        </is>
      </c>
      <c r="J141" s="26" t="inlineStr">
        <is>
          <t>0610</t>
        </is>
      </c>
      <c r="K141" s="26" t="inlineStr">
        <is>
          <t>70551</t>
        </is>
      </c>
      <c r="L141" s="26" t="n"/>
      <c r="M141" s="26" t="n">
        <v>1</v>
      </c>
      <c r="N141" s="13" t="n">
        <v>3250</v>
      </c>
      <c r="O141" s="13">
        <f>M141*N141</f>
        <v/>
      </c>
      <c r="P141" s="13" t="n">
        <v>2309.49</v>
      </c>
      <c r="Q141" s="13">
        <f>P141*20%</f>
        <v/>
      </c>
      <c r="R141" s="13">
        <f>O141-P141</f>
        <v/>
      </c>
      <c r="S141" s="26" t="inlineStr">
        <is>
          <t>Athena Health Insurance</t>
        </is>
      </c>
      <c r="T141" s="26" t="inlineStr">
        <is>
          <t>Athena PPO</t>
        </is>
      </c>
      <c r="U141" s="26" t="inlineStr">
        <is>
          <t>AUTH-700069</t>
        </is>
      </c>
      <c r="V141" s="26" t="inlineStr">
        <is>
          <t>Eleanor Brooks, MD</t>
        </is>
      </c>
      <c r="W141" s="26" t="inlineStr">
        <is>
          <t>Assigned Department Provider</t>
        </is>
      </c>
      <c r="X141" s="26" t="inlineStr">
        <is>
          <t>RIS/PACS</t>
        </is>
      </c>
      <c r="Y141" s="26" t="inlineStr">
        <is>
          <t>Exam completed</t>
        </is>
      </c>
      <c r="Z141" s="26" t="inlineStr">
        <is>
          <t>Posted</t>
        </is>
      </c>
      <c r="AA141" s="26" t="inlineStr">
        <is>
          <t>Matched</t>
        </is>
      </c>
      <c r="AB141" s="26" t="inlineStr">
        <is>
          <t>Review</t>
        </is>
      </c>
      <c r="AC141" s="26" t="inlineStr">
        <is>
          <t>WQ-RAD-02</t>
        </is>
      </c>
      <c r="AD141" s="26" t="inlineStr">
        <is>
          <t>Prior authorization</t>
        </is>
      </c>
      <c r="AE141" s="26" t="inlineStr">
        <is>
          <t>G43.909</t>
        </is>
      </c>
      <c r="AF141" s="26" t="inlineStr">
        <is>
          <t>22</t>
        </is>
      </c>
      <c r="AG141" s="26" t="inlineStr">
        <is>
          <t>2026-09-20 16:30</t>
        </is>
      </c>
      <c r="AH141" s="26" t="inlineStr">
        <is>
          <t>Synthetic Athena negotiated charge</t>
        </is>
      </c>
    </row>
    <row r="142">
      <c r="A142" s="26" t="inlineStr">
        <is>
          <t>OPD-CHG-0069-CGH</t>
        </is>
      </c>
      <c r="B142" s="26" t="inlineStr">
        <is>
          <t>OP-202600069-CGH</t>
        </is>
      </c>
      <c r="C142" s="26" t="inlineStr">
        <is>
          <t>CSN-OPD-780069-CGH</t>
        </is>
      </c>
      <c r="D142" s="26" t="inlineStr">
        <is>
          <t>Outpatient</t>
        </is>
      </c>
      <c r="E142" s="26" t="inlineStr">
        <is>
          <t>Demo Regional Medical Center</t>
        </is>
      </c>
      <c r="F142" s="26" t="inlineStr">
        <is>
          <t>Radiology</t>
        </is>
      </c>
      <c r="G142" s="26" t="inlineStr">
        <is>
          <t>2026-09-20</t>
        </is>
      </c>
      <c r="H142" s="26" t="inlineStr">
        <is>
          <t>MRI-BRAIN-WO</t>
        </is>
      </c>
      <c r="I142" s="26" t="inlineStr">
        <is>
          <t>MRI Brain Without Contrast</t>
        </is>
      </c>
      <c r="J142" s="26" t="inlineStr">
        <is>
          <t>0610</t>
        </is>
      </c>
      <c r="K142" s="26" t="inlineStr">
        <is>
          <t>70551</t>
        </is>
      </c>
      <c r="L142" s="26" t="n"/>
      <c r="M142" s="26" t="n">
        <v>1</v>
      </c>
      <c r="N142" s="13" t="n">
        <v>3250</v>
      </c>
      <c r="O142" s="13">
        <f>M142*N142</f>
        <v/>
      </c>
      <c r="P142" s="13" t="n">
        <v>2078.54</v>
      </c>
      <c r="Q142" s="13">
        <f>P142*15%</f>
        <v/>
      </c>
      <c r="R142" s="13">
        <f>O142-P142</f>
        <v/>
      </c>
      <c r="S142" s="26" t="inlineStr">
        <is>
          <t>Care Gap Health</t>
        </is>
      </c>
      <c r="T142" s="26" t="inlineStr">
        <is>
          <t>Care Gap Value PPO</t>
        </is>
      </c>
      <c r="U142" s="26" t="inlineStr">
        <is>
          <t>AUTH-700069</t>
        </is>
      </c>
      <c r="V142" s="26" t="inlineStr">
        <is>
          <t>Eleanor Brooks, MD</t>
        </is>
      </c>
      <c r="W142" s="26" t="inlineStr">
        <is>
          <t>Assigned Department Provider</t>
        </is>
      </c>
      <c r="X142" s="26" t="inlineStr">
        <is>
          <t>RIS/PACS</t>
        </is>
      </c>
      <c r="Y142" s="26" t="inlineStr">
        <is>
          <t>Exam completed</t>
        </is>
      </c>
      <c r="Z142" s="26" t="inlineStr">
        <is>
          <t>Posted</t>
        </is>
      </c>
      <c r="AA142" s="26" t="inlineStr">
        <is>
          <t>Matched</t>
        </is>
      </c>
      <c r="AB142" s="26" t="inlineStr">
        <is>
          <t>Review</t>
        </is>
      </c>
      <c r="AC142" s="26" t="inlineStr">
        <is>
          <t>WQ-RAD-02</t>
        </is>
      </c>
      <c r="AD142" s="26" t="inlineStr">
        <is>
          <t>Prior authorization</t>
        </is>
      </c>
      <c r="AE142" s="26" t="inlineStr">
        <is>
          <t>G43.909</t>
        </is>
      </c>
      <c r="AF142" s="26" t="inlineStr">
        <is>
          <t>22</t>
        </is>
      </c>
      <c r="AG142" s="26" t="inlineStr">
        <is>
          <t>2026-09-20 16:30</t>
        </is>
      </c>
      <c r="AH142" s="26" t="inlineStr">
        <is>
          <t>Synthetic Care Gap charge; 10% below Athena allowed amount</t>
        </is>
      </c>
    </row>
    <row r="143">
      <c r="A143" s="26" t="inlineStr">
        <is>
          <t>OPD-CHG-0070-ATH</t>
        </is>
      </c>
      <c r="B143" s="26" t="inlineStr">
        <is>
          <t>OP-202600070-ATH</t>
        </is>
      </c>
      <c r="C143" s="26" t="inlineStr">
        <is>
          <t>CSN-OPD-780070-ATH</t>
        </is>
      </c>
      <c r="D143" s="26" t="inlineStr">
        <is>
          <t>Outpatient</t>
        </is>
      </c>
      <c r="E143" s="26" t="inlineStr">
        <is>
          <t>Demo Regional Medical Center</t>
        </is>
      </c>
      <c r="F143" s="26" t="inlineStr">
        <is>
          <t>Radiology</t>
        </is>
      </c>
      <c r="G143" s="26" t="inlineStr">
        <is>
          <t>2026-09-21</t>
        </is>
      </c>
      <c r="H143" s="26" t="inlineStr">
        <is>
          <t>US-ABD-COMP</t>
        </is>
      </c>
      <c r="I143" s="26" t="inlineStr">
        <is>
          <t>Ultrasound Abdomen Complete</t>
        </is>
      </c>
      <c r="J143" s="26" t="inlineStr">
        <is>
          <t>0402</t>
        </is>
      </c>
      <c r="K143" s="26" t="inlineStr">
        <is>
          <t>76700</t>
        </is>
      </c>
      <c r="L143" s="26" t="n"/>
      <c r="M143" s="26" t="n">
        <v>1</v>
      </c>
      <c r="N143" s="13" t="n">
        <v>875</v>
      </c>
      <c r="O143" s="13">
        <f>M143*N143</f>
        <v/>
      </c>
      <c r="P143" s="13" t="n">
        <v>519.53</v>
      </c>
      <c r="Q143" s="13">
        <f>P143*20%</f>
        <v/>
      </c>
      <c r="R143" s="13">
        <f>O143-P143</f>
        <v/>
      </c>
      <c r="S143" s="26" t="inlineStr">
        <is>
          <t>Athena Health Insurance</t>
        </is>
      </c>
      <c r="T143" s="26" t="inlineStr">
        <is>
          <t>Athena PPO</t>
        </is>
      </c>
      <c r="U143" s="26" t="n"/>
      <c r="V143" s="26" t="inlineStr">
        <is>
          <t>Eleanor Brooks, MD</t>
        </is>
      </c>
      <c r="W143" s="26" t="inlineStr">
        <is>
          <t>Assigned Department Provider</t>
        </is>
      </c>
      <c r="X143" s="26" t="inlineStr">
        <is>
          <t>RIS/PACS</t>
        </is>
      </c>
      <c r="Y143" s="26" t="inlineStr">
        <is>
          <t>Exam completed</t>
        </is>
      </c>
      <c r="Z143" s="26" t="inlineStr">
        <is>
          <t>Posted</t>
        </is>
      </c>
      <c r="AA143" s="26" t="inlineStr">
        <is>
          <t>Matched</t>
        </is>
      </c>
      <c r="AB143" s="26" t="inlineStr">
        <is>
          <t>Passed</t>
        </is>
      </c>
      <c r="AC143" s="26" t="n"/>
      <c r="AD143" s="26" t="inlineStr">
        <is>
          <t>Diagnosis/LCD</t>
        </is>
      </c>
      <c r="AE143" s="26" t="inlineStr">
        <is>
          <t>R10.84</t>
        </is>
      </c>
      <c r="AF143" s="26" t="inlineStr">
        <is>
          <t>22</t>
        </is>
      </c>
      <c r="AG143" s="26" t="inlineStr">
        <is>
          <t>2026-09-21 16:30</t>
        </is>
      </c>
      <c r="AH143" s="26" t="inlineStr">
        <is>
          <t>Synthetic Athena negotiated charge</t>
        </is>
      </c>
    </row>
    <row r="144">
      <c r="A144" s="26" t="inlineStr">
        <is>
          <t>OPD-CHG-0070-CGH</t>
        </is>
      </c>
      <c r="B144" s="26" t="inlineStr">
        <is>
          <t>OP-202600070-CGH</t>
        </is>
      </c>
      <c r="C144" s="26" t="inlineStr">
        <is>
          <t>CSN-OPD-780070-CGH</t>
        </is>
      </c>
      <c r="D144" s="26" t="inlineStr">
        <is>
          <t>Outpatient</t>
        </is>
      </c>
      <c r="E144" s="26" t="inlineStr">
        <is>
          <t>Demo Regional Medical Center</t>
        </is>
      </c>
      <c r="F144" s="26" t="inlineStr">
        <is>
          <t>Radiology</t>
        </is>
      </c>
      <c r="G144" s="26" t="inlineStr">
        <is>
          <t>2026-09-21</t>
        </is>
      </c>
      <c r="H144" s="26" t="inlineStr">
        <is>
          <t>US-ABD-COMP</t>
        </is>
      </c>
      <c r="I144" s="26" t="inlineStr">
        <is>
          <t>Ultrasound Abdomen Complete</t>
        </is>
      </c>
      <c r="J144" s="26" t="inlineStr">
        <is>
          <t>0402</t>
        </is>
      </c>
      <c r="K144" s="26" t="inlineStr">
        <is>
          <t>76700</t>
        </is>
      </c>
      <c r="L144" s="26" t="n"/>
      <c r="M144" s="26" t="n">
        <v>1</v>
      </c>
      <c r="N144" s="13" t="n">
        <v>875</v>
      </c>
      <c r="O144" s="13">
        <f>M144*N144</f>
        <v/>
      </c>
      <c r="P144" s="13" t="n">
        <v>467.58</v>
      </c>
      <c r="Q144" s="13">
        <f>P144*15%</f>
        <v/>
      </c>
      <c r="R144" s="13">
        <f>O144-P144</f>
        <v/>
      </c>
      <c r="S144" s="26" t="inlineStr">
        <is>
          <t>Care Gap Health</t>
        </is>
      </c>
      <c r="T144" s="26" t="inlineStr">
        <is>
          <t>Care Gap Value PPO</t>
        </is>
      </c>
      <c r="U144" s="26" t="n"/>
      <c r="V144" s="26" t="inlineStr">
        <is>
          <t>Eleanor Brooks, MD</t>
        </is>
      </c>
      <c r="W144" s="26" t="inlineStr">
        <is>
          <t>Assigned Department Provider</t>
        </is>
      </c>
      <c r="X144" s="26" t="inlineStr">
        <is>
          <t>RIS/PACS</t>
        </is>
      </c>
      <c r="Y144" s="26" t="inlineStr">
        <is>
          <t>Exam completed</t>
        </is>
      </c>
      <c r="Z144" s="26" t="inlineStr">
        <is>
          <t>Posted</t>
        </is>
      </c>
      <c r="AA144" s="26" t="inlineStr">
        <is>
          <t>Matched</t>
        </is>
      </c>
      <c r="AB144" s="26" t="inlineStr">
        <is>
          <t>Passed</t>
        </is>
      </c>
      <c r="AC144" s="26" t="n"/>
      <c r="AD144" s="26" t="inlineStr">
        <is>
          <t>Diagnosis/LCD</t>
        </is>
      </c>
      <c r="AE144" s="26" t="inlineStr">
        <is>
          <t>R10.84</t>
        </is>
      </c>
      <c r="AF144" s="26" t="inlineStr">
        <is>
          <t>22</t>
        </is>
      </c>
      <c r="AG144" s="26" t="inlineStr">
        <is>
          <t>2026-09-21 16:30</t>
        </is>
      </c>
      <c r="AH144" s="26" t="inlineStr">
        <is>
          <t>Synthetic Care Gap charge; 10% below Athena allowed amount</t>
        </is>
      </c>
    </row>
    <row r="145">
      <c r="A145" s="26" t="inlineStr">
        <is>
          <t>OPD-CHG-0071-ATH</t>
        </is>
      </c>
      <c r="B145" s="26" t="inlineStr">
        <is>
          <t>OP-202600071-ATH</t>
        </is>
      </c>
      <c r="C145" s="26" t="inlineStr">
        <is>
          <t>CSN-OPD-780071-ATH</t>
        </is>
      </c>
      <c r="D145" s="26" t="inlineStr">
        <is>
          <t>Outpatient</t>
        </is>
      </c>
      <c r="E145" s="26" t="inlineStr">
        <is>
          <t>Demo Regional Medical Center</t>
        </is>
      </c>
      <c r="F145" s="26" t="inlineStr">
        <is>
          <t>Mammography</t>
        </is>
      </c>
      <c r="G145" s="26" t="inlineStr">
        <is>
          <t>2026-09-22</t>
        </is>
      </c>
      <c r="H145" s="26" t="inlineStr">
        <is>
          <t>MAMMO-SCREEN</t>
        </is>
      </c>
      <c r="I145" s="26" t="inlineStr">
        <is>
          <t>Screening Mammography, Bilateral</t>
        </is>
      </c>
      <c r="J145" s="26" t="inlineStr">
        <is>
          <t>0403</t>
        </is>
      </c>
      <c r="K145" s="26" t="inlineStr">
        <is>
          <t>77067</t>
        </is>
      </c>
      <c r="L145" s="26" t="n"/>
      <c r="M145" s="26" t="n">
        <v>1</v>
      </c>
      <c r="N145" s="13" t="n">
        <v>535</v>
      </c>
      <c r="O145" s="13">
        <f>M145*N145</f>
        <v/>
      </c>
      <c r="P145" s="13" t="n">
        <v>311.72</v>
      </c>
      <c r="Q145" s="13">
        <f>P145*20%</f>
        <v/>
      </c>
      <c r="R145" s="13">
        <f>O145-P145</f>
        <v/>
      </c>
      <c r="S145" s="26" t="inlineStr">
        <is>
          <t>Athena Health Insurance</t>
        </is>
      </c>
      <c r="T145" s="26" t="inlineStr">
        <is>
          <t>Athena PPO</t>
        </is>
      </c>
      <c r="U145" s="26" t="n"/>
      <c r="V145" s="26" t="inlineStr">
        <is>
          <t>Eleanor Brooks, MD</t>
        </is>
      </c>
      <c r="W145" s="26" t="inlineStr">
        <is>
          <t>Assigned Department Provider</t>
        </is>
      </c>
      <c r="X145" s="26" t="inlineStr">
        <is>
          <t>RIS/PACS</t>
        </is>
      </c>
      <c r="Y145" s="26" t="inlineStr">
        <is>
          <t>Exam completed</t>
        </is>
      </c>
      <c r="Z145" s="26" t="inlineStr">
        <is>
          <t>Posted</t>
        </is>
      </c>
      <c r="AA145" s="26" t="inlineStr">
        <is>
          <t>Matched</t>
        </is>
      </c>
      <c r="AB145" s="26" t="inlineStr">
        <is>
          <t>Passed</t>
        </is>
      </c>
      <c r="AC145" s="26" t="n"/>
      <c r="AD145" s="26" t="inlineStr">
        <is>
          <t>Preventive rule</t>
        </is>
      </c>
      <c r="AE145" s="26" t="inlineStr">
        <is>
          <t>Z12.31</t>
        </is>
      </c>
      <c r="AF145" s="26" t="inlineStr">
        <is>
          <t>22</t>
        </is>
      </c>
      <c r="AG145" s="26" t="inlineStr">
        <is>
          <t>2026-09-22 16:30</t>
        </is>
      </c>
      <c r="AH145" s="26" t="inlineStr">
        <is>
          <t>Synthetic Athena negotiated charge</t>
        </is>
      </c>
    </row>
    <row r="146">
      <c r="A146" s="26" t="inlineStr">
        <is>
          <t>OPD-CHG-0071-CGH</t>
        </is>
      </c>
      <c r="B146" s="26" t="inlineStr">
        <is>
          <t>OP-202600071-CGH</t>
        </is>
      </c>
      <c r="C146" s="26" t="inlineStr">
        <is>
          <t>CSN-OPD-780071-CGH</t>
        </is>
      </c>
      <c r="D146" s="26" t="inlineStr">
        <is>
          <t>Outpatient</t>
        </is>
      </c>
      <c r="E146" s="26" t="inlineStr">
        <is>
          <t>Demo Regional Medical Center</t>
        </is>
      </c>
      <c r="F146" s="26" t="inlineStr">
        <is>
          <t>Mammography</t>
        </is>
      </c>
      <c r="G146" s="26" t="inlineStr">
        <is>
          <t>2026-09-22</t>
        </is>
      </c>
      <c r="H146" s="26" t="inlineStr">
        <is>
          <t>MAMMO-SCREEN</t>
        </is>
      </c>
      <c r="I146" s="26" t="inlineStr">
        <is>
          <t>Screening Mammography, Bilateral</t>
        </is>
      </c>
      <c r="J146" s="26" t="inlineStr">
        <is>
          <t>0403</t>
        </is>
      </c>
      <c r="K146" s="26" t="inlineStr">
        <is>
          <t>77067</t>
        </is>
      </c>
      <c r="L146" s="26" t="n"/>
      <c r="M146" s="26" t="n">
        <v>1</v>
      </c>
      <c r="N146" s="13" t="n">
        <v>535</v>
      </c>
      <c r="O146" s="13">
        <f>M146*N146</f>
        <v/>
      </c>
      <c r="P146" s="13" t="n">
        <v>280.55</v>
      </c>
      <c r="Q146" s="13">
        <f>P146*15%</f>
        <v/>
      </c>
      <c r="R146" s="13">
        <f>O146-P146</f>
        <v/>
      </c>
      <c r="S146" s="26" t="inlineStr">
        <is>
          <t>Care Gap Health</t>
        </is>
      </c>
      <c r="T146" s="26" t="inlineStr">
        <is>
          <t>Care Gap Value PPO</t>
        </is>
      </c>
      <c r="U146" s="26" t="n"/>
      <c r="V146" s="26" t="inlineStr">
        <is>
          <t>Eleanor Brooks, MD</t>
        </is>
      </c>
      <c r="W146" s="26" t="inlineStr">
        <is>
          <t>Assigned Department Provider</t>
        </is>
      </c>
      <c r="X146" s="26" t="inlineStr">
        <is>
          <t>RIS/PACS</t>
        </is>
      </c>
      <c r="Y146" s="26" t="inlineStr">
        <is>
          <t>Exam completed</t>
        </is>
      </c>
      <c r="Z146" s="26" t="inlineStr">
        <is>
          <t>Posted</t>
        </is>
      </c>
      <c r="AA146" s="26" t="inlineStr">
        <is>
          <t>Matched</t>
        </is>
      </c>
      <c r="AB146" s="26" t="inlineStr">
        <is>
          <t>Passed</t>
        </is>
      </c>
      <c r="AC146" s="26" t="n"/>
      <c r="AD146" s="26" t="inlineStr">
        <is>
          <t>Preventive rule</t>
        </is>
      </c>
      <c r="AE146" s="26" t="inlineStr">
        <is>
          <t>Z12.31</t>
        </is>
      </c>
      <c r="AF146" s="26" t="inlineStr">
        <is>
          <t>22</t>
        </is>
      </c>
      <c r="AG146" s="26" t="inlineStr">
        <is>
          <t>2026-09-22 16:30</t>
        </is>
      </c>
      <c r="AH146" s="26" t="inlineStr">
        <is>
          <t>Synthetic Care Gap charge; 10% below Athena allowed amount</t>
        </is>
      </c>
    </row>
    <row r="147">
      <c r="A147" s="26" t="inlineStr">
        <is>
          <t>OPD-CHG-0072-ATH</t>
        </is>
      </c>
      <c r="B147" s="26" t="inlineStr">
        <is>
          <t>OP-202600072-ATH</t>
        </is>
      </c>
      <c r="C147" s="26" t="inlineStr">
        <is>
          <t>CSN-OPD-780072-ATH</t>
        </is>
      </c>
      <c r="D147" s="26" t="inlineStr">
        <is>
          <t>Outpatient</t>
        </is>
      </c>
      <c r="E147" s="26" t="inlineStr">
        <is>
          <t>Demo Regional Medical Center</t>
        </is>
      </c>
      <c r="F147" s="26" t="inlineStr">
        <is>
          <t>Laboratory</t>
        </is>
      </c>
      <c r="G147" s="26" t="inlineStr">
        <is>
          <t>2026-09-23</t>
        </is>
      </c>
      <c r="H147" s="26" t="inlineStr">
        <is>
          <t>CBC-OP</t>
        </is>
      </c>
      <c r="I147" s="26" t="inlineStr">
        <is>
          <t>Complete Blood Count with Differential</t>
        </is>
      </c>
      <c r="J147" s="26" t="inlineStr">
        <is>
          <t>0300</t>
        </is>
      </c>
      <c r="K147" s="26" t="inlineStr">
        <is>
          <t>85025</t>
        </is>
      </c>
      <c r="L147" s="26" t="n"/>
      <c r="M147" s="26" t="n">
        <v>1</v>
      </c>
      <c r="N147" s="13" t="n">
        <v>155</v>
      </c>
      <c r="O147" s="13">
        <f>M147*N147</f>
        <v/>
      </c>
      <c r="P147" s="13" t="n">
        <v>99.88</v>
      </c>
      <c r="Q147" s="13">
        <f>P147*20%</f>
        <v/>
      </c>
      <c r="R147" s="13">
        <f>O147-P147</f>
        <v/>
      </c>
      <c r="S147" s="26" t="inlineStr">
        <is>
          <t>Athena Health Insurance</t>
        </is>
      </c>
      <c r="T147" s="26" t="inlineStr">
        <is>
          <t>Athena PPO</t>
        </is>
      </c>
      <c r="U147" s="26" t="n"/>
      <c r="V147" s="26" t="inlineStr">
        <is>
          <t>Eleanor Brooks, MD</t>
        </is>
      </c>
      <c r="W147" s="26" t="inlineStr">
        <is>
          <t>Assigned Department Provider</t>
        </is>
      </c>
      <c r="X147" s="26" t="inlineStr">
        <is>
          <t>LIS</t>
        </is>
      </c>
      <c r="Y147" s="26" t="inlineStr">
        <is>
          <t>Final result</t>
        </is>
      </c>
      <c r="Z147" s="26" t="inlineStr">
        <is>
          <t>Posted</t>
        </is>
      </c>
      <c r="AA147" s="26" t="inlineStr">
        <is>
          <t>Matched</t>
        </is>
      </c>
      <c r="AB147" s="26" t="inlineStr">
        <is>
          <t>Passed</t>
        </is>
      </c>
      <c r="AC147" s="26" t="n"/>
      <c r="AD147" s="26" t="inlineStr">
        <is>
          <t>Diagnosis/LCD</t>
        </is>
      </c>
      <c r="AE147" s="26" t="inlineStr">
        <is>
          <t>R53.83</t>
        </is>
      </c>
      <c r="AF147" s="26" t="inlineStr">
        <is>
          <t>22</t>
        </is>
      </c>
      <c r="AG147" s="26" t="inlineStr">
        <is>
          <t>2026-09-23 16:30</t>
        </is>
      </c>
      <c r="AH147" s="26" t="inlineStr">
        <is>
          <t>Synthetic Athena negotiated charge</t>
        </is>
      </c>
    </row>
    <row r="148">
      <c r="A148" s="26" t="inlineStr">
        <is>
          <t>OPD-CHG-0072-CGH</t>
        </is>
      </c>
      <c r="B148" s="26" t="inlineStr">
        <is>
          <t>OP-202600072-CGH</t>
        </is>
      </c>
      <c r="C148" s="26" t="inlineStr">
        <is>
          <t>CSN-OPD-780072-CGH</t>
        </is>
      </c>
      <c r="D148" s="26" t="inlineStr">
        <is>
          <t>Outpatient</t>
        </is>
      </c>
      <c r="E148" s="26" t="inlineStr">
        <is>
          <t>Demo Regional Medical Center</t>
        </is>
      </c>
      <c r="F148" s="26" t="inlineStr">
        <is>
          <t>Laboratory</t>
        </is>
      </c>
      <c r="G148" s="26" t="inlineStr">
        <is>
          <t>2026-09-23</t>
        </is>
      </c>
      <c r="H148" s="26" t="inlineStr">
        <is>
          <t>CBC-OP</t>
        </is>
      </c>
      <c r="I148" s="26" t="inlineStr">
        <is>
          <t>Complete Blood Count with Differential</t>
        </is>
      </c>
      <c r="J148" s="26" t="inlineStr">
        <is>
          <t>0300</t>
        </is>
      </c>
      <c r="K148" s="26" t="inlineStr">
        <is>
          <t>85025</t>
        </is>
      </c>
      <c r="L148" s="26" t="n"/>
      <c r="M148" s="26" t="n">
        <v>1</v>
      </c>
      <c r="N148" s="13" t="n">
        <v>155</v>
      </c>
      <c r="O148" s="13">
        <f>M148*N148</f>
        <v/>
      </c>
      <c r="P148" s="13" t="n">
        <v>89.89</v>
      </c>
      <c r="Q148" s="13">
        <f>P148*15%</f>
        <v/>
      </c>
      <c r="R148" s="13">
        <f>O148-P148</f>
        <v/>
      </c>
      <c r="S148" s="26" t="inlineStr">
        <is>
          <t>Care Gap Health</t>
        </is>
      </c>
      <c r="T148" s="26" t="inlineStr">
        <is>
          <t>Care Gap Value PPO</t>
        </is>
      </c>
      <c r="U148" s="26" t="n"/>
      <c r="V148" s="26" t="inlineStr">
        <is>
          <t>Eleanor Brooks, MD</t>
        </is>
      </c>
      <c r="W148" s="26" t="inlineStr">
        <is>
          <t>Assigned Department Provider</t>
        </is>
      </c>
      <c r="X148" s="26" t="inlineStr">
        <is>
          <t>LIS</t>
        </is>
      </c>
      <c r="Y148" s="26" t="inlineStr">
        <is>
          <t>Final result</t>
        </is>
      </c>
      <c r="Z148" s="26" t="inlineStr">
        <is>
          <t>Posted</t>
        </is>
      </c>
      <c r="AA148" s="26" t="inlineStr">
        <is>
          <t>Matched</t>
        </is>
      </c>
      <c r="AB148" s="26" t="inlineStr">
        <is>
          <t>Passed</t>
        </is>
      </c>
      <c r="AC148" s="26" t="n"/>
      <c r="AD148" s="26" t="inlineStr">
        <is>
          <t>Diagnosis/LCD</t>
        </is>
      </c>
      <c r="AE148" s="26" t="inlineStr">
        <is>
          <t>R53.83</t>
        </is>
      </c>
      <c r="AF148" s="26" t="inlineStr">
        <is>
          <t>22</t>
        </is>
      </c>
      <c r="AG148" s="26" t="inlineStr">
        <is>
          <t>2026-09-23 16:30</t>
        </is>
      </c>
      <c r="AH148" s="26" t="inlineStr">
        <is>
          <t>Synthetic Care Gap charge; 10% below Athena allowed amount</t>
        </is>
      </c>
    </row>
    <row r="149">
      <c r="A149" s="26" t="inlineStr">
        <is>
          <t>OPD-CHG-0073-ATH</t>
        </is>
      </c>
      <c r="B149" s="26" t="inlineStr">
        <is>
          <t>OP-202600073-ATH</t>
        </is>
      </c>
      <c r="C149" s="26" t="inlineStr">
        <is>
          <t>CSN-OPD-780073-ATH</t>
        </is>
      </c>
      <c r="D149" s="26" t="inlineStr">
        <is>
          <t>Outpatient</t>
        </is>
      </c>
      <c r="E149" s="26" t="inlineStr">
        <is>
          <t>Demo Regional Medical Center</t>
        </is>
      </c>
      <c r="F149" s="26" t="inlineStr">
        <is>
          <t>Laboratory</t>
        </is>
      </c>
      <c r="G149" s="26" t="inlineStr">
        <is>
          <t>2026-09-24</t>
        </is>
      </c>
      <c r="H149" s="26" t="inlineStr">
        <is>
          <t>BMP-OP</t>
        </is>
      </c>
      <c r="I149" s="26" t="inlineStr">
        <is>
          <t>Basic Metabolic Panel</t>
        </is>
      </c>
      <c r="J149" s="26" t="inlineStr">
        <is>
          <t>0301</t>
        </is>
      </c>
      <c r="K149" s="26" t="inlineStr">
        <is>
          <t>80048</t>
        </is>
      </c>
      <c r="L149" s="26" t="n"/>
      <c r="M149" s="26" t="n">
        <v>1</v>
      </c>
      <c r="N149" s="13" t="n">
        <v>185</v>
      </c>
      <c r="O149" s="13">
        <f>M149*N149</f>
        <v/>
      </c>
      <c r="P149" s="13" t="n">
        <v>80.87</v>
      </c>
      <c r="Q149" s="13">
        <f>P149*20%</f>
        <v/>
      </c>
      <c r="R149" s="13">
        <f>O149-P149</f>
        <v/>
      </c>
      <c r="S149" s="26" t="inlineStr">
        <is>
          <t>Athena Health Insurance</t>
        </is>
      </c>
      <c r="T149" s="26" t="inlineStr">
        <is>
          <t>Athena PPO</t>
        </is>
      </c>
      <c r="U149" s="26" t="n"/>
      <c r="V149" s="26" t="inlineStr">
        <is>
          <t>Eleanor Brooks, MD</t>
        </is>
      </c>
      <c r="W149" s="26" t="inlineStr">
        <is>
          <t>Assigned Department Provider</t>
        </is>
      </c>
      <c r="X149" s="26" t="inlineStr">
        <is>
          <t>LIS</t>
        </is>
      </c>
      <c r="Y149" s="26" t="inlineStr">
        <is>
          <t>Final result</t>
        </is>
      </c>
      <c r="Z149" s="26" t="inlineStr">
        <is>
          <t>Posted</t>
        </is>
      </c>
      <c r="AA149" s="26" t="inlineStr">
        <is>
          <t>Matched</t>
        </is>
      </c>
      <c r="AB149" s="26" t="inlineStr">
        <is>
          <t>Passed</t>
        </is>
      </c>
      <c r="AC149" s="26" t="n"/>
      <c r="AD149" s="26" t="inlineStr">
        <is>
          <t>Diagnosis/LCD</t>
        </is>
      </c>
      <c r="AE149" s="26" t="inlineStr">
        <is>
          <t>I10</t>
        </is>
      </c>
      <c r="AF149" s="26" t="inlineStr">
        <is>
          <t>22</t>
        </is>
      </c>
      <c r="AG149" s="26" t="inlineStr">
        <is>
          <t>2026-09-24 16:30</t>
        </is>
      </c>
      <c r="AH149" s="26" t="inlineStr">
        <is>
          <t>Synthetic Athena negotiated charge</t>
        </is>
      </c>
    </row>
    <row r="150">
      <c r="A150" s="26" t="inlineStr">
        <is>
          <t>OPD-CHG-0073-CGH</t>
        </is>
      </c>
      <c r="B150" s="26" t="inlineStr">
        <is>
          <t>OP-202600073-CGH</t>
        </is>
      </c>
      <c r="C150" s="26" t="inlineStr">
        <is>
          <t>CSN-OPD-780073-CGH</t>
        </is>
      </c>
      <c r="D150" s="26" t="inlineStr">
        <is>
          <t>Outpatient</t>
        </is>
      </c>
      <c r="E150" s="26" t="inlineStr">
        <is>
          <t>Demo Regional Medical Center</t>
        </is>
      </c>
      <c r="F150" s="26" t="inlineStr">
        <is>
          <t>Laboratory</t>
        </is>
      </c>
      <c r="G150" s="26" t="inlineStr">
        <is>
          <t>2026-09-24</t>
        </is>
      </c>
      <c r="H150" s="26" t="inlineStr">
        <is>
          <t>BMP-OP</t>
        </is>
      </c>
      <c r="I150" s="26" t="inlineStr">
        <is>
          <t>Basic Metabolic Panel</t>
        </is>
      </c>
      <c r="J150" s="26" t="inlineStr">
        <is>
          <t>0301</t>
        </is>
      </c>
      <c r="K150" s="26" t="inlineStr">
        <is>
          <t>80048</t>
        </is>
      </c>
      <c r="L150" s="26" t="n"/>
      <c r="M150" s="26" t="n">
        <v>1</v>
      </c>
      <c r="N150" s="13" t="n">
        <v>185</v>
      </c>
      <c r="O150" s="13">
        <f>M150*N150</f>
        <v/>
      </c>
      <c r="P150" s="13" t="n">
        <v>72.78</v>
      </c>
      <c r="Q150" s="13">
        <f>P150*15%</f>
        <v/>
      </c>
      <c r="R150" s="13">
        <f>O150-P150</f>
        <v/>
      </c>
      <c r="S150" s="26" t="inlineStr">
        <is>
          <t>Care Gap Health</t>
        </is>
      </c>
      <c r="T150" s="26" t="inlineStr">
        <is>
          <t>Care Gap Value PPO</t>
        </is>
      </c>
      <c r="U150" s="26" t="n"/>
      <c r="V150" s="26" t="inlineStr">
        <is>
          <t>Eleanor Brooks, MD</t>
        </is>
      </c>
      <c r="W150" s="26" t="inlineStr">
        <is>
          <t>Assigned Department Provider</t>
        </is>
      </c>
      <c r="X150" s="26" t="inlineStr">
        <is>
          <t>LIS</t>
        </is>
      </c>
      <c r="Y150" s="26" t="inlineStr">
        <is>
          <t>Final result</t>
        </is>
      </c>
      <c r="Z150" s="26" t="inlineStr">
        <is>
          <t>Posted</t>
        </is>
      </c>
      <c r="AA150" s="26" t="inlineStr">
        <is>
          <t>Matched</t>
        </is>
      </c>
      <c r="AB150" s="26" t="inlineStr">
        <is>
          <t>Passed</t>
        </is>
      </c>
      <c r="AC150" s="26" t="n"/>
      <c r="AD150" s="26" t="inlineStr">
        <is>
          <t>Diagnosis/LCD</t>
        </is>
      </c>
      <c r="AE150" s="26" t="inlineStr">
        <is>
          <t>I10</t>
        </is>
      </c>
      <c r="AF150" s="26" t="inlineStr">
        <is>
          <t>22</t>
        </is>
      </c>
      <c r="AG150" s="26" t="inlineStr">
        <is>
          <t>2026-09-24 16:30</t>
        </is>
      </c>
      <c r="AH150" s="26" t="inlineStr">
        <is>
          <t>Synthetic Care Gap charge; 10% below Athena allowed amount</t>
        </is>
      </c>
    </row>
    <row r="151">
      <c r="A151" s="26" t="inlineStr">
        <is>
          <t>OPD-CHG-0074-ATH</t>
        </is>
      </c>
      <c r="B151" s="26" t="inlineStr">
        <is>
          <t>OP-202600074-ATH</t>
        </is>
      </c>
      <c r="C151" s="26" t="inlineStr">
        <is>
          <t>CSN-OPD-780074-ATH</t>
        </is>
      </c>
      <c r="D151" s="26" t="inlineStr">
        <is>
          <t>Outpatient</t>
        </is>
      </c>
      <c r="E151" s="26" t="inlineStr">
        <is>
          <t>Demo Regional Medical Center</t>
        </is>
      </c>
      <c r="F151" s="26" t="inlineStr">
        <is>
          <t>Laboratory</t>
        </is>
      </c>
      <c r="G151" s="26" t="inlineStr">
        <is>
          <t>2026-09-25</t>
        </is>
      </c>
      <c r="H151" s="26" t="inlineStr">
        <is>
          <t>A1C-OP</t>
        </is>
      </c>
      <c r="I151" s="26" t="inlineStr">
        <is>
          <t>Hemoglobin A1c</t>
        </is>
      </c>
      <c r="J151" s="26" t="inlineStr">
        <is>
          <t>0301</t>
        </is>
      </c>
      <c r="K151" s="26" t="inlineStr">
        <is>
          <t>83036</t>
        </is>
      </c>
      <c r="L151" s="26" t="n"/>
      <c r="M151" s="26" t="n">
        <v>1</v>
      </c>
      <c r="N151" s="13" t="n">
        <v>110</v>
      </c>
      <c r="O151" s="13">
        <f>M151*N151</f>
        <v/>
      </c>
      <c r="P151" s="13" t="n">
        <v>65.48</v>
      </c>
      <c r="Q151" s="13">
        <f>P151*20%</f>
        <v/>
      </c>
      <c r="R151" s="13">
        <f>O151-P151</f>
        <v/>
      </c>
      <c r="S151" s="26" t="inlineStr">
        <is>
          <t>Athena Health Insurance</t>
        </is>
      </c>
      <c r="T151" s="26" t="inlineStr">
        <is>
          <t>Athena PPO</t>
        </is>
      </c>
      <c r="U151" s="26" t="n"/>
      <c r="V151" s="26" t="inlineStr">
        <is>
          <t>Eleanor Brooks, MD</t>
        </is>
      </c>
      <c r="W151" s="26" t="inlineStr">
        <is>
          <t>Assigned Department Provider</t>
        </is>
      </c>
      <c r="X151" s="26" t="inlineStr">
        <is>
          <t>LIS</t>
        </is>
      </c>
      <c r="Y151" s="26" t="inlineStr">
        <is>
          <t>Final result</t>
        </is>
      </c>
      <c r="Z151" s="26" t="inlineStr">
        <is>
          <t>Posted</t>
        </is>
      </c>
      <c r="AA151" s="26" t="inlineStr">
        <is>
          <t>Matched</t>
        </is>
      </c>
      <c r="AB151" s="26" t="inlineStr">
        <is>
          <t>Passed</t>
        </is>
      </c>
      <c r="AC151" s="26" t="n"/>
      <c r="AD151" s="26" t="inlineStr">
        <is>
          <t>Diagnosis/LCD</t>
        </is>
      </c>
      <c r="AE151" s="26" t="inlineStr">
        <is>
          <t>E11.9</t>
        </is>
      </c>
      <c r="AF151" s="26" t="inlineStr">
        <is>
          <t>22</t>
        </is>
      </c>
      <c r="AG151" s="26" t="inlineStr">
        <is>
          <t>2026-09-25 16:30</t>
        </is>
      </c>
      <c r="AH151" s="26" t="inlineStr">
        <is>
          <t>Synthetic Athena negotiated charge</t>
        </is>
      </c>
    </row>
    <row r="152">
      <c r="A152" s="26" t="inlineStr">
        <is>
          <t>OPD-CHG-0074-CGH</t>
        </is>
      </c>
      <c r="B152" s="26" t="inlineStr">
        <is>
          <t>OP-202600074-CGH</t>
        </is>
      </c>
      <c r="C152" s="26" t="inlineStr">
        <is>
          <t>CSN-OPD-780074-CGH</t>
        </is>
      </c>
      <c r="D152" s="26" t="inlineStr">
        <is>
          <t>Outpatient</t>
        </is>
      </c>
      <c r="E152" s="26" t="inlineStr">
        <is>
          <t>Demo Regional Medical Center</t>
        </is>
      </c>
      <c r="F152" s="26" t="inlineStr">
        <is>
          <t>Laboratory</t>
        </is>
      </c>
      <c r="G152" s="26" t="inlineStr">
        <is>
          <t>2026-09-25</t>
        </is>
      </c>
      <c r="H152" s="26" t="inlineStr">
        <is>
          <t>A1C-OP</t>
        </is>
      </c>
      <c r="I152" s="26" t="inlineStr">
        <is>
          <t>Hemoglobin A1c</t>
        </is>
      </c>
      <c r="J152" s="26" t="inlineStr">
        <is>
          <t>0301</t>
        </is>
      </c>
      <c r="K152" s="26" t="inlineStr">
        <is>
          <t>83036</t>
        </is>
      </c>
      <c r="L152" s="26" t="n"/>
      <c r="M152" s="26" t="n">
        <v>1</v>
      </c>
      <c r="N152" s="13" t="n">
        <v>110</v>
      </c>
      <c r="O152" s="13">
        <f>M152*N152</f>
        <v/>
      </c>
      <c r="P152" s="13" t="n">
        <v>58.93</v>
      </c>
      <c r="Q152" s="13">
        <f>P152*15%</f>
        <v/>
      </c>
      <c r="R152" s="13">
        <f>O152-P152</f>
        <v/>
      </c>
      <c r="S152" s="26" t="inlineStr">
        <is>
          <t>Care Gap Health</t>
        </is>
      </c>
      <c r="T152" s="26" t="inlineStr">
        <is>
          <t>Care Gap Value PPO</t>
        </is>
      </c>
      <c r="U152" s="26" t="n"/>
      <c r="V152" s="26" t="inlineStr">
        <is>
          <t>Eleanor Brooks, MD</t>
        </is>
      </c>
      <c r="W152" s="26" t="inlineStr">
        <is>
          <t>Assigned Department Provider</t>
        </is>
      </c>
      <c r="X152" s="26" t="inlineStr">
        <is>
          <t>LIS</t>
        </is>
      </c>
      <c r="Y152" s="26" t="inlineStr">
        <is>
          <t>Final result</t>
        </is>
      </c>
      <c r="Z152" s="26" t="inlineStr">
        <is>
          <t>Posted</t>
        </is>
      </c>
      <c r="AA152" s="26" t="inlineStr">
        <is>
          <t>Matched</t>
        </is>
      </c>
      <c r="AB152" s="26" t="inlineStr">
        <is>
          <t>Passed</t>
        </is>
      </c>
      <c r="AC152" s="26" t="n"/>
      <c r="AD152" s="26" t="inlineStr">
        <is>
          <t>Diagnosis/LCD</t>
        </is>
      </c>
      <c r="AE152" s="26" t="inlineStr">
        <is>
          <t>E11.9</t>
        </is>
      </c>
      <c r="AF152" s="26" t="inlineStr">
        <is>
          <t>22</t>
        </is>
      </c>
      <c r="AG152" s="26" t="inlineStr">
        <is>
          <t>2026-09-25 16:30</t>
        </is>
      </c>
      <c r="AH152" s="26" t="inlineStr">
        <is>
          <t>Synthetic Care Gap charge; 10% below Athena allowed amount</t>
        </is>
      </c>
    </row>
    <row r="153">
      <c r="A153" s="26" t="inlineStr">
        <is>
          <t>OPD-CHG-0075-ATH</t>
        </is>
      </c>
      <c r="B153" s="26" t="inlineStr">
        <is>
          <t>OP-202600075-ATH</t>
        </is>
      </c>
      <c r="C153" s="26" t="inlineStr">
        <is>
          <t>CSN-OPD-780075-ATH</t>
        </is>
      </c>
      <c r="D153" s="26" t="inlineStr">
        <is>
          <t>Outpatient</t>
        </is>
      </c>
      <c r="E153" s="26" t="inlineStr">
        <is>
          <t>Demo Regional Medical Center</t>
        </is>
      </c>
      <c r="F153" s="26" t="inlineStr">
        <is>
          <t>Laboratory</t>
        </is>
      </c>
      <c r="G153" s="26" t="inlineStr">
        <is>
          <t>2026-09-01</t>
        </is>
      </c>
      <c r="H153" s="26" t="inlineStr">
        <is>
          <t>LIPID-OP</t>
        </is>
      </c>
      <c r="I153" s="26" t="inlineStr">
        <is>
          <t>Lipid Panel</t>
        </is>
      </c>
      <c r="J153" s="26" t="inlineStr">
        <is>
          <t>0301</t>
        </is>
      </c>
      <c r="K153" s="26" t="inlineStr">
        <is>
          <t>80061</t>
        </is>
      </c>
      <c r="L153" s="26" t="n"/>
      <c r="M153" s="26" t="n">
        <v>1</v>
      </c>
      <c r="N153" s="13" t="n">
        <v>215</v>
      </c>
      <c r="O153" s="13">
        <f>M153*N153</f>
        <v/>
      </c>
      <c r="P153" s="13" t="n">
        <v>122.73</v>
      </c>
      <c r="Q153" s="13">
        <f>P153*20%</f>
        <v/>
      </c>
      <c r="R153" s="13">
        <f>O153-P153</f>
        <v/>
      </c>
      <c r="S153" s="26" t="inlineStr">
        <is>
          <t>Athena Health Insurance</t>
        </is>
      </c>
      <c r="T153" s="26" t="inlineStr">
        <is>
          <t>Athena PPO</t>
        </is>
      </c>
      <c r="U153" s="26" t="n"/>
      <c r="V153" s="26" t="inlineStr">
        <is>
          <t>Eleanor Brooks, MD</t>
        </is>
      </c>
      <c r="W153" s="26" t="inlineStr">
        <is>
          <t>Assigned Department Provider</t>
        </is>
      </c>
      <c r="X153" s="26" t="inlineStr">
        <is>
          <t>LIS</t>
        </is>
      </c>
      <c r="Y153" s="26" t="inlineStr">
        <is>
          <t>Final result</t>
        </is>
      </c>
      <c r="Z153" s="26" t="inlineStr">
        <is>
          <t>Posted</t>
        </is>
      </c>
      <c r="AA153" s="26" t="inlineStr">
        <is>
          <t>Matched</t>
        </is>
      </c>
      <c r="AB153" s="26" t="inlineStr">
        <is>
          <t>Passed</t>
        </is>
      </c>
      <c r="AC153" s="26" t="n"/>
      <c r="AD153" s="26" t="inlineStr">
        <is>
          <t>Diagnosis/LCD</t>
        </is>
      </c>
      <c r="AE153" s="26" t="inlineStr">
        <is>
          <t>E78.5</t>
        </is>
      </c>
      <c r="AF153" s="26" t="inlineStr">
        <is>
          <t>22</t>
        </is>
      </c>
      <c r="AG153" s="26" t="inlineStr">
        <is>
          <t>2026-09-01 16:30</t>
        </is>
      </c>
      <c r="AH153" s="26" t="inlineStr">
        <is>
          <t>Synthetic Athena negotiated charge</t>
        </is>
      </c>
    </row>
    <row r="154">
      <c r="A154" s="26" t="inlineStr">
        <is>
          <t>OPD-CHG-0075-CGH</t>
        </is>
      </c>
      <c r="B154" s="26" t="inlineStr">
        <is>
          <t>OP-202600075-CGH</t>
        </is>
      </c>
      <c r="C154" s="26" t="inlineStr">
        <is>
          <t>CSN-OPD-780075-CGH</t>
        </is>
      </c>
      <c r="D154" s="26" t="inlineStr">
        <is>
          <t>Outpatient</t>
        </is>
      </c>
      <c r="E154" s="26" t="inlineStr">
        <is>
          <t>Demo Regional Medical Center</t>
        </is>
      </c>
      <c r="F154" s="26" t="inlineStr">
        <is>
          <t>Laboratory</t>
        </is>
      </c>
      <c r="G154" s="26" t="inlineStr">
        <is>
          <t>2026-09-01</t>
        </is>
      </c>
      <c r="H154" s="26" t="inlineStr">
        <is>
          <t>LIPID-OP</t>
        </is>
      </c>
      <c r="I154" s="26" t="inlineStr">
        <is>
          <t>Lipid Panel</t>
        </is>
      </c>
      <c r="J154" s="26" t="inlineStr">
        <is>
          <t>0301</t>
        </is>
      </c>
      <c r="K154" s="26" t="inlineStr">
        <is>
          <t>80061</t>
        </is>
      </c>
      <c r="L154" s="26" t="n"/>
      <c r="M154" s="26" t="n">
        <v>1</v>
      </c>
      <c r="N154" s="13" t="n">
        <v>215</v>
      </c>
      <c r="O154" s="13">
        <f>M154*N154</f>
        <v/>
      </c>
      <c r="P154" s="13" t="n">
        <v>110.46</v>
      </c>
      <c r="Q154" s="13">
        <f>P154*15%</f>
        <v/>
      </c>
      <c r="R154" s="13">
        <f>O154-P154</f>
        <v/>
      </c>
      <c r="S154" s="26" t="inlineStr">
        <is>
          <t>Care Gap Health</t>
        </is>
      </c>
      <c r="T154" s="26" t="inlineStr">
        <is>
          <t>Care Gap Value PPO</t>
        </is>
      </c>
      <c r="U154" s="26" t="n"/>
      <c r="V154" s="26" t="inlineStr">
        <is>
          <t>Eleanor Brooks, MD</t>
        </is>
      </c>
      <c r="W154" s="26" t="inlineStr">
        <is>
          <t>Assigned Department Provider</t>
        </is>
      </c>
      <c r="X154" s="26" t="inlineStr">
        <is>
          <t>LIS</t>
        </is>
      </c>
      <c r="Y154" s="26" t="inlineStr">
        <is>
          <t>Final result</t>
        </is>
      </c>
      <c r="Z154" s="26" t="inlineStr">
        <is>
          <t>Posted</t>
        </is>
      </c>
      <c r="AA154" s="26" t="inlineStr">
        <is>
          <t>Matched</t>
        </is>
      </c>
      <c r="AB154" s="26" t="inlineStr">
        <is>
          <t>Passed</t>
        </is>
      </c>
      <c r="AC154" s="26" t="n"/>
      <c r="AD154" s="26" t="inlineStr">
        <is>
          <t>Diagnosis/LCD</t>
        </is>
      </c>
      <c r="AE154" s="26" t="inlineStr">
        <is>
          <t>E78.5</t>
        </is>
      </c>
      <c r="AF154" s="26" t="inlineStr">
        <is>
          <t>22</t>
        </is>
      </c>
      <c r="AG154" s="26" t="inlineStr">
        <is>
          <t>2026-09-01 16:30</t>
        </is>
      </c>
      <c r="AH154" s="26" t="inlineStr">
        <is>
          <t>Synthetic Care Gap charge; 10% below Athena allowed amount</t>
        </is>
      </c>
    </row>
    <row r="155">
      <c r="A155" s="26" t="inlineStr">
        <is>
          <t>OPD-CHG-0076-ATH</t>
        </is>
      </c>
      <c r="B155" s="26" t="inlineStr">
        <is>
          <t>OP-202600076-ATH</t>
        </is>
      </c>
      <c r="C155" s="26" t="inlineStr">
        <is>
          <t>CSN-OPD-780076-ATH</t>
        </is>
      </c>
      <c r="D155" s="26" t="inlineStr">
        <is>
          <t>Outpatient</t>
        </is>
      </c>
      <c r="E155" s="26" t="inlineStr">
        <is>
          <t>Demo Regional Medical Center</t>
        </is>
      </c>
      <c r="F155" s="26" t="inlineStr">
        <is>
          <t>Cardiology</t>
        </is>
      </c>
      <c r="G155" s="26" t="inlineStr">
        <is>
          <t>2026-09-02</t>
        </is>
      </c>
      <c r="H155" s="26" t="inlineStr">
        <is>
          <t>ECHO-COMP</t>
        </is>
      </c>
      <c r="I155" s="26" t="inlineStr">
        <is>
          <t>Complete Transthoracic Echocardiogram</t>
        </is>
      </c>
      <c r="J155" s="26" t="inlineStr">
        <is>
          <t>0483</t>
        </is>
      </c>
      <c r="K155" s="26" t="inlineStr">
        <is>
          <t>93306</t>
        </is>
      </c>
      <c r="L155" s="26" t="n"/>
      <c r="M155" s="26" t="n">
        <v>1</v>
      </c>
      <c r="N155" s="13" t="n">
        <v>1550</v>
      </c>
      <c r="O155" s="13">
        <f>M155*N155</f>
        <v/>
      </c>
      <c r="P155" s="13" t="n">
        <v>1047.51</v>
      </c>
      <c r="Q155" s="13">
        <f>P155*20%</f>
        <v/>
      </c>
      <c r="R155" s="13">
        <f>O155-P155</f>
        <v/>
      </c>
      <c r="S155" s="26" t="inlineStr">
        <is>
          <t>Athena Health Insurance</t>
        </is>
      </c>
      <c r="T155" s="26" t="inlineStr">
        <is>
          <t>Athena PPO</t>
        </is>
      </c>
      <c r="U155" s="26" t="inlineStr">
        <is>
          <t>AUTH-700076</t>
        </is>
      </c>
      <c r="V155" s="26" t="inlineStr">
        <is>
          <t>Eleanor Brooks, MD</t>
        </is>
      </c>
      <c r="W155" s="26" t="inlineStr">
        <is>
          <t>Assigned Department Provider</t>
        </is>
      </c>
      <c r="X155" s="26" t="inlineStr">
        <is>
          <t>Cardiology</t>
        </is>
      </c>
      <c r="Y155" s="26" t="inlineStr">
        <is>
          <t>Test completed</t>
        </is>
      </c>
      <c r="Z155" s="26" t="inlineStr">
        <is>
          <t>Posted</t>
        </is>
      </c>
      <c r="AA155" s="26" t="inlineStr">
        <is>
          <t>Matched</t>
        </is>
      </c>
      <c r="AB155" s="26" t="inlineStr">
        <is>
          <t>Passed</t>
        </is>
      </c>
      <c r="AC155" s="26" t="n"/>
      <c r="AD155" s="26" t="inlineStr">
        <is>
          <t>Prior authorization</t>
        </is>
      </c>
      <c r="AE155" s="26" t="inlineStr">
        <is>
          <t>R01.1</t>
        </is>
      </c>
      <c r="AF155" s="26" t="inlineStr">
        <is>
          <t>22</t>
        </is>
      </c>
      <c r="AG155" s="26" t="inlineStr">
        <is>
          <t>2026-09-02 16:30</t>
        </is>
      </c>
      <c r="AH155" s="26" t="inlineStr">
        <is>
          <t>Synthetic Athena negotiated charge</t>
        </is>
      </c>
    </row>
    <row r="156">
      <c r="A156" s="26" t="inlineStr">
        <is>
          <t>OPD-CHG-0076-CGH</t>
        </is>
      </c>
      <c r="B156" s="26" t="inlineStr">
        <is>
          <t>OP-202600076-CGH</t>
        </is>
      </c>
      <c r="C156" s="26" t="inlineStr">
        <is>
          <t>CSN-OPD-780076-CGH</t>
        </is>
      </c>
      <c r="D156" s="26" t="inlineStr">
        <is>
          <t>Outpatient</t>
        </is>
      </c>
      <c r="E156" s="26" t="inlineStr">
        <is>
          <t>Demo Regional Medical Center</t>
        </is>
      </c>
      <c r="F156" s="26" t="inlineStr">
        <is>
          <t>Cardiology</t>
        </is>
      </c>
      <c r="G156" s="26" t="inlineStr">
        <is>
          <t>2026-09-02</t>
        </is>
      </c>
      <c r="H156" s="26" t="inlineStr">
        <is>
          <t>ECHO-COMP</t>
        </is>
      </c>
      <c r="I156" s="26" t="inlineStr">
        <is>
          <t>Complete Transthoracic Echocardiogram</t>
        </is>
      </c>
      <c r="J156" s="26" t="inlineStr">
        <is>
          <t>0483</t>
        </is>
      </c>
      <c r="K156" s="26" t="inlineStr">
        <is>
          <t>93306</t>
        </is>
      </c>
      <c r="L156" s="26" t="n"/>
      <c r="M156" s="26" t="n">
        <v>1</v>
      </c>
      <c r="N156" s="13" t="n">
        <v>1550</v>
      </c>
      <c r="O156" s="13">
        <f>M156*N156</f>
        <v/>
      </c>
      <c r="P156" s="13" t="n">
        <v>942.76</v>
      </c>
      <c r="Q156" s="13">
        <f>P156*15%</f>
        <v/>
      </c>
      <c r="R156" s="13">
        <f>O156-P156</f>
        <v/>
      </c>
      <c r="S156" s="26" t="inlineStr">
        <is>
          <t>Care Gap Health</t>
        </is>
      </c>
      <c r="T156" s="26" t="inlineStr">
        <is>
          <t>Care Gap Value PPO</t>
        </is>
      </c>
      <c r="U156" s="26" t="inlineStr">
        <is>
          <t>AUTH-700076</t>
        </is>
      </c>
      <c r="V156" s="26" t="inlineStr">
        <is>
          <t>Eleanor Brooks, MD</t>
        </is>
      </c>
      <c r="W156" s="26" t="inlineStr">
        <is>
          <t>Assigned Department Provider</t>
        </is>
      </c>
      <c r="X156" s="26" t="inlineStr">
        <is>
          <t>Cardiology</t>
        </is>
      </c>
      <c r="Y156" s="26" t="inlineStr">
        <is>
          <t>Test completed</t>
        </is>
      </c>
      <c r="Z156" s="26" t="inlineStr">
        <is>
          <t>Posted</t>
        </is>
      </c>
      <c r="AA156" s="26" t="inlineStr">
        <is>
          <t>Matched</t>
        </is>
      </c>
      <c r="AB156" s="26" t="inlineStr">
        <is>
          <t>Passed</t>
        </is>
      </c>
      <c r="AC156" s="26" t="n"/>
      <c r="AD156" s="26" t="inlineStr">
        <is>
          <t>Prior authorization</t>
        </is>
      </c>
      <c r="AE156" s="26" t="inlineStr">
        <is>
          <t>R01.1</t>
        </is>
      </c>
      <c r="AF156" s="26" t="inlineStr">
        <is>
          <t>22</t>
        </is>
      </c>
      <c r="AG156" s="26" t="inlineStr">
        <is>
          <t>2026-09-02 16:30</t>
        </is>
      </c>
      <c r="AH156" s="26" t="inlineStr">
        <is>
          <t>Synthetic Care Gap charge; 10% below Athena allowed amount</t>
        </is>
      </c>
    </row>
    <row r="157">
      <c r="A157" s="26" t="inlineStr">
        <is>
          <t>OPD-CHG-0077-ATH</t>
        </is>
      </c>
      <c r="B157" s="26" t="inlineStr">
        <is>
          <t>OP-202600077-ATH</t>
        </is>
      </c>
      <c r="C157" s="26" t="inlineStr">
        <is>
          <t>CSN-OPD-780077-ATH</t>
        </is>
      </c>
      <c r="D157" s="26" t="inlineStr">
        <is>
          <t>Outpatient</t>
        </is>
      </c>
      <c r="E157" s="26" t="inlineStr">
        <is>
          <t>Demo Regional Medical Center</t>
        </is>
      </c>
      <c r="F157" s="26" t="inlineStr">
        <is>
          <t>Cardiology</t>
        </is>
      </c>
      <c r="G157" s="26" t="inlineStr">
        <is>
          <t>2026-09-03</t>
        </is>
      </c>
      <c r="H157" s="26" t="inlineStr">
        <is>
          <t>STRESS-TEST</t>
        </is>
      </c>
      <c r="I157" s="26" t="inlineStr">
        <is>
          <t>Cardiovascular Stress Test</t>
        </is>
      </c>
      <c r="J157" s="26" t="inlineStr">
        <is>
          <t>0482</t>
        </is>
      </c>
      <c r="K157" s="26" t="inlineStr">
        <is>
          <t>93017</t>
        </is>
      </c>
      <c r="L157" s="26" t="n"/>
      <c r="M157" s="26" t="n">
        <v>1</v>
      </c>
      <c r="N157" s="13" t="n">
        <v>1150</v>
      </c>
      <c r="O157" s="13">
        <f>M157*N157</f>
        <v/>
      </c>
      <c r="P157" s="13" t="n">
        <v>537.3099999999999</v>
      </c>
      <c r="Q157" s="13">
        <f>P157*20%</f>
        <v/>
      </c>
      <c r="R157" s="13">
        <f>O157-P157</f>
        <v/>
      </c>
      <c r="S157" s="26" t="inlineStr">
        <is>
          <t>Athena Health Insurance</t>
        </is>
      </c>
      <c r="T157" s="26" t="inlineStr">
        <is>
          <t>Athena PPO</t>
        </is>
      </c>
      <c r="U157" s="26" t="inlineStr">
        <is>
          <t>AUTH-700077</t>
        </is>
      </c>
      <c r="V157" s="26" t="inlineStr">
        <is>
          <t>Eleanor Brooks, MD</t>
        </is>
      </c>
      <c r="W157" s="26" t="inlineStr">
        <is>
          <t>Assigned Department Provider</t>
        </is>
      </c>
      <c r="X157" s="26" t="inlineStr">
        <is>
          <t>Cardiology</t>
        </is>
      </c>
      <c r="Y157" s="26" t="inlineStr">
        <is>
          <t>Test completed</t>
        </is>
      </c>
      <c r="Z157" s="26" t="inlineStr">
        <is>
          <t>Posted</t>
        </is>
      </c>
      <c r="AA157" s="26" t="inlineStr">
        <is>
          <t>Matched</t>
        </is>
      </c>
      <c r="AB157" s="26" t="inlineStr">
        <is>
          <t>Passed</t>
        </is>
      </c>
      <c r="AC157" s="26" t="n"/>
      <c r="AD157" s="26" t="inlineStr">
        <is>
          <t>Prior authorization</t>
        </is>
      </c>
      <c r="AE157" s="26" t="inlineStr">
        <is>
          <t>R07.9</t>
        </is>
      </c>
      <c r="AF157" s="26" t="inlineStr">
        <is>
          <t>22</t>
        </is>
      </c>
      <c r="AG157" s="26" t="inlineStr">
        <is>
          <t>2026-09-03 16:30</t>
        </is>
      </c>
      <c r="AH157" s="26" t="inlineStr">
        <is>
          <t>Synthetic Athena negotiated charge</t>
        </is>
      </c>
    </row>
    <row r="158">
      <c r="A158" s="26" t="inlineStr">
        <is>
          <t>OPD-CHG-0077-CGH</t>
        </is>
      </c>
      <c r="B158" s="26" t="inlineStr">
        <is>
          <t>OP-202600077-CGH</t>
        </is>
      </c>
      <c r="C158" s="26" t="inlineStr">
        <is>
          <t>CSN-OPD-780077-CGH</t>
        </is>
      </c>
      <c r="D158" s="26" t="inlineStr">
        <is>
          <t>Outpatient</t>
        </is>
      </c>
      <c r="E158" s="26" t="inlineStr">
        <is>
          <t>Demo Regional Medical Center</t>
        </is>
      </c>
      <c r="F158" s="26" t="inlineStr">
        <is>
          <t>Cardiology</t>
        </is>
      </c>
      <c r="G158" s="26" t="inlineStr">
        <is>
          <t>2026-09-03</t>
        </is>
      </c>
      <c r="H158" s="26" t="inlineStr">
        <is>
          <t>STRESS-TEST</t>
        </is>
      </c>
      <c r="I158" s="26" t="inlineStr">
        <is>
          <t>Cardiovascular Stress Test</t>
        </is>
      </c>
      <c r="J158" s="26" t="inlineStr">
        <is>
          <t>0482</t>
        </is>
      </c>
      <c r="K158" s="26" t="inlineStr">
        <is>
          <t>93017</t>
        </is>
      </c>
      <c r="L158" s="26" t="n"/>
      <c r="M158" s="26" t="n">
        <v>1</v>
      </c>
      <c r="N158" s="13" t="n">
        <v>1150</v>
      </c>
      <c r="O158" s="13">
        <f>M158*N158</f>
        <v/>
      </c>
      <c r="P158" s="13" t="n">
        <v>483.58</v>
      </c>
      <c r="Q158" s="13">
        <f>P158*15%</f>
        <v/>
      </c>
      <c r="R158" s="13">
        <f>O158-P158</f>
        <v/>
      </c>
      <c r="S158" s="26" t="inlineStr">
        <is>
          <t>Care Gap Health</t>
        </is>
      </c>
      <c r="T158" s="26" t="inlineStr">
        <is>
          <t>Care Gap Value PPO</t>
        </is>
      </c>
      <c r="U158" s="26" t="inlineStr">
        <is>
          <t>AUTH-700077</t>
        </is>
      </c>
      <c r="V158" s="26" t="inlineStr">
        <is>
          <t>Eleanor Brooks, MD</t>
        </is>
      </c>
      <c r="W158" s="26" t="inlineStr">
        <is>
          <t>Assigned Department Provider</t>
        </is>
      </c>
      <c r="X158" s="26" t="inlineStr">
        <is>
          <t>Cardiology</t>
        </is>
      </c>
      <c r="Y158" s="26" t="inlineStr">
        <is>
          <t>Test completed</t>
        </is>
      </c>
      <c r="Z158" s="26" t="inlineStr">
        <is>
          <t>Posted</t>
        </is>
      </c>
      <c r="AA158" s="26" t="inlineStr">
        <is>
          <t>Matched</t>
        </is>
      </c>
      <c r="AB158" s="26" t="inlineStr">
        <is>
          <t>Passed</t>
        </is>
      </c>
      <c r="AC158" s="26" t="n"/>
      <c r="AD158" s="26" t="inlineStr">
        <is>
          <t>Prior authorization</t>
        </is>
      </c>
      <c r="AE158" s="26" t="inlineStr">
        <is>
          <t>R07.9</t>
        </is>
      </c>
      <c r="AF158" s="26" t="inlineStr">
        <is>
          <t>22</t>
        </is>
      </c>
      <c r="AG158" s="26" t="inlineStr">
        <is>
          <t>2026-09-03 16:30</t>
        </is>
      </c>
      <c r="AH158" s="26" t="inlineStr">
        <is>
          <t>Synthetic Care Gap charge; 10% below Athena allowed amount</t>
        </is>
      </c>
    </row>
    <row r="159">
      <c r="A159" s="26" t="inlineStr">
        <is>
          <t>OPD-CHG-0078-ATH</t>
        </is>
      </c>
      <c r="B159" s="26" t="inlineStr">
        <is>
          <t>OP-202600078-ATH</t>
        </is>
      </c>
      <c r="C159" s="26" t="inlineStr">
        <is>
          <t>CSN-OPD-780078-ATH</t>
        </is>
      </c>
      <c r="D159" s="26" t="inlineStr">
        <is>
          <t>Outpatient</t>
        </is>
      </c>
      <c r="E159" s="26" t="inlineStr">
        <is>
          <t>Demo Regional Medical Center</t>
        </is>
      </c>
      <c r="F159" s="26" t="inlineStr">
        <is>
          <t>Endoscopy</t>
        </is>
      </c>
      <c r="G159" s="26" t="inlineStr">
        <is>
          <t>2026-09-04</t>
        </is>
      </c>
      <c r="H159" s="26" t="inlineStr">
        <is>
          <t>COLON-DX</t>
        </is>
      </c>
      <c r="I159" s="26" t="inlineStr">
        <is>
          <t>Diagnostic Colonoscopy</t>
        </is>
      </c>
      <c r="J159" s="26" t="inlineStr">
        <is>
          <t>0750</t>
        </is>
      </c>
      <c r="K159" s="26" t="inlineStr">
        <is>
          <t>45378</t>
        </is>
      </c>
      <c r="L159" s="26" t="n"/>
      <c r="M159" s="26" t="n">
        <v>1</v>
      </c>
      <c r="N159" s="13" t="n">
        <v>3900</v>
      </c>
      <c r="O159" s="13">
        <f>M159*N159</f>
        <v/>
      </c>
      <c r="P159" s="13" t="n">
        <v>2762.11</v>
      </c>
      <c r="Q159" s="13">
        <f>P159*20%</f>
        <v/>
      </c>
      <c r="R159" s="13">
        <f>O159-P159</f>
        <v/>
      </c>
      <c r="S159" s="26" t="inlineStr">
        <is>
          <t>Athena Health Insurance</t>
        </is>
      </c>
      <c r="T159" s="26" t="inlineStr">
        <is>
          <t>Athena PPO</t>
        </is>
      </c>
      <c r="U159" s="26" t="inlineStr">
        <is>
          <t>AUTH-700078</t>
        </is>
      </c>
      <c r="V159" s="26" t="inlineStr">
        <is>
          <t>Eleanor Brooks, MD</t>
        </is>
      </c>
      <c r="W159" s="26" t="inlineStr">
        <is>
          <t>Assigned Department Provider</t>
        </is>
      </c>
      <c r="X159" s="26" t="inlineStr">
        <is>
          <t>Endoscopy</t>
        </is>
      </c>
      <c r="Y159" s="26" t="inlineStr">
        <is>
          <t>Procedure completed</t>
        </is>
      </c>
      <c r="Z159" s="26" t="inlineStr">
        <is>
          <t>Posted</t>
        </is>
      </c>
      <c r="AA159" s="26" t="inlineStr">
        <is>
          <t>Matched</t>
        </is>
      </c>
      <c r="AB159" s="26" t="inlineStr">
        <is>
          <t>Passed</t>
        </is>
      </c>
      <c r="AC159" s="26" t="n"/>
      <c r="AD159" s="26" t="inlineStr">
        <is>
          <t>Prior authorization</t>
        </is>
      </c>
      <c r="AE159" s="26" t="inlineStr">
        <is>
          <t>Z12.11</t>
        </is>
      </c>
      <c r="AF159" s="26" t="inlineStr">
        <is>
          <t>22</t>
        </is>
      </c>
      <c r="AG159" s="26" t="inlineStr">
        <is>
          <t>2026-09-04 16:30</t>
        </is>
      </c>
      <c r="AH159" s="26" t="inlineStr">
        <is>
          <t>Synthetic Athena negotiated charge</t>
        </is>
      </c>
    </row>
    <row r="160">
      <c r="A160" s="26" t="inlineStr">
        <is>
          <t>OPD-CHG-0078-CGH</t>
        </is>
      </c>
      <c r="B160" s="26" t="inlineStr">
        <is>
          <t>OP-202600078-CGH</t>
        </is>
      </c>
      <c r="C160" s="26" t="inlineStr">
        <is>
          <t>CSN-OPD-780078-CGH</t>
        </is>
      </c>
      <c r="D160" s="26" t="inlineStr">
        <is>
          <t>Outpatient</t>
        </is>
      </c>
      <c r="E160" s="26" t="inlineStr">
        <is>
          <t>Demo Regional Medical Center</t>
        </is>
      </c>
      <c r="F160" s="26" t="inlineStr">
        <is>
          <t>Endoscopy</t>
        </is>
      </c>
      <c r="G160" s="26" t="inlineStr">
        <is>
          <t>2026-09-04</t>
        </is>
      </c>
      <c r="H160" s="26" t="inlineStr">
        <is>
          <t>COLON-DX</t>
        </is>
      </c>
      <c r="I160" s="26" t="inlineStr">
        <is>
          <t>Diagnostic Colonoscopy</t>
        </is>
      </c>
      <c r="J160" s="26" t="inlineStr">
        <is>
          <t>0750</t>
        </is>
      </c>
      <c r="K160" s="26" t="inlineStr">
        <is>
          <t>45378</t>
        </is>
      </c>
      <c r="L160" s="26" t="n"/>
      <c r="M160" s="26" t="n">
        <v>1</v>
      </c>
      <c r="N160" s="13" t="n">
        <v>3900</v>
      </c>
      <c r="O160" s="13">
        <f>M160*N160</f>
        <v/>
      </c>
      <c r="P160" s="13" t="n">
        <v>2485.9</v>
      </c>
      <c r="Q160" s="13">
        <f>P160*15%</f>
        <v/>
      </c>
      <c r="R160" s="13">
        <f>O160-P160</f>
        <v/>
      </c>
      <c r="S160" s="26" t="inlineStr">
        <is>
          <t>Care Gap Health</t>
        </is>
      </c>
      <c r="T160" s="26" t="inlineStr">
        <is>
          <t>Care Gap Value PPO</t>
        </is>
      </c>
      <c r="U160" s="26" t="inlineStr">
        <is>
          <t>AUTH-700078</t>
        </is>
      </c>
      <c r="V160" s="26" t="inlineStr">
        <is>
          <t>Eleanor Brooks, MD</t>
        </is>
      </c>
      <c r="W160" s="26" t="inlineStr">
        <is>
          <t>Assigned Department Provider</t>
        </is>
      </c>
      <c r="X160" s="26" t="inlineStr">
        <is>
          <t>Endoscopy</t>
        </is>
      </c>
      <c r="Y160" s="26" t="inlineStr">
        <is>
          <t>Procedure completed</t>
        </is>
      </c>
      <c r="Z160" s="26" t="inlineStr">
        <is>
          <t>Posted</t>
        </is>
      </c>
      <c r="AA160" s="26" t="inlineStr">
        <is>
          <t>Matched</t>
        </is>
      </c>
      <c r="AB160" s="26" t="inlineStr">
        <is>
          <t>Passed</t>
        </is>
      </c>
      <c r="AC160" s="26" t="n"/>
      <c r="AD160" s="26" t="inlineStr">
        <is>
          <t>Prior authorization</t>
        </is>
      </c>
      <c r="AE160" s="26" t="inlineStr">
        <is>
          <t>Z12.11</t>
        </is>
      </c>
      <c r="AF160" s="26" t="inlineStr">
        <is>
          <t>22</t>
        </is>
      </c>
      <c r="AG160" s="26" t="inlineStr">
        <is>
          <t>2026-09-04 16:30</t>
        </is>
      </c>
      <c r="AH160" s="26" t="inlineStr">
        <is>
          <t>Synthetic Care Gap charge; 10% below Athena allowed amount</t>
        </is>
      </c>
    </row>
    <row r="161">
      <c r="A161" s="26" t="inlineStr">
        <is>
          <t>OPD-CHG-0079-ATH</t>
        </is>
      </c>
      <c r="B161" s="26" t="inlineStr">
        <is>
          <t>OP-202600079-ATH</t>
        </is>
      </c>
      <c r="C161" s="26" t="inlineStr">
        <is>
          <t>CSN-OPD-780079-ATH</t>
        </is>
      </c>
      <c r="D161" s="26" t="inlineStr">
        <is>
          <t>Outpatient</t>
        </is>
      </c>
      <c r="E161" s="26" t="inlineStr">
        <is>
          <t>Demo Regional Medical Center</t>
        </is>
      </c>
      <c r="F161" s="26" t="inlineStr">
        <is>
          <t>Endoscopy</t>
        </is>
      </c>
      <c r="G161" s="26" t="inlineStr">
        <is>
          <t>2026-09-05</t>
        </is>
      </c>
      <c r="H161" s="26" t="inlineStr">
        <is>
          <t>EGD-DX</t>
        </is>
      </c>
      <c r="I161" s="26" t="inlineStr">
        <is>
          <t>Diagnostic Upper GI Endoscopy</t>
        </is>
      </c>
      <c r="J161" s="26" t="inlineStr">
        <is>
          <t>0750</t>
        </is>
      </c>
      <c r="K161" s="26" t="inlineStr">
        <is>
          <t>43235</t>
        </is>
      </c>
      <c r="L161" s="26" t="n"/>
      <c r="M161" s="26" t="n">
        <v>1</v>
      </c>
      <c r="N161" s="13" t="n">
        <v>3300</v>
      </c>
      <c r="O161" s="13">
        <f>M161*N161</f>
        <v/>
      </c>
      <c r="P161" s="13" t="n">
        <v>1465.31</v>
      </c>
      <c r="Q161" s="13">
        <f>P161*20%</f>
        <v/>
      </c>
      <c r="R161" s="13">
        <f>O161-P161</f>
        <v/>
      </c>
      <c r="S161" s="26" t="inlineStr">
        <is>
          <t>Athena Health Insurance</t>
        </is>
      </c>
      <c r="T161" s="26" t="inlineStr">
        <is>
          <t>Athena PPO</t>
        </is>
      </c>
      <c r="U161" s="26" t="inlineStr">
        <is>
          <t>AUTH-700079</t>
        </is>
      </c>
      <c r="V161" s="26" t="inlineStr">
        <is>
          <t>Eleanor Brooks, MD</t>
        </is>
      </c>
      <c r="W161" s="26" t="inlineStr">
        <is>
          <t>Assigned Department Provider</t>
        </is>
      </c>
      <c r="X161" s="26" t="inlineStr">
        <is>
          <t>Endoscopy</t>
        </is>
      </c>
      <c r="Y161" s="26" t="inlineStr">
        <is>
          <t>Procedure completed</t>
        </is>
      </c>
      <c r="Z161" s="26" t="inlineStr">
        <is>
          <t>Posted</t>
        </is>
      </c>
      <c r="AA161" s="26" t="inlineStr">
        <is>
          <t>Matched</t>
        </is>
      </c>
      <c r="AB161" s="26" t="inlineStr">
        <is>
          <t>Passed</t>
        </is>
      </c>
      <c r="AC161" s="26" t="n"/>
      <c r="AD161" s="26" t="inlineStr">
        <is>
          <t>Prior authorization</t>
        </is>
      </c>
      <c r="AE161" s="26" t="inlineStr">
        <is>
          <t>K21.9</t>
        </is>
      </c>
      <c r="AF161" s="26" t="inlineStr">
        <is>
          <t>22</t>
        </is>
      </c>
      <c r="AG161" s="26" t="inlineStr">
        <is>
          <t>2026-09-05 16:30</t>
        </is>
      </c>
      <c r="AH161" s="26" t="inlineStr">
        <is>
          <t>Synthetic Athena negotiated charge</t>
        </is>
      </c>
    </row>
    <row r="162">
      <c r="A162" s="26" t="inlineStr">
        <is>
          <t>OPD-CHG-0079-CGH</t>
        </is>
      </c>
      <c r="B162" s="26" t="inlineStr">
        <is>
          <t>OP-202600079-CGH</t>
        </is>
      </c>
      <c r="C162" s="26" t="inlineStr">
        <is>
          <t>CSN-OPD-780079-CGH</t>
        </is>
      </c>
      <c r="D162" s="26" t="inlineStr">
        <is>
          <t>Outpatient</t>
        </is>
      </c>
      <c r="E162" s="26" t="inlineStr">
        <is>
          <t>Demo Regional Medical Center</t>
        </is>
      </c>
      <c r="F162" s="26" t="inlineStr">
        <is>
          <t>Endoscopy</t>
        </is>
      </c>
      <c r="G162" s="26" t="inlineStr">
        <is>
          <t>2026-09-05</t>
        </is>
      </c>
      <c r="H162" s="26" t="inlineStr">
        <is>
          <t>EGD-DX</t>
        </is>
      </c>
      <c r="I162" s="26" t="inlineStr">
        <is>
          <t>Diagnostic Upper GI Endoscopy</t>
        </is>
      </c>
      <c r="J162" s="26" t="inlineStr">
        <is>
          <t>0750</t>
        </is>
      </c>
      <c r="K162" s="26" t="inlineStr">
        <is>
          <t>43235</t>
        </is>
      </c>
      <c r="L162" s="26" t="n"/>
      <c r="M162" s="26" t="n">
        <v>1</v>
      </c>
      <c r="N162" s="13" t="n">
        <v>3300</v>
      </c>
      <c r="O162" s="13">
        <f>M162*N162</f>
        <v/>
      </c>
      <c r="P162" s="13" t="n">
        <v>1318.78</v>
      </c>
      <c r="Q162" s="13">
        <f>P162*15%</f>
        <v/>
      </c>
      <c r="R162" s="13">
        <f>O162-P162</f>
        <v/>
      </c>
      <c r="S162" s="26" t="inlineStr">
        <is>
          <t>Care Gap Health</t>
        </is>
      </c>
      <c r="T162" s="26" t="inlineStr">
        <is>
          <t>Care Gap Value PPO</t>
        </is>
      </c>
      <c r="U162" s="26" t="inlineStr">
        <is>
          <t>AUTH-700079</t>
        </is>
      </c>
      <c r="V162" s="26" t="inlineStr">
        <is>
          <t>Eleanor Brooks, MD</t>
        </is>
      </c>
      <c r="W162" s="26" t="inlineStr">
        <is>
          <t>Assigned Department Provider</t>
        </is>
      </c>
      <c r="X162" s="26" t="inlineStr">
        <is>
          <t>Endoscopy</t>
        </is>
      </c>
      <c r="Y162" s="26" t="inlineStr">
        <is>
          <t>Procedure completed</t>
        </is>
      </c>
      <c r="Z162" s="26" t="inlineStr">
        <is>
          <t>Posted</t>
        </is>
      </c>
      <c r="AA162" s="26" t="inlineStr">
        <is>
          <t>Matched</t>
        </is>
      </c>
      <c r="AB162" s="26" t="inlineStr">
        <is>
          <t>Passed</t>
        </is>
      </c>
      <c r="AC162" s="26" t="n"/>
      <c r="AD162" s="26" t="inlineStr">
        <is>
          <t>Prior authorization</t>
        </is>
      </c>
      <c r="AE162" s="26" t="inlineStr">
        <is>
          <t>K21.9</t>
        </is>
      </c>
      <c r="AF162" s="26" t="inlineStr">
        <is>
          <t>22</t>
        </is>
      </c>
      <c r="AG162" s="26" t="inlineStr">
        <is>
          <t>2026-09-05 16:30</t>
        </is>
      </c>
      <c r="AH162" s="26" t="inlineStr">
        <is>
          <t>Synthetic Care Gap charge; 10% below Athena allowed amount</t>
        </is>
      </c>
    </row>
    <row r="163">
      <c r="A163" s="26" t="inlineStr">
        <is>
          <t>OPD-CHG-0080-ATH</t>
        </is>
      </c>
      <c r="B163" s="26" t="inlineStr">
        <is>
          <t>OP-202600080-ATH</t>
        </is>
      </c>
      <c r="C163" s="26" t="inlineStr">
        <is>
          <t>CSN-OPD-780080-ATH</t>
        </is>
      </c>
      <c r="D163" s="26" t="inlineStr">
        <is>
          <t>Outpatient</t>
        </is>
      </c>
      <c r="E163" s="26" t="inlineStr">
        <is>
          <t>Demo Regional Medical Center</t>
        </is>
      </c>
      <c r="F163" s="26" t="inlineStr">
        <is>
          <t>Physical Therapy</t>
        </is>
      </c>
      <c r="G163" s="26" t="inlineStr">
        <is>
          <t>2026-09-06</t>
        </is>
      </c>
      <c r="H163" s="26" t="inlineStr">
        <is>
          <t>PT-EVAL-OP</t>
        </is>
      </c>
      <c r="I163" s="26" t="inlineStr">
        <is>
          <t>Outpatient Physical Therapy Evaluation</t>
        </is>
      </c>
      <c r="J163" s="26" t="inlineStr">
        <is>
          <t>0420</t>
        </is>
      </c>
      <c r="K163" s="26" t="inlineStr">
        <is>
          <t>97162</t>
        </is>
      </c>
      <c r="L163" s="26" t="n"/>
      <c r="M163" s="26" t="n">
        <v>1</v>
      </c>
      <c r="N163" s="13" t="n">
        <v>860</v>
      </c>
      <c r="O163" s="13">
        <f>M163*N163</f>
        <v/>
      </c>
      <c r="P163" s="13" t="n">
        <v>409.14</v>
      </c>
      <c r="Q163" s="13">
        <f>P163*20%</f>
        <v/>
      </c>
      <c r="R163" s="13">
        <f>O163-P163</f>
        <v/>
      </c>
      <c r="S163" s="26" t="inlineStr">
        <is>
          <t>Athena Health Insurance</t>
        </is>
      </c>
      <c r="T163" s="26" t="inlineStr">
        <is>
          <t>Athena PPO</t>
        </is>
      </c>
      <c r="U163" s="26" t="inlineStr">
        <is>
          <t>AUTH-700080</t>
        </is>
      </c>
      <c r="V163" s="26" t="inlineStr">
        <is>
          <t>Eleanor Brooks, MD</t>
        </is>
      </c>
      <c r="W163" s="26" t="inlineStr">
        <is>
          <t>Assigned Department Provider</t>
        </is>
      </c>
      <c r="X163" s="26" t="inlineStr">
        <is>
          <t>Therapy</t>
        </is>
      </c>
      <c r="Y163" s="26" t="inlineStr">
        <is>
          <t>Note signed</t>
        </is>
      </c>
      <c r="Z163" s="26" t="inlineStr">
        <is>
          <t>Posted</t>
        </is>
      </c>
      <c r="AA163" s="26" t="inlineStr">
        <is>
          <t>Matched</t>
        </is>
      </c>
      <c r="AB163" s="26" t="inlineStr">
        <is>
          <t>Passed</t>
        </is>
      </c>
      <c r="AC163" s="26" t="n"/>
      <c r="AD163" s="26" t="inlineStr">
        <is>
          <t>Plan benefits</t>
        </is>
      </c>
      <c r="AE163" s="26" t="inlineStr">
        <is>
          <t>M54.50</t>
        </is>
      </c>
      <c r="AF163" s="26" t="inlineStr">
        <is>
          <t>22</t>
        </is>
      </c>
      <c r="AG163" s="26" t="inlineStr">
        <is>
          <t>2026-09-06 16:30</t>
        </is>
      </c>
      <c r="AH163" s="26" t="inlineStr">
        <is>
          <t>Synthetic Athena negotiated charge</t>
        </is>
      </c>
    </row>
    <row r="164">
      <c r="A164" s="26" t="inlineStr">
        <is>
          <t>OPD-CHG-0080-CGH</t>
        </is>
      </c>
      <c r="B164" s="26" t="inlineStr">
        <is>
          <t>OP-202600080-CGH</t>
        </is>
      </c>
      <c r="C164" s="26" t="inlineStr">
        <is>
          <t>CSN-OPD-780080-CGH</t>
        </is>
      </c>
      <c r="D164" s="26" t="inlineStr">
        <is>
          <t>Outpatient</t>
        </is>
      </c>
      <c r="E164" s="26" t="inlineStr">
        <is>
          <t>Demo Regional Medical Center</t>
        </is>
      </c>
      <c r="F164" s="26" t="inlineStr">
        <is>
          <t>Physical Therapy</t>
        </is>
      </c>
      <c r="G164" s="26" t="inlineStr">
        <is>
          <t>2026-09-06</t>
        </is>
      </c>
      <c r="H164" s="26" t="inlineStr">
        <is>
          <t>PT-EVAL-OP</t>
        </is>
      </c>
      <c r="I164" s="26" t="inlineStr">
        <is>
          <t>Outpatient Physical Therapy Evaluation</t>
        </is>
      </c>
      <c r="J164" s="26" t="inlineStr">
        <is>
          <t>0420</t>
        </is>
      </c>
      <c r="K164" s="26" t="inlineStr">
        <is>
          <t>97162</t>
        </is>
      </c>
      <c r="L164" s="26" t="n"/>
      <c r="M164" s="26" t="n">
        <v>1</v>
      </c>
      <c r="N164" s="13" t="n">
        <v>860</v>
      </c>
      <c r="O164" s="13">
        <f>M164*N164</f>
        <v/>
      </c>
      <c r="P164" s="13" t="n">
        <v>368.23</v>
      </c>
      <c r="Q164" s="13">
        <f>P164*15%</f>
        <v/>
      </c>
      <c r="R164" s="13">
        <f>O164-P164</f>
        <v/>
      </c>
      <c r="S164" s="26" t="inlineStr">
        <is>
          <t>Care Gap Health</t>
        </is>
      </c>
      <c r="T164" s="26" t="inlineStr">
        <is>
          <t>Care Gap Value PPO</t>
        </is>
      </c>
      <c r="U164" s="26" t="inlineStr">
        <is>
          <t>AUTH-700080</t>
        </is>
      </c>
      <c r="V164" s="26" t="inlineStr">
        <is>
          <t>Eleanor Brooks, MD</t>
        </is>
      </c>
      <c r="W164" s="26" t="inlineStr">
        <is>
          <t>Assigned Department Provider</t>
        </is>
      </c>
      <c r="X164" s="26" t="inlineStr">
        <is>
          <t>Therapy</t>
        </is>
      </c>
      <c r="Y164" s="26" t="inlineStr">
        <is>
          <t>Note signed</t>
        </is>
      </c>
      <c r="Z164" s="26" t="inlineStr">
        <is>
          <t>Posted</t>
        </is>
      </c>
      <c r="AA164" s="26" t="inlineStr">
        <is>
          <t>Matched</t>
        </is>
      </c>
      <c r="AB164" s="26" t="inlineStr">
        <is>
          <t>Passed</t>
        </is>
      </c>
      <c r="AC164" s="26" t="n"/>
      <c r="AD164" s="26" t="inlineStr">
        <is>
          <t>Plan benefits</t>
        </is>
      </c>
      <c r="AE164" s="26" t="inlineStr">
        <is>
          <t>M54.50</t>
        </is>
      </c>
      <c r="AF164" s="26" t="inlineStr">
        <is>
          <t>22</t>
        </is>
      </c>
      <c r="AG164" s="26" t="inlineStr">
        <is>
          <t>2026-09-06 16:30</t>
        </is>
      </c>
      <c r="AH164" s="26" t="inlineStr">
        <is>
          <t>Synthetic Care Gap charge; 10% below Athena allowed amount</t>
        </is>
      </c>
    </row>
    <row r="165">
      <c r="A165" s="26" t="inlineStr">
        <is>
          <t>OPD-CHG-0081-ATH</t>
        </is>
      </c>
      <c r="B165" s="26" t="inlineStr">
        <is>
          <t>OP-202600081-ATH</t>
        </is>
      </c>
      <c r="C165" s="26" t="inlineStr">
        <is>
          <t>CSN-OPD-780081-ATH</t>
        </is>
      </c>
      <c r="D165" s="26" t="inlineStr">
        <is>
          <t>Outpatient</t>
        </is>
      </c>
      <c r="E165" s="26" t="inlineStr">
        <is>
          <t>Demo Regional Medical Center</t>
        </is>
      </c>
      <c r="F165" s="26" t="inlineStr">
        <is>
          <t>Physical Therapy</t>
        </is>
      </c>
      <c r="G165" s="26" t="inlineStr">
        <is>
          <t>2026-09-07</t>
        </is>
      </c>
      <c r="H165" s="26" t="inlineStr">
        <is>
          <t>PT-THEREX-OP</t>
        </is>
      </c>
      <c r="I165" s="26" t="inlineStr">
        <is>
          <t>Therapeutic Exercise, 15 Minutes</t>
        </is>
      </c>
      <c r="J165" s="26" t="inlineStr">
        <is>
          <t>0420</t>
        </is>
      </c>
      <c r="K165" s="26" t="inlineStr">
        <is>
          <t>97110</t>
        </is>
      </c>
      <c r="L165" s="26" t="n"/>
      <c r="M165" s="26" t="n">
        <v>2</v>
      </c>
      <c r="N165" s="13" t="n">
        <v>305</v>
      </c>
      <c r="O165" s="13">
        <f>M165*N165</f>
        <v/>
      </c>
      <c r="P165" s="13" t="n">
        <v>379.76</v>
      </c>
      <c r="Q165" s="13">
        <f>P165*20%</f>
        <v/>
      </c>
      <c r="R165" s="13">
        <f>O165-P165</f>
        <v/>
      </c>
      <c r="S165" s="26" t="inlineStr">
        <is>
          <t>Athena Health Insurance</t>
        </is>
      </c>
      <c r="T165" s="26" t="inlineStr">
        <is>
          <t>Athena PPO</t>
        </is>
      </c>
      <c r="U165" s="26" t="n"/>
      <c r="V165" s="26" t="inlineStr">
        <is>
          <t>Eleanor Brooks, MD</t>
        </is>
      </c>
      <c r="W165" s="26" t="inlineStr">
        <is>
          <t>Assigned Department Provider</t>
        </is>
      </c>
      <c r="X165" s="26" t="inlineStr">
        <is>
          <t>Therapy</t>
        </is>
      </c>
      <c r="Y165" s="26" t="inlineStr">
        <is>
          <t>Note signed</t>
        </is>
      </c>
      <c r="Z165" s="26" t="inlineStr">
        <is>
          <t>Posted</t>
        </is>
      </c>
      <c r="AA165" s="26" t="inlineStr">
        <is>
          <t>Matched</t>
        </is>
      </c>
      <c r="AB165" s="26" t="inlineStr">
        <is>
          <t>Passed</t>
        </is>
      </c>
      <c r="AC165" s="26" t="n"/>
      <c r="AD165" s="26" t="inlineStr">
        <is>
          <t>Timed units</t>
        </is>
      </c>
      <c r="AE165" s="26" t="inlineStr">
        <is>
          <t>M54.50</t>
        </is>
      </c>
      <c r="AF165" s="26" t="inlineStr">
        <is>
          <t>22</t>
        </is>
      </c>
      <c r="AG165" s="26" t="inlineStr">
        <is>
          <t>2026-09-07 16:30</t>
        </is>
      </c>
      <c r="AH165" s="26" t="inlineStr">
        <is>
          <t>Synthetic Athena negotiated charge</t>
        </is>
      </c>
    </row>
    <row r="166">
      <c r="A166" s="26" t="inlineStr">
        <is>
          <t>OPD-CHG-0081-CGH</t>
        </is>
      </c>
      <c r="B166" s="26" t="inlineStr">
        <is>
          <t>OP-202600081-CGH</t>
        </is>
      </c>
      <c r="C166" s="26" t="inlineStr">
        <is>
          <t>CSN-OPD-780081-CGH</t>
        </is>
      </c>
      <c r="D166" s="26" t="inlineStr">
        <is>
          <t>Outpatient</t>
        </is>
      </c>
      <c r="E166" s="26" t="inlineStr">
        <is>
          <t>Demo Regional Medical Center</t>
        </is>
      </c>
      <c r="F166" s="26" t="inlineStr">
        <is>
          <t>Physical Therapy</t>
        </is>
      </c>
      <c r="G166" s="26" t="inlineStr">
        <is>
          <t>2026-09-07</t>
        </is>
      </c>
      <c r="H166" s="26" t="inlineStr">
        <is>
          <t>PT-THEREX-OP</t>
        </is>
      </c>
      <c r="I166" s="26" t="inlineStr">
        <is>
          <t>Therapeutic Exercise, 15 Minutes</t>
        </is>
      </c>
      <c r="J166" s="26" t="inlineStr">
        <is>
          <t>0420</t>
        </is>
      </c>
      <c r="K166" s="26" t="inlineStr">
        <is>
          <t>97110</t>
        </is>
      </c>
      <c r="L166" s="26" t="n"/>
      <c r="M166" s="26" t="n">
        <v>2</v>
      </c>
      <c r="N166" s="13" t="n">
        <v>305</v>
      </c>
      <c r="O166" s="13">
        <f>M166*N166</f>
        <v/>
      </c>
      <c r="P166" s="13" t="n">
        <v>341.78</v>
      </c>
      <c r="Q166" s="13">
        <f>P166*15%</f>
        <v/>
      </c>
      <c r="R166" s="13">
        <f>O166-P166</f>
        <v/>
      </c>
      <c r="S166" s="26" t="inlineStr">
        <is>
          <t>Care Gap Health</t>
        </is>
      </c>
      <c r="T166" s="26" t="inlineStr">
        <is>
          <t>Care Gap Value PPO</t>
        </is>
      </c>
      <c r="U166" s="26" t="n"/>
      <c r="V166" s="26" t="inlineStr">
        <is>
          <t>Eleanor Brooks, MD</t>
        </is>
      </c>
      <c r="W166" s="26" t="inlineStr">
        <is>
          <t>Assigned Department Provider</t>
        </is>
      </c>
      <c r="X166" s="26" t="inlineStr">
        <is>
          <t>Therapy</t>
        </is>
      </c>
      <c r="Y166" s="26" t="inlineStr">
        <is>
          <t>Note signed</t>
        </is>
      </c>
      <c r="Z166" s="26" t="inlineStr">
        <is>
          <t>Posted</t>
        </is>
      </c>
      <c r="AA166" s="26" t="inlineStr">
        <is>
          <t>Matched</t>
        </is>
      </c>
      <c r="AB166" s="26" t="inlineStr">
        <is>
          <t>Passed</t>
        </is>
      </c>
      <c r="AC166" s="26" t="n"/>
      <c r="AD166" s="26" t="inlineStr">
        <is>
          <t>Timed units</t>
        </is>
      </c>
      <c r="AE166" s="26" t="inlineStr">
        <is>
          <t>M54.50</t>
        </is>
      </c>
      <c r="AF166" s="26" t="inlineStr">
        <is>
          <t>22</t>
        </is>
      </c>
      <c r="AG166" s="26" t="inlineStr">
        <is>
          <t>2026-09-07 16:30</t>
        </is>
      </c>
      <c r="AH166" s="26" t="inlineStr">
        <is>
          <t>Synthetic Care Gap charge; 10% below Athena allowed amount</t>
        </is>
      </c>
    </row>
    <row r="167">
      <c r="A167" s="26" t="inlineStr">
        <is>
          <t>OPD-CHG-0082-ATH</t>
        </is>
      </c>
      <c r="B167" s="26" t="inlineStr">
        <is>
          <t>OP-202600082-ATH</t>
        </is>
      </c>
      <c r="C167" s="26" t="inlineStr">
        <is>
          <t>CSN-OPD-780082-ATH</t>
        </is>
      </c>
      <c r="D167" s="26" t="inlineStr">
        <is>
          <t>Outpatient</t>
        </is>
      </c>
      <c r="E167" s="26" t="inlineStr">
        <is>
          <t>Demo Regional Medical Center</t>
        </is>
      </c>
      <c r="F167" s="26" t="inlineStr">
        <is>
          <t>Infusion</t>
        </is>
      </c>
      <c r="G167" s="26" t="inlineStr">
        <is>
          <t>2026-09-08</t>
        </is>
      </c>
      <c r="H167" s="26" t="inlineStr">
        <is>
          <t>INFUSION-1H</t>
        </is>
      </c>
      <c r="I167" s="26" t="inlineStr">
        <is>
          <t>Therapeutic Infusion, Initial Hour</t>
        </is>
      </c>
      <c r="J167" s="26" t="inlineStr">
        <is>
          <t>0260</t>
        </is>
      </c>
      <c r="K167" s="26" t="inlineStr">
        <is>
          <t>96365</t>
        </is>
      </c>
      <c r="L167" s="26" t="n"/>
      <c r="M167" s="26" t="n">
        <v>1</v>
      </c>
      <c r="N167" s="13" t="n">
        <v>780</v>
      </c>
      <c r="O167" s="13">
        <f>M167*N167</f>
        <v/>
      </c>
      <c r="P167" s="13" t="n">
        <v>382.64</v>
      </c>
      <c r="Q167" s="13">
        <f>P167*20%</f>
        <v/>
      </c>
      <c r="R167" s="13">
        <f>O167-P167</f>
        <v/>
      </c>
      <c r="S167" s="26" t="inlineStr">
        <is>
          <t>Athena Health Insurance</t>
        </is>
      </c>
      <c r="T167" s="26" t="inlineStr">
        <is>
          <t>Athena PPO</t>
        </is>
      </c>
      <c r="U167" s="26" t="inlineStr">
        <is>
          <t>AUTH-700082</t>
        </is>
      </c>
      <c r="V167" s="26" t="inlineStr">
        <is>
          <t>Eleanor Brooks, MD</t>
        </is>
      </c>
      <c r="W167" s="26" t="inlineStr">
        <is>
          <t>Assigned Department Provider</t>
        </is>
      </c>
      <c r="X167" s="26" t="inlineStr">
        <is>
          <t>Infusion</t>
        </is>
      </c>
      <c r="Y167" s="26" t="inlineStr">
        <is>
          <t>Administration completed</t>
        </is>
      </c>
      <c r="Z167" s="26" t="inlineStr">
        <is>
          <t>Posted</t>
        </is>
      </c>
      <c r="AA167" s="26" t="inlineStr">
        <is>
          <t>Matched</t>
        </is>
      </c>
      <c r="AB167" s="26" t="inlineStr">
        <is>
          <t>Passed</t>
        </is>
      </c>
      <c r="AC167" s="26" t="n"/>
      <c r="AD167" s="26" t="inlineStr">
        <is>
          <t>Drug policy</t>
        </is>
      </c>
      <c r="AE167" s="26" t="inlineStr">
        <is>
          <t>Z51.11</t>
        </is>
      </c>
      <c r="AF167" s="26" t="inlineStr">
        <is>
          <t>22</t>
        </is>
      </c>
      <c r="AG167" s="26" t="inlineStr">
        <is>
          <t>2026-09-08 16:30</t>
        </is>
      </c>
      <c r="AH167" s="26" t="inlineStr">
        <is>
          <t>Synthetic Athena negotiated charge</t>
        </is>
      </c>
    </row>
    <row r="168">
      <c r="A168" s="26" t="inlineStr">
        <is>
          <t>OPD-CHG-0082-CGH</t>
        </is>
      </c>
      <c r="B168" s="26" t="inlineStr">
        <is>
          <t>OP-202600082-CGH</t>
        </is>
      </c>
      <c r="C168" s="26" t="inlineStr">
        <is>
          <t>CSN-OPD-780082-CGH</t>
        </is>
      </c>
      <c r="D168" s="26" t="inlineStr">
        <is>
          <t>Outpatient</t>
        </is>
      </c>
      <c r="E168" s="26" t="inlineStr">
        <is>
          <t>Demo Regional Medical Center</t>
        </is>
      </c>
      <c r="F168" s="26" t="inlineStr">
        <is>
          <t>Infusion</t>
        </is>
      </c>
      <c r="G168" s="26" t="inlineStr">
        <is>
          <t>2026-09-08</t>
        </is>
      </c>
      <c r="H168" s="26" t="inlineStr">
        <is>
          <t>INFUSION-1H</t>
        </is>
      </c>
      <c r="I168" s="26" t="inlineStr">
        <is>
          <t>Therapeutic Infusion, Initial Hour</t>
        </is>
      </c>
      <c r="J168" s="26" t="inlineStr">
        <is>
          <t>0260</t>
        </is>
      </c>
      <c r="K168" s="26" t="inlineStr">
        <is>
          <t>96365</t>
        </is>
      </c>
      <c r="L168" s="26" t="n"/>
      <c r="M168" s="26" t="n">
        <v>1</v>
      </c>
      <c r="N168" s="13" t="n">
        <v>780</v>
      </c>
      <c r="O168" s="13">
        <f>M168*N168</f>
        <v/>
      </c>
      <c r="P168" s="13" t="n">
        <v>344.38</v>
      </c>
      <c r="Q168" s="13">
        <f>P168*15%</f>
        <v/>
      </c>
      <c r="R168" s="13">
        <f>O168-P168</f>
        <v/>
      </c>
      <c r="S168" s="26" t="inlineStr">
        <is>
          <t>Care Gap Health</t>
        </is>
      </c>
      <c r="T168" s="26" t="inlineStr">
        <is>
          <t>Care Gap Value PPO</t>
        </is>
      </c>
      <c r="U168" s="26" t="inlineStr">
        <is>
          <t>AUTH-700082</t>
        </is>
      </c>
      <c r="V168" s="26" t="inlineStr">
        <is>
          <t>Eleanor Brooks, MD</t>
        </is>
      </c>
      <c r="W168" s="26" t="inlineStr">
        <is>
          <t>Assigned Department Provider</t>
        </is>
      </c>
      <c r="X168" s="26" t="inlineStr">
        <is>
          <t>Infusion</t>
        </is>
      </c>
      <c r="Y168" s="26" t="inlineStr">
        <is>
          <t>Administration completed</t>
        </is>
      </c>
      <c r="Z168" s="26" t="inlineStr">
        <is>
          <t>Posted</t>
        </is>
      </c>
      <c r="AA168" s="26" t="inlineStr">
        <is>
          <t>Matched</t>
        </is>
      </c>
      <c r="AB168" s="26" t="inlineStr">
        <is>
          <t>Passed</t>
        </is>
      </c>
      <c r="AC168" s="26" t="n"/>
      <c r="AD168" s="26" t="inlineStr">
        <is>
          <t>Drug policy</t>
        </is>
      </c>
      <c r="AE168" s="26" t="inlineStr">
        <is>
          <t>Z51.11</t>
        </is>
      </c>
      <c r="AF168" s="26" t="inlineStr">
        <is>
          <t>22</t>
        </is>
      </c>
      <c r="AG168" s="26" t="inlineStr">
        <is>
          <t>2026-09-08 16:30</t>
        </is>
      </c>
      <c r="AH168" s="26" t="inlineStr">
        <is>
          <t>Synthetic Care Gap charge; 10% below Athena allowed amount</t>
        </is>
      </c>
    </row>
    <row r="169">
      <c r="A169" s="26" t="inlineStr">
        <is>
          <t>OPD-CHG-0083-ATH</t>
        </is>
      </c>
      <c r="B169" s="26" t="inlineStr">
        <is>
          <t>OP-202600083-ATH</t>
        </is>
      </c>
      <c r="C169" s="26" t="inlineStr">
        <is>
          <t>CSN-OPD-780083-ATH</t>
        </is>
      </c>
      <c r="D169" s="26" t="inlineStr">
        <is>
          <t>Outpatient</t>
        </is>
      </c>
      <c r="E169" s="26" t="inlineStr">
        <is>
          <t>Demo Regional Medical Center</t>
        </is>
      </c>
      <c r="F169" s="26" t="inlineStr">
        <is>
          <t>Chemotherapy</t>
        </is>
      </c>
      <c r="G169" s="26" t="inlineStr">
        <is>
          <t>2026-09-09</t>
        </is>
      </c>
      <c r="H169" s="26" t="inlineStr">
        <is>
          <t>CHEMO-1H</t>
        </is>
      </c>
      <c r="I169" s="26" t="inlineStr">
        <is>
          <t>Chemotherapy Infusion, Initial Hour</t>
        </is>
      </c>
      <c r="J169" s="26" t="inlineStr">
        <is>
          <t>0335</t>
        </is>
      </c>
      <c r="K169" s="26" t="inlineStr">
        <is>
          <t>96413</t>
        </is>
      </c>
      <c r="L169" s="26" t="n"/>
      <c r="M169" s="26" t="n">
        <v>1</v>
      </c>
      <c r="N169" s="13" t="n">
        <v>1850</v>
      </c>
      <c r="O169" s="13">
        <f>M169*N169</f>
        <v/>
      </c>
      <c r="P169" s="13" t="n">
        <v>843.54</v>
      </c>
      <c r="Q169" s="13">
        <f>P169*20%</f>
        <v/>
      </c>
      <c r="R169" s="13">
        <f>O169-P169</f>
        <v/>
      </c>
      <c r="S169" s="26" t="inlineStr">
        <is>
          <t>Athena Health Insurance</t>
        </is>
      </c>
      <c r="T169" s="26" t="inlineStr">
        <is>
          <t>Athena PPO</t>
        </is>
      </c>
      <c r="U169" s="26" t="inlineStr">
        <is>
          <t>AUTH-700083</t>
        </is>
      </c>
      <c r="V169" s="26" t="inlineStr">
        <is>
          <t>Eleanor Brooks, MD</t>
        </is>
      </c>
      <c r="W169" s="26" t="inlineStr">
        <is>
          <t>Assigned Department Provider</t>
        </is>
      </c>
      <c r="X169" s="26" t="inlineStr">
        <is>
          <t>Infusion</t>
        </is>
      </c>
      <c r="Y169" s="26" t="inlineStr">
        <is>
          <t>Administration completed</t>
        </is>
      </c>
      <c r="Z169" s="26" t="inlineStr">
        <is>
          <t>Posted</t>
        </is>
      </c>
      <c r="AA169" s="26" t="inlineStr">
        <is>
          <t>Matched</t>
        </is>
      </c>
      <c r="AB169" s="26" t="inlineStr">
        <is>
          <t>Passed</t>
        </is>
      </c>
      <c r="AC169" s="26" t="n"/>
      <c r="AD169" s="26" t="inlineStr">
        <is>
          <t>Drug policy</t>
        </is>
      </c>
      <c r="AE169" s="26" t="inlineStr">
        <is>
          <t>C50.919</t>
        </is>
      </c>
      <c r="AF169" s="26" t="inlineStr">
        <is>
          <t>22</t>
        </is>
      </c>
      <c r="AG169" s="26" t="inlineStr">
        <is>
          <t>2026-09-09 16:30</t>
        </is>
      </c>
      <c r="AH169" s="26" t="inlineStr">
        <is>
          <t>Synthetic Athena negotiated charge</t>
        </is>
      </c>
    </row>
    <row r="170">
      <c r="A170" s="26" t="inlineStr">
        <is>
          <t>OPD-CHG-0083-CGH</t>
        </is>
      </c>
      <c r="B170" s="26" t="inlineStr">
        <is>
          <t>OP-202600083-CGH</t>
        </is>
      </c>
      <c r="C170" s="26" t="inlineStr">
        <is>
          <t>CSN-OPD-780083-CGH</t>
        </is>
      </c>
      <c r="D170" s="26" t="inlineStr">
        <is>
          <t>Outpatient</t>
        </is>
      </c>
      <c r="E170" s="26" t="inlineStr">
        <is>
          <t>Demo Regional Medical Center</t>
        </is>
      </c>
      <c r="F170" s="26" t="inlineStr">
        <is>
          <t>Chemotherapy</t>
        </is>
      </c>
      <c r="G170" s="26" t="inlineStr">
        <is>
          <t>2026-09-09</t>
        </is>
      </c>
      <c r="H170" s="26" t="inlineStr">
        <is>
          <t>CHEMO-1H</t>
        </is>
      </c>
      <c r="I170" s="26" t="inlineStr">
        <is>
          <t>Chemotherapy Infusion, Initial Hour</t>
        </is>
      </c>
      <c r="J170" s="26" t="inlineStr">
        <is>
          <t>0335</t>
        </is>
      </c>
      <c r="K170" s="26" t="inlineStr">
        <is>
          <t>96413</t>
        </is>
      </c>
      <c r="L170" s="26" t="n"/>
      <c r="M170" s="26" t="n">
        <v>1</v>
      </c>
      <c r="N170" s="13" t="n">
        <v>1850</v>
      </c>
      <c r="O170" s="13">
        <f>M170*N170</f>
        <v/>
      </c>
      <c r="P170" s="13" t="n">
        <v>759.1900000000001</v>
      </c>
      <c r="Q170" s="13">
        <f>P170*15%</f>
        <v/>
      </c>
      <c r="R170" s="13">
        <f>O170-P170</f>
        <v/>
      </c>
      <c r="S170" s="26" t="inlineStr">
        <is>
          <t>Care Gap Health</t>
        </is>
      </c>
      <c r="T170" s="26" t="inlineStr">
        <is>
          <t>Care Gap Value PPO</t>
        </is>
      </c>
      <c r="U170" s="26" t="inlineStr">
        <is>
          <t>AUTH-700083</t>
        </is>
      </c>
      <c r="V170" s="26" t="inlineStr">
        <is>
          <t>Eleanor Brooks, MD</t>
        </is>
      </c>
      <c r="W170" s="26" t="inlineStr">
        <is>
          <t>Assigned Department Provider</t>
        </is>
      </c>
      <c r="X170" s="26" t="inlineStr">
        <is>
          <t>Infusion</t>
        </is>
      </c>
      <c r="Y170" s="26" t="inlineStr">
        <is>
          <t>Administration completed</t>
        </is>
      </c>
      <c r="Z170" s="26" t="inlineStr">
        <is>
          <t>Posted</t>
        </is>
      </c>
      <c r="AA170" s="26" t="inlineStr">
        <is>
          <t>Matched</t>
        </is>
      </c>
      <c r="AB170" s="26" t="inlineStr">
        <is>
          <t>Passed</t>
        </is>
      </c>
      <c r="AC170" s="26" t="n"/>
      <c r="AD170" s="26" t="inlineStr">
        <is>
          <t>Drug policy</t>
        </is>
      </c>
      <c r="AE170" s="26" t="inlineStr">
        <is>
          <t>C50.919</t>
        </is>
      </c>
      <c r="AF170" s="26" t="inlineStr">
        <is>
          <t>22</t>
        </is>
      </c>
      <c r="AG170" s="26" t="inlineStr">
        <is>
          <t>2026-09-09 16:30</t>
        </is>
      </c>
      <c r="AH170" s="26" t="inlineStr">
        <is>
          <t>Synthetic Care Gap charge; 10% below Athena allowed amount</t>
        </is>
      </c>
    </row>
    <row r="171">
      <c r="A171" s="26" t="inlineStr">
        <is>
          <t>OPD-CHG-0084-ATH</t>
        </is>
      </c>
      <c r="B171" s="26" t="inlineStr">
        <is>
          <t>OP-202600084-ATH</t>
        </is>
      </c>
      <c r="C171" s="26" t="inlineStr">
        <is>
          <t>CSN-OPD-780084-ATH</t>
        </is>
      </c>
      <c r="D171" s="26" t="inlineStr">
        <is>
          <t>Outpatient</t>
        </is>
      </c>
      <c r="E171" s="26" t="inlineStr">
        <is>
          <t>Demo Regional Medical Center</t>
        </is>
      </c>
      <c r="F171" s="26" t="inlineStr">
        <is>
          <t>Behavioral Health</t>
        </is>
      </c>
      <c r="G171" s="26" t="inlineStr">
        <is>
          <t>2026-09-10</t>
        </is>
      </c>
      <c r="H171" s="26" t="inlineStr">
        <is>
          <t>BH-INDIVIDUAL</t>
        </is>
      </c>
      <c r="I171" s="26" t="inlineStr">
        <is>
          <t>Outpatient Psychotherapy, 45 Minutes</t>
        </is>
      </c>
      <c r="J171" s="26" t="inlineStr">
        <is>
          <t>0914</t>
        </is>
      </c>
      <c r="K171" s="26" t="inlineStr">
        <is>
          <t>90834</t>
        </is>
      </c>
      <c r="L171" s="26" t="n"/>
      <c r="M171" s="26" t="n">
        <v>1</v>
      </c>
      <c r="N171" s="13" t="n">
        <v>285</v>
      </c>
      <c r="O171" s="13">
        <f>M171*N171</f>
        <v/>
      </c>
      <c r="P171" s="13" t="n">
        <v>195.82</v>
      </c>
      <c r="Q171" s="13">
        <f>P171*20%</f>
        <v/>
      </c>
      <c r="R171" s="13">
        <f>O171-P171</f>
        <v/>
      </c>
      <c r="S171" s="26" t="inlineStr">
        <is>
          <t>Athena Health Insurance</t>
        </is>
      </c>
      <c r="T171" s="26" t="inlineStr">
        <is>
          <t>Athena PPO</t>
        </is>
      </c>
      <c r="U171" s="26" t="n"/>
      <c r="V171" s="26" t="inlineStr">
        <is>
          <t>Eleanor Brooks, MD</t>
        </is>
      </c>
      <c r="W171" s="26" t="inlineStr">
        <is>
          <t>Assigned Department Provider</t>
        </is>
      </c>
      <c r="X171" s="26" t="inlineStr">
        <is>
          <t>Behavioral Health</t>
        </is>
      </c>
      <c r="Y171" s="26" t="inlineStr">
        <is>
          <t>Note signed</t>
        </is>
      </c>
      <c r="Z171" s="26" t="inlineStr">
        <is>
          <t>Posted</t>
        </is>
      </c>
      <c r="AA171" s="26" t="inlineStr">
        <is>
          <t>Matched</t>
        </is>
      </c>
      <c r="AB171" s="26" t="inlineStr">
        <is>
          <t>Passed</t>
        </is>
      </c>
      <c r="AC171" s="26" t="n"/>
      <c r="AD171" s="26" t="inlineStr">
        <is>
          <t>Benefits</t>
        </is>
      </c>
      <c r="AE171" s="26" t="inlineStr">
        <is>
          <t>F41.1</t>
        </is>
      </c>
      <c r="AF171" s="26" t="inlineStr">
        <is>
          <t>22</t>
        </is>
      </c>
      <c r="AG171" s="26" t="inlineStr">
        <is>
          <t>2026-09-10 16:30</t>
        </is>
      </c>
      <c r="AH171" s="26" t="inlineStr">
        <is>
          <t>Synthetic Athena negotiated charge</t>
        </is>
      </c>
    </row>
    <row r="172">
      <c r="A172" s="26" t="inlineStr">
        <is>
          <t>OPD-CHG-0084-CGH</t>
        </is>
      </c>
      <c r="B172" s="26" t="inlineStr">
        <is>
          <t>OP-202600084-CGH</t>
        </is>
      </c>
      <c r="C172" s="26" t="inlineStr">
        <is>
          <t>CSN-OPD-780084-CGH</t>
        </is>
      </c>
      <c r="D172" s="26" t="inlineStr">
        <is>
          <t>Outpatient</t>
        </is>
      </c>
      <c r="E172" s="26" t="inlineStr">
        <is>
          <t>Demo Regional Medical Center</t>
        </is>
      </c>
      <c r="F172" s="26" t="inlineStr">
        <is>
          <t>Behavioral Health</t>
        </is>
      </c>
      <c r="G172" s="26" t="inlineStr">
        <is>
          <t>2026-09-10</t>
        </is>
      </c>
      <c r="H172" s="26" t="inlineStr">
        <is>
          <t>BH-INDIVIDUAL</t>
        </is>
      </c>
      <c r="I172" s="26" t="inlineStr">
        <is>
          <t>Outpatient Psychotherapy, 45 Minutes</t>
        </is>
      </c>
      <c r="J172" s="26" t="inlineStr">
        <is>
          <t>0914</t>
        </is>
      </c>
      <c r="K172" s="26" t="inlineStr">
        <is>
          <t>90834</t>
        </is>
      </c>
      <c r="L172" s="26" t="n"/>
      <c r="M172" s="26" t="n">
        <v>1</v>
      </c>
      <c r="N172" s="13" t="n">
        <v>285</v>
      </c>
      <c r="O172" s="13">
        <f>M172*N172</f>
        <v/>
      </c>
      <c r="P172" s="13" t="n">
        <v>176.24</v>
      </c>
      <c r="Q172" s="13">
        <f>P172*15%</f>
        <v/>
      </c>
      <c r="R172" s="13">
        <f>O172-P172</f>
        <v/>
      </c>
      <c r="S172" s="26" t="inlineStr">
        <is>
          <t>Care Gap Health</t>
        </is>
      </c>
      <c r="T172" s="26" t="inlineStr">
        <is>
          <t>Care Gap Value PPO</t>
        </is>
      </c>
      <c r="U172" s="26" t="n"/>
      <c r="V172" s="26" t="inlineStr">
        <is>
          <t>Eleanor Brooks, MD</t>
        </is>
      </c>
      <c r="W172" s="26" t="inlineStr">
        <is>
          <t>Assigned Department Provider</t>
        </is>
      </c>
      <c r="X172" s="26" t="inlineStr">
        <is>
          <t>Behavioral Health</t>
        </is>
      </c>
      <c r="Y172" s="26" t="inlineStr">
        <is>
          <t>Note signed</t>
        </is>
      </c>
      <c r="Z172" s="26" t="inlineStr">
        <is>
          <t>Posted</t>
        </is>
      </c>
      <c r="AA172" s="26" t="inlineStr">
        <is>
          <t>Matched</t>
        </is>
      </c>
      <c r="AB172" s="26" t="inlineStr">
        <is>
          <t>Passed</t>
        </is>
      </c>
      <c r="AC172" s="26" t="n"/>
      <c r="AD172" s="26" t="inlineStr">
        <is>
          <t>Benefits</t>
        </is>
      </c>
      <c r="AE172" s="26" t="inlineStr">
        <is>
          <t>F41.1</t>
        </is>
      </c>
      <c r="AF172" s="26" t="inlineStr">
        <is>
          <t>22</t>
        </is>
      </c>
      <c r="AG172" s="26" t="inlineStr">
        <is>
          <t>2026-09-10 16:30</t>
        </is>
      </c>
      <c r="AH172" s="26" t="inlineStr">
        <is>
          <t>Synthetic Care Gap charge; 10% below Athena allowed amount</t>
        </is>
      </c>
    </row>
    <row r="173">
      <c r="A173" s="26" t="inlineStr">
        <is>
          <t>OPD-CHG-0085-ATH</t>
        </is>
      </c>
      <c r="B173" s="26" t="inlineStr">
        <is>
          <t>OP-202600085-ATH</t>
        </is>
      </c>
      <c r="C173" s="26" t="inlineStr">
        <is>
          <t>CSN-OPD-780085-ATH</t>
        </is>
      </c>
      <c r="D173" s="26" t="inlineStr">
        <is>
          <t>Outpatient</t>
        </is>
      </c>
      <c r="E173" s="26" t="inlineStr">
        <is>
          <t>Demo Regional Medical Center</t>
        </is>
      </c>
      <c r="F173" s="26" t="inlineStr">
        <is>
          <t>Emergency Department</t>
        </is>
      </c>
      <c r="G173" s="26" t="inlineStr">
        <is>
          <t>2026-09-11</t>
        </is>
      </c>
      <c r="H173" s="26" t="inlineStr">
        <is>
          <t>ED-LEVEL-1</t>
        </is>
      </c>
      <c r="I173" s="26" t="inlineStr">
        <is>
          <t>Emergency Department Visit Level 1</t>
        </is>
      </c>
      <c r="J173" s="26" t="inlineStr">
        <is>
          <t>0450</t>
        </is>
      </c>
      <c r="K173" s="26" t="inlineStr">
        <is>
          <t>99281</t>
        </is>
      </c>
      <c r="L173" s="26" t="n"/>
      <c r="M173" s="26" t="n">
        <v>1</v>
      </c>
      <c r="N173" s="13" t="n">
        <v>360</v>
      </c>
      <c r="O173" s="13">
        <f>M173*N173</f>
        <v/>
      </c>
      <c r="P173" s="13" t="n">
        <v>177.79</v>
      </c>
      <c r="Q173" s="13">
        <f>P173*20%</f>
        <v/>
      </c>
      <c r="R173" s="13">
        <f>O173-P173</f>
        <v/>
      </c>
      <c r="S173" s="26" t="inlineStr">
        <is>
          <t>Athena Health Insurance</t>
        </is>
      </c>
      <c r="T173" s="26" t="inlineStr">
        <is>
          <t>Athena PPO</t>
        </is>
      </c>
      <c r="U173" s="26" t="n"/>
      <c r="V173" s="26" t="inlineStr">
        <is>
          <t>Eleanor Brooks, MD</t>
        </is>
      </c>
      <c r="W173" s="26" t="inlineStr">
        <is>
          <t>Assigned Department Provider</t>
        </is>
      </c>
      <c r="X173" s="26" t="inlineStr">
        <is>
          <t>ED</t>
        </is>
      </c>
      <c r="Y173" s="26" t="inlineStr">
        <is>
          <t>Encounter close</t>
        </is>
      </c>
      <c r="Z173" s="26" t="inlineStr">
        <is>
          <t>Posted</t>
        </is>
      </c>
      <c r="AA173" s="26" t="inlineStr">
        <is>
          <t>Matched</t>
        </is>
      </c>
      <c r="AB173" s="26" t="inlineStr">
        <is>
          <t>Passed</t>
        </is>
      </c>
      <c r="AC173" s="26" t="n"/>
      <c r="AD173" s="26" t="inlineStr">
        <is>
          <t>Documentation</t>
        </is>
      </c>
      <c r="AE173" s="26" t="inlineStr">
        <is>
          <t>R50.9</t>
        </is>
      </c>
      <c r="AF173" s="26" t="inlineStr">
        <is>
          <t>22</t>
        </is>
      </c>
      <c r="AG173" s="26" t="inlineStr">
        <is>
          <t>2026-09-11 16:30</t>
        </is>
      </c>
      <c r="AH173" s="26" t="inlineStr">
        <is>
          <t>Synthetic Athena negotiated charge</t>
        </is>
      </c>
    </row>
    <row r="174">
      <c r="A174" s="26" t="inlineStr">
        <is>
          <t>OPD-CHG-0085-CGH</t>
        </is>
      </c>
      <c r="B174" s="26" t="inlineStr">
        <is>
          <t>OP-202600085-CGH</t>
        </is>
      </c>
      <c r="C174" s="26" t="inlineStr">
        <is>
          <t>CSN-OPD-780085-CGH</t>
        </is>
      </c>
      <c r="D174" s="26" t="inlineStr">
        <is>
          <t>Outpatient</t>
        </is>
      </c>
      <c r="E174" s="26" t="inlineStr">
        <is>
          <t>Demo Regional Medical Center</t>
        </is>
      </c>
      <c r="F174" s="26" t="inlineStr">
        <is>
          <t>Emergency Department</t>
        </is>
      </c>
      <c r="G174" s="26" t="inlineStr">
        <is>
          <t>2026-09-11</t>
        </is>
      </c>
      <c r="H174" s="26" t="inlineStr">
        <is>
          <t>ED-LEVEL-1</t>
        </is>
      </c>
      <c r="I174" s="26" t="inlineStr">
        <is>
          <t>Emergency Department Visit Level 1</t>
        </is>
      </c>
      <c r="J174" s="26" t="inlineStr">
        <is>
          <t>0450</t>
        </is>
      </c>
      <c r="K174" s="26" t="inlineStr">
        <is>
          <t>99281</t>
        </is>
      </c>
      <c r="L174" s="26" t="n"/>
      <c r="M174" s="26" t="n">
        <v>1</v>
      </c>
      <c r="N174" s="13" t="n">
        <v>360</v>
      </c>
      <c r="O174" s="13">
        <f>M174*N174</f>
        <v/>
      </c>
      <c r="P174" s="13" t="n">
        <v>160.01</v>
      </c>
      <c r="Q174" s="13">
        <f>P174*15%</f>
        <v/>
      </c>
      <c r="R174" s="13">
        <f>O174-P174</f>
        <v/>
      </c>
      <c r="S174" s="26" t="inlineStr">
        <is>
          <t>Care Gap Health</t>
        </is>
      </c>
      <c r="T174" s="26" t="inlineStr">
        <is>
          <t>Care Gap Value PPO</t>
        </is>
      </c>
      <c r="U174" s="26" t="n"/>
      <c r="V174" s="26" t="inlineStr">
        <is>
          <t>Eleanor Brooks, MD</t>
        </is>
      </c>
      <c r="W174" s="26" t="inlineStr">
        <is>
          <t>Assigned Department Provider</t>
        </is>
      </c>
      <c r="X174" s="26" t="inlineStr">
        <is>
          <t>ED</t>
        </is>
      </c>
      <c r="Y174" s="26" t="inlineStr">
        <is>
          <t>Encounter close</t>
        </is>
      </c>
      <c r="Z174" s="26" t="inlineStr">
        <is>
          <t>Posted</t>
        </is>
      </c>
      <c r="AA174" s="26" t="inlineStr">
        <is>
          <t>Matched</t>
        </is>
      </c>
      <c r="AB174" s="26" t="inlineStr">
        <is>
          <t>Passed</t>
        </is>
      </c>
      <c r="AC174" s="26" t="n"/>
      <c r="AD174" s="26" t="inlineStr">
        <is>
          <t>Documentation</t>
        </is>
      </c>
      <c r="AE174" s="26" t="inlineStr">
        <is>
          <t>R50.9</t>
        </is>
      </c>
      <c r="AF174" s="26" t="inlineStr">
        <is>
          <t>22</t>
        </is>
      </c>
      <c r="AG174" s="26" t="inlineStr">
        <is>
          <t>2026-09-11 16:30</t>
        </is>
      </c>
      <c r="AH174" s="26" t="inlineStr">
        <is>
          <t>Synthetic Care Gap charge; 10% below Athena allowed amount</t>
        </is>
      </c>
    </row>
    <row r="175">
      <c r="A175" s="26" t="inlineStr">
        <is>
          <t>OPD-CHG-0086-ATH</t>
        </is>
      </c>
      <c r="B175" s="26" t="inlineStr">
        <is>
          <t>OP-202600086-ATH</t>
        </is>
      </c>
      <c r="C175" s="26" t="inlineStr">
        <is>
          <t>CSN-OPD-780086-ATH</t>
        </is>
      </c>
      <c r="D175" s="26" t="inlineStr">
        <is>
          <t>Outpatient</t>
        </is>
      </c>
      <c r="E175" s="26" t="inlineStr">
        <is>
          <t>Demo Regional Medical Center</t>
        </is>
      </c>
      <c r="F175" s="26" t="inlineStr">
        <is>
          <t>Emergency Department</t>
        </is>
      </c>
      <c r="G175" s="26" t="inlineStr">
        <is>
          <t>2026-09-12</t>
        </is>
      </c>
      <c r="H175" s="26" t="inlineStr">
        <is>
          <t>ED-LEVEL-2</t>
        </is>
      </c>
      <c r="I175" s="26" t="inlineStr">
        <is>
          <t>Emergency Department Visit Level 2</t>
        </is>
      </c>
      <c r="J175" s="26" t="inlineStr">
        <is>
          <t>0450</t>
        </is>
      </c>
      <c r="K175" s="26" t="inlineStr">
        <is>
          <t>99282</t>
        </is>
      </c>
      <c r="L175" s="26" t="n"/>
      <c r="M175" s="26" t="n">
        <v>1</v>
      </c>
      <c r="N175" s="13" t="n">
        <v>670</v>
      </c>
      <c r="O175" s="13">
        <f>M175*N175</f>
        <v/>
      </c>
      <c r="P175" s="13" t="n">
        <v>400.9</v>
      </c>
      <c r="Q175" s="13">
        <f>P175*20%</f>
        <v/>
      </c>
      <c r="R175" s="13">
        <f>O175-P175</f>
        <v/>
      </c>
      <c r="S175" s="26" t="inlineStr">
        <is>
          <t>Athena Health Insurance</t>
        </is>
      </c>
      <c r="T175" s="26" t="inlineStr">
        <is>
          <t>Athena PPO</t>
        </is>
      </c>
      <c r="U175" s="26" t="n"/>
      <c r="V175" s="26" t="inlineStr">
        <is>
          <t>Eleanor Brooks, MD</t>
        </is>
      </c>
      <c r="W175" s="26" t="inlineStr">
        <is>
          <t>Assigned Department Provider</t>
        </is>
      </c>
      <c r="X175" s="26" t="inlineStr">
        <is>
          <t>ED</t>
        </is>
      </c>
      <c r="Y175" s="26" t="inlineStr">
        <is>
          <t>Encounter close</t>
        </is>
      </c>
      <c r="Z175" s="26" t="inlineStr">
        <is>
          <t>Posted</t>
        </is>
      </c>
      <c r="AA175" s="26" t="inlineStr">
        <is>
          <t>Matched</t>
        </is>
      </c>
      <c r="AB175" s="26" t="inlineStr">
        <is>
          <t>Passed</t>
        </is>
      </c>
      <c r="AC175" s="26" t="n"/>
      <c r="AD175" s="26" t="inlineStr">
        <is>
          <t>Documentation</t>
        </is>
      </c>
      <c r="AE175" s="26" t="inlineStr">
        <is>
          <t>R51.9</t>
        </is>
      </c>
      <c r="AF175" s="26" t="inlineStr">
        <is>
          <t>22</t>
        </is>
      </c>
      <c r="AG175" s="26" t="inlineStr">
        <is>
          <t>2026-09-12 16:30</t>
        </is>
      </c>
      <c r="AH175" s="26" t="inlineStr">
        <is>
          <t>Synthetic Athena negotiated charge</t>
        </is>
      </c>
    </row>
    <row r="176">
      <c r="A176" s="26" t="inlineStr">
        <is>
          <t>OPD-CHG-0086-CGH</t>
        </is>
      </c>
      <c r="B176" s="26" t="inlineStr">
        <is>
          <t>OP-202600086-CGH</t>
        </is>
      </c>
      <c r="C176" s="26" t="inlineStr">
        <is>
          <t>CSN-OPD-780086-CGH</t>
        </is>
      </c>
      <c r="D176" s="26" t="inlineStr">
        <is>
          <t>Outpatient</t>
        </is>
      </c>
      <c r="E176" s="26" t="inlineStr">
        <is>
          <t>Demo Regional Medical Center</t>
        </is>
      </c>
      <c r="F176" s="26" t="inlineStr">
        <is>
          <t>Emergency Department</t>
        </is>
      </c>
      <c r="G176" s="26" t="inlineStr">
        <is>
          <t>2026-09-12</t>
        </is>
      </c>
      <c r="H176" s="26" t="inlineStr">
        <is>
          <t>ED-LEVEL-2</t>
        </is>
      </c>
      <c r="I176" s="26" t="inlineStr">
        <is>
          <t>Emergency Department Visit Level 2</t>
        </is>
      </c>
      <c r="J176" s="26" t="inlineStr">
        <is>
          <t>0450</t>
        </is>
      </c>
      <c r="K176" s="26" t="inlineStr">
        <is>
          <t>99282</t>
        </is>
      </c>
      <c r="L176" s="26" t="n"/>
      <c r="M176" s="26" t="n">
        <v>1</v>
      </c>
      <c r="N176" s="13" t="n">
        <v>670</v>
      </c>
      <c r="O176" s="13">
        <f>M176*N176</f>
        <v/>
      </c>
      <c r="P176" s="13" t="n">
        <v>360.81</v>
      </c>
      <c r="Q176" s="13">
        <f>P176*15%</f>
        <v/>
      </c>
      <c r="R176" s="13">
        <f>O176-P176</f>
        <v/>
      </c>
      <c r="S176" s="26" t="inlineStr">
        <is>
          <t>Care Gap Health</t>
        </is>
      </c>
      <c r="T176" s="26" t="inlineStr">
        <is>
          <t>Care Gap Value PPO</t>
        </is>
      </c>
      <c r="U176" s="26" t="n"/>
      <c r="V176" s="26" t="inlineStr">
        <is>
          <t>Eleanor Brooks, MD</t>
        </is>
      </c>
      <c r="W176" s="26" t="inlineStr">
        <is>
          <t>Assigned Department Provider</t>
        </is>
      </c>
      <c r="X176" s="26" t="inlineStr">
        <is>
          <t>ED</t>
        </is>
      </c>
      <c r="Y176" s="26" t="inlineStr">
        <is>
          <t>Encounter close</t>
        </is>
      </c>
      <c r="Z176" s="26" t="inlineStr">
        <is>
          <t>Posted</t>
        </is>
      </c>
      <c r="AA176" s="26" t="inlineStr">
        <is>
          <t>Matched</t>
        </is>
      </c>
      <c r="AB176" s="26" t="inlineStr">
        <is>
          <t>Passed</t>
        </is>
      </c>
      <c r="AC176" s="26" t="n"/>
      <c r="AD176" s="26" t="inlineStr">
        <is>
          <t>Documentation</t>
        </is>
      </c>
      <c r="AE176" s="26" t="inlineStr">
        <is>
          <t>R51.9</t>
        </is>
      </c>
      <c r="AF176" s="26" t="inlineStr">
        <is>
          <t>22</t>
        </is>
      </c>
      <c r="AG176" s="26" t="inlineStr">
        <is>
          <t>2026-09-12 16:30</t>
        </is>
      </c>
      <c r="AH176" s="26" t="inlineStr">
        <is>
          <t>Synthetic Care Gap charge; 10% below Athena allowed amount</t>
        </is>
      </c>
    </row>
    <row r="177">
      <c r="A177" s="26" t="inlineStr">
        <is>
          <t>OPD-CHG-0087-ATH</t>
        </is>
      </c>
      <c r="B177" s="26" t="inlineStr">
        <is>
          <t>OP-202600087-ATH</t>
        </is>
      </c>
      <c r="C177" s="26" t="inlineStr">
        <is>
          <t>CSN-OPD-780087-ATH</t>
        </is>
      </c>
      <c r="D177" s="26" t="inlineStr">
        <is>
          <t>Outpatient</t>
        </is>
      </c>
      <c r="E177" s="26" t="inlineStr">
        <is>
          <t>Demo Regional Medical Center</t>
        </is>
      </c>
      <c r="F177" s="26" t="inlineStr">
        <is>
          <t>Emergency Department</t>
        </is>
      </c>
      <c r="G177" s="26" t="inlineStr">
        <is>
          <t>2026-09-13</t>
        </is>
      </c>
      <c r="H177" s="26" t="inlineStr">
        <is>
          <t>ED-LEVEL-3</t>
        </is>
      </c>
      <c r="I177" s="26" t="inlineStr">
        <is>
          <t>Emergency Department Visit Level 3</t>
        </is>
      </c>
      <c r="J177" s="26" t="inlineStr">
        <is>
          <t>0450</t>
        </is>
      </c>
      <c r="K177" s="26" t="inlineStr">
        <is>
          <t>99283</t>
        </is>
      </c>
      <c r="L177" s="26" t="n"/>
      <c r="M177" s="26" t="n">
        <v>1</v>
      </c>
      <c r="N177" s="13" t="n">
        <v>1280</v>
      </c>
      <c r="O177" s="13">
        <f>M177*N177</f>
        <v/>
      </c>
      <c r="P177" s="13" t="n">
        <v>775.4400000000001</v>
      </c>
      <c r="Q177" s="13">
        <f>P177*20%</f>
        <v/>
      </c>
      <c r="R177" s="13">
        <f>O177-P177</f>
        <v/>
      </c>
      <c r="S177" s="26" t="inlineStr">
        <is>
          <t>Athena Health Insurance</t>
        </is>
      </c>
      <c r="T177" s="26" t="inlineStr">
        <is>
          <t>Athena PPO</t>
        </is>
      </c>
      <c r="U177" s="26" t="n"/>
      <c r="V177" s="26" t="inlineStr">
        <is>
          <t>Eleanor Brooks, MD</t>
        </is>
      </c>
      <c r="W177" s="26" t="inlineStr">
        <is>
          <t>Assigned Department Provider</t>
        </is>
      </c>
      <c r="X177" s="26" t="inlineStr">
        <is>
          <t>ED</t>
        </is>
      </c>
      <c r="Y177" s="26" t="inlineStr">
        <is>
          <t>Encounter close</t>
        </is>
      </c>
      <c r="Z177" s="26" t="inlineStr">
        <is>
          <t>Hold</t>
        </is>
      </c>
      <c r="AA177" s="26" t="inlineStr">
        <is>
          <t>Exception</t>
        </is>
      </c>
      <c r="AB177" s="26" t="inlineStr">
        <is>
          <t>Review</t>
        </is>
      </c>
      <c r="AC177" s="26" t="inlineStr">
        <is>
          <t>WQ-EME-04</t>
        </is>
      </c>
      <c r="AD177" s="26" t="inlineStr">
        <is>
          <t>Documentation</t>
        </is>
      </c>
      <c r="AE177" s="26" t="inlineStr">
        <is>
          <t>R10.9</t>
        </is>
      </c>
      <c r="AF177" s="26" t="inlineStr">
        <is>
          <t>22</t>
        </is>
      </c>
      <c r="AG177" s="26" t="inlineStr">
        <is>
          <t>2026-09-13 16:30</t>
        </is>
      </c>
      <c r="AH177" s="26" t="inlineStr">
        <is>
          <t>Synthetic Athena negotiated charge</t>
        </is>
      </c>
    </row>
    <row r="178">
      <c r="A178" s="26" t="inlineStr">
        <is>
          <t>OPD-CHG-0087-CGH</t>
        </is>
      </c>
      <c r="B178" s="26" t="inlineStr">
        <is>
          <t>OP-202600087-CGH</t>
        </is>
      </c>
      <c r="C178" s="26" t="inlineStr">
        <is>
          <t>CSN-OPD-780087-CGH</t>
        </is>
      </c>
      <c r="D178" s="26" t="inlineStr">
        <is>
          <t>Outpatient</t>
        </is>
      </c>
      <c r="E178" s="26" t="inlineStr">
        <is>
          <t>Demo Regional Medical Center</t>
        </is>
      </c>
      <c r="F178" s="26" t="inlineStr">
        <is>
          <t>Emergency Department</t>
        </is>
      </c>
      <c r="G178" s="26" t="inlineStr">
        <is>
          <t>2026-09-13</t>
        </is>
      </c>
      <c r="H178" s="26" t="inlineStr">
        <is>
          <t>ED-LEVEL-3</t>
        </is>
      </c>
      <c r="I178" s="26" t="inlineStr">
        <is>
          <t>Emergency Department Visit Level 3</t>
        </is>
      </c>
      <c r="J178" s="26" t="inlineStr">
        <is>
          <t>0450</t>
        </is>
      </c>
      <c r="K178" s="26" t="inlineStr">
        <is>
          <t>99283</t>
        </is>
      </c>
      <c r="L178" s="26" t="n"/>
      <c r="M178" s="26" t="n">
        <v>1</v>
      </c>
      <c r="N178" s="13" t="n">
        <v>1280</v>
      </c>
      <c r="O178" s="13">
        <f>M178*N178</f>
        <v/>
      </c>
      <c r="P178" s="13" t="n">
        <v>697.9</v>
      </c>
      <c r="Q178" s="13">
        <f>P178*15%</f>
        <v/>
      </c>
      <c r="R178" s="13">
        <f>O178-P178</f>
        <v/>
      </c>
      <c r="S178" s="26" t="inlineStr">
        <is>
          <t>Care Gap Health</t>
        </is>
      </c>
      <c r="T178" s="26" t="inlineStr">
        <is>
          <t>Care Gap Value PPO</t>
        </is>
      </c>
      <c r="U178" s="26" t="n"/>
      <c r="V178" s="26" t="inlineStr">
        <is>
          <t>Eleanor Brooks, MD</t>
        </is>
      </c>
      <c r="W178" s="26" t="inlineStr">
        <is>
          <t>Assigned Department Provider</t>
        </is>
      </c>
      <c r="X178" s="26" t="inlineStr">
        <is>
          <t>ED</t>
        </is>
      </c>
      <c r="Y178" s="26" t="inlineStr">
        <is>
          <t>Encounter close</t>
        </is>
      </c>
      <c r="Z178" s="26" t="inlineStr">
        <is>
          <t>Hold</t>
        </is>
      </c>
      <c r="AA178" s="26" t="inlineStr">
        <is>
          <t>Exception</t>
        </is>
      </c>
      <c r="AB178" s="26" t="inlineStr">
        <is>
          <t>Review</t>
        </is>
      </c>
      <c r="AC178" s="26" t="inlineStr">
        <is>
          <t>WQ-EME-04</t>
        </is>
      </c>
      <c r="AD178" s="26" t="inlineStr">
        <is>
          <t>Documentation</t>
        </is>
      </c>
      <c r="AE178" s="26" t="inlineStr">
        <is>
          <t>R10.9</t>
        </is>
      </c>
      <c r="AF178" s="26" t="inlineStr">
        <is>
          <t>22</t>
        </is>
      </c>
      <c r="AG178" s="26" t="inlineStr">
        <is>
          <t>2026-09-13 16:30</t>
        </is>
      </c>
      <c r="AH178" s="26" t="inlineStr">
        <is>
          <t>Synthetic Care Gap charge; 10% below Athena allowed amount</t>
        </is>
      </c>
    </row>
    <row r="179">
      <c r="A179" s="26" t="inlineStr">
        <is>
          <t>OPD-CHG-0088-ATH</t>
        </is>
      </c>
      <c r="B179" s="26" t="inlineStr">
        <is>
          <t>OP-202600088-ATH</t>
        </is>
      </c>
      <c r="C179" s="26" t="inlineStr">
        <is>
          <t>CSN-OPD-780088-ATH</t>
        </is>
      </c>
      <c r="D179" s="26" t="inlineStr">
        <is>
          <t>Outpatient</t>
        </is>
      </c>
      <c r="E179" s="26" t="inlineStr">
        <is>
          <t>Demo Regional Medical Center</t>
        </is>
      </c>
      <c r="F179" s="26" t="inlineStr">
        <is>
          <t>Emergency Department</t>
        </is>
      </c>
      <c r="G179" s="26" t="inlineStr">
        <is>
          <t>2026-09-14</t>
        </is>
      </c>
      <c r="H179" s="26" t="inlineStr">
        <is>
          <t>ED-LEVEL-4</t>
        </is>
      </c>
      <c r="I179" s="26" t="inlineStr">
        <is>
          <t>Emergency Department Visit Level 4</t>
        </is>
      </c>
      <c r="J179" s="26" t="inlineStr">
        <is>
          <t>0450</t>
        </is>
      </c>
      <c r="K179" s="26" t="inlineStr">
        <is>
          <t>99284</t>
        </is>
      </c>
      <c r="L179" s="26" t="n"/>
      <c r="M179" s="26" t="n">
        <v>1</v>
      </c>
      <c r="N179" s="13" t="n">
        <v>2350</v>
      </c>
      <c r="O179" s="13">
        <f>M179*N179</f>
        <v/>
      </c>
      <c r="P179" s="13" t="n">
        <v>1282.55</v>
      </c>
      <c r="Q179" s="13">
        <f>P179*20%</f>
        <v/>
      </c>
      <c r="R179" s="13">
        <f>O179-P179</f>
        <v/>
      </c>
      <c r="S179" s="26" t="inlineStr">
        <is>
          <t>Athena Health Insurance</t>
        </is>
      </c>
      <c r="T179" s="26" t="inlineStr">
        <is>
          <t>Athena PPO</t>
        </is>
      </c>
      <c r="U179" s="26" t="n"/>
      <c r="V179" s="26" t="inlineStr">
        <is>
          <t>Eleanor Brooks, MD</t>
        </is>
      </c>
      <c r="W179" s="26" t="inlineStr">
        <is>
          <t>Assigned Department Provider</t>
        </is>
      </c>
      <c r="X179" s="26" t="inlineStr">
        <is>
          <t>ED</t>
        </is>
      </c>
      <c r="Y179" s="26" t="inlineStr">
        <is>
          <t>Encounter close</t>
        </is>
      </c>
      <c r="Z179" s="26" t="inlineStr">
        <is>
          <t>Posted</t>
        </is>
      </c>
      <c r="AA179" s="26" t="inlineStr">
        <is>
          <t>Matched</t>
        </is>
      </c>
      <c r="AB179" s="26" t="inlineStr">
        <is>
          <t>Passed</t>
        </is>
      </c>
      <c r="AC179" s="26" t="n"/>
      <c r="AD179" s="26" t="inlineStr">
        <is>
          <t>Documentation</t>
        </is>
      </c>
      <c r="AE179" s="26" t="inlineStr">
        <is>
          <t>R06.02</t>
        </is>
      </c>
      <c r="AF179" s="26" t="inlineStr">
        <is>
          <t>22</t>
        </is>
      </c>
      <c r="AG179" s="26" t="inlineStr">
        <is>
          <t>2026-09-14 16:30</t>
        </is>
      </c>
      <c r="AH179" s="26" t="inlineStr">
        <is>
          <t>Synthetic Athena negotiated charge</t>
        </is>
      </c>
    </row>
    <row r="180">
      <c r="A180" s="26" t="inlineStr">
        <is>
          <t>OPD-CHG-0088-CGH</t>
        </is>
      </c>
      <c r="B180" s="26" t="inlineStr">
        <is>
          <t>OP-202600088-CGH</t>
        </is>
      </c>
      <c r="C180" s="26" t="inlineStr">
        <is>
          <t>CSN-OPD-780088-CGH</t>
        </is>
      </c>
      <c r="D180" s="26" t="inlineStr">
        <is>
          <t>Outpatient</t>
        </is>
      </c>
      <c r="E180" s="26" t="inlineStr">
        <is>
          <t>Demo Regional Medical Center</t>
        </is>
      </c>
      <c r="F180" s="26" t="inlineStr">
        <is>
          <t>Emergency Department</t>
        </is>
      </c>
      <c r="G180" s="26" t="inlineStr">
        <is>
          <t>2026-09-14</t>
        </is>
      </c>
      <c r="H180" s="26" t="inlineStr">
        <is>
          <t>ED-LEVEL-4</t>
        </is>
      </c>
      <c r="I180" s="26" t="inlineStr">
        <is>
          <t>Emergency Department Visit Level 4</t>
        </is>
      </c>
      <c r="J180" s="26" t="inlineStr">
        <is>
          <t>0450</t>
        </is>
      </c>
      <c r="K180" s="26" t="inlineStr">
        <is>
          <t>99284</t>
        </is>
      </c>
      <c r="L180" s="26" t="n"/>
      <c r="M180" s="26" t="n">
        <v>1</v>
      </c>
      <c r="N180" s="13" t="n">
        <v>2350</v>
      </c>
      <c r="O180" s="13">
        <f>M180*N180</f>
        <v/>
      </c>
      <c r="P180" s="13" t="n">
        <v>1154.3</v>
      </c>
      <c r="Q180" s="13">
        <f>P180*15%</f>
        <v/>
      </c>
      <c r="R180" s="13">
        <f>O180-P180</f>
        <v/>
      </c>
      <c r="S180" s="26" t="inlineStr">
        <is>
          <t>Care Gap Health</t>
        </is>
      </c>
      <c r="T180" s="26" t="inlineStr">
        <is>
          <t>Care Gap Value PPO</t>
        </is>
      </c>
      <c r="U180" s="26" t="n"/>
      <c r="V180" s="26" t="inlineStr">
        <is>
          <t>Eleanor Brooks, MD</t>
        </is>
      </c>
      <c r="W180" s="26" t="inlineStr">
        <is>
          <t>Assigned Department Provider</t>
        </is>
      </c>
      <c r="X180" s="26" t="inlineStr">
        <is>
          <t>ED</t>
        </is>
      </c>
      <c r="Y180" s="26" t="inlineStr">
        <is>
          <t>Encounter close</t>
        </is>
      </c>
      <c r="Z180" s="26" t="inlineStr">
        <is>
          <t>Posted</t>
        </is>
      </c>
      <c r="AA180" s="26" t="inlineStr">
        <is>
          <t>Matched</t>
        </is>
      </c>
      <c r="AB180" s="26" t="inlineStr">
        <is>
          <t>Passed</t>
        </is>
      </c>
      <c r="AC180" s="26" t="n"/>
      <c r="AD180" s="26" t="inlineStr">
        <is>
          <t>Documentation</t>
        </is>
      </c>
      <c r="AE180" s="26" t="inlineStr">
        <is>
          <t>R06.02</t>
        </is>
      </c>
      <c r="AF180" s="26" t="inlineStr">
        <is>
          <t>22</t>
        </is>
      </c>
      <c r="AG180" s="26" t="inlineStr">
        <is>
          <t>2026-09-14 16:30</t>
        </is>
      </c>
      <c r="AH180" s="26" t="inlineStr">
        <is>
          <t>Synthetic Care Gap charge; 10% below Athena allowed amount</t>
        </is>
      </c>
    </row>
    <row r="181">
      <c r="A181" s="26" t="inlineStr">
        <is>
          <t>OPD-CHG-0089-ATH</t>
        </is>
      </c>
      <c r="B181" s="26" t="inlineStr">
        <is>
          <t>OP-202600089-ATH</t>
        </is>
      </c>
      <c r="C181" s="26" t="inlineStr">
        <is>
          <t>CSN-OPD-780089-ATH</t>
        </is>
      </c>
      <c r="D181" s="26" t="inlineStr">
        <is>
          <t>Outpatient</t>
        </is>
      </c>
      <c r="E181" s="26" t="inlineStr">
        <is>
          <t>Demo Regional Medical Center</t>
        </is>
      </c>
      <c r="F181" s="26" t="inlineStr">
        <is>
          <t>Emergency Department</t>
        </is>
      </c>
      <c r="G181" s="26" t="inlineStr">
        <is>
          <t>2026-09-15</t>
        </is>
      </c>
      <c r="H181" s="26" t="inlineStr">
        <is>
          <t>ED-LEVEL-5</t>
        </is>
      </c>
      <c r="I181" s="26" t="inlineStr">
        <is>
          <t>Emergency Department Visit Level 5</t>
        </is>
      </c>
      <c r="J181" s="26" t="inlineStr">
        <is>
          <t>0450</t>
        </is>
      </c>
      <c r="K181" s="26" t="inlineStr">
        <is>
          <t>99285</t>
        </is>
      </c>
      <c r="L181" s="26" t="n"/>
      <c r="M181" s="26" t="n">
        <v>1</v>
      </c>
      <c r="N181" s="13" t="n">
        <v>4300</v>
      </c>
      <c r="O181" s="13">
        <f>M181*N181</f>
        <v/>
      </c>
      <c r="P181" s="13" t="n">
        <v>2558.94</v>
      </c>
      <c r="Q181" s="13">
        <f>P181*20%</f>
        <v/>
      </c>
      <c r="R181" s="13">
        <f>O181-P181</f>
        <v/>
      </c>
      <c r="S181" s="26" t="inlineStr">
        <is>
          <t>Athena Health Insurance</t>
        </is>
      </c>
      <c r="T181" s="26" t="inlineStr">
        <is>
          <t>Athena PPO</t>
        </is>
      </c>
      <c r="U181" s="26" t="n"/>
      <c r="V181" s="26" t="inlineStr">
        <is>
          <t>Eleanor Brooks, MD</t>
        </is>
      </c>
      <c r="W181" s="26" t="inlineStr">
        <is>
          <t>Assigned Department Provider</t>
        </is>
      </c>
      <c r="X181" s="26" t="inlineStr">
        <is>
          <t>ED</t>
        </is>
      </c>
      <c r="Y181" s="26" t="inlineStr">
        <is>
          <t>Encounter close</t>
        </is>
      </c>
      <c r="Z181" s="26" t="inlineStr">
        <is>
          <t>Posted</t>
        </is>
      </c>
      <c r="AA181" s="26" t="inlineStr">
        <is>
          <t>Matched</t>
        </is>
      </c>
      <c r="AB181" s="26" t="inlineStr">
        <is>
          <t>Passed</t>
        </is>
      </c>
      <c r="AC181" s="26" t="n"/>
      <c r="AD181" s="26" t="inlineStr">
        <is>
          <t>Documentation</t>
        </is>
      </c>
      <c r="AE181" s="26" t="inlineStr">
        <is>
          <t>R07.9</t>
        </is>
      </c>
      <c r="AF181" s="26" t="inlineStr">
        <is>
          <t>22</t>
        </is>
      </c>
      <c r="AG181" s="26" t="inlineStr">
        <is>
          <t>2026-09-15 16:30</t>
        </is>
      </c>
      <c r="AH181" s="26" t="inlineStr">
        <is>
          <t>Synthetic Athena negotiated charge</t>
        </is>
      </c>
    </row>
    <row r="182">
      <c r="A182" s="26" t="inlineStr">
        <is>
          <t>OPD-CHG-0089-CGH</t>
        </is>
      </c>
      <c r="B182" s="26" t="inlineStr">
        <is>
          <t>OP-202600089-CGH</t>
        </is>
      </c>
      <c r="C182" s="26" t="inlineStr">
        <is>
          <t>CSN-OPD-780089-CGH</t>
        </is>
      </c>
      <c r="D182" s="26" t="inlineStr">
        <is>
          <t>Outpatient</t>
        </is>
      </c>
      <c r="E182" s="26" t="inlineStr">
        <is>
          <t>Demo Regional Medical Center</t>
        </is>
      </c>
      <c r="F182" s="26" t="inlineStr">
        <is>
          <t>Emergency Department</t>
        </is>
      </c>
      <c r="G182" s="26" t="inlineStr">
        <is>
          <t>2026-09-15</t>
        </is>
      </c>
      <c r="H182" s="26" t="inlineStr">
        <is>
          <t>ED-LEVEL-5</t>
        </is>
      </c>
      <c r="I182" s="26" t="inlineStr">
        <is>
          <t>Emergency Department Visit Level 5</t>
        </is>
      </c>
      <c r="J182" s="26" t="inlineStr">
        <is>
          <t>0450</t>
        </is>
      </c>
      <c r="K182" s="26" t="inlineStr">
        <is>
          <t>99285</t>
        </is>
      </c>
      <c r="L182" s="26" t="n"/>
      <c r="M182" s="26" t="n">
        <v>1</v>
      </c>
      <c r="N182" s="13" t="n">
        <v>4300</v>
      </c>
      <c r="O182" s="13">
        <f>M182*N182</f>
        <v/>
      </c>
      <c r="P182" s="13" t="n">
        <v>2303.05</v>
      </c>
      <c r="Q182" s="13">
        <f>P182*15%</f>
        <v/>
      </c>
      <c r="R182" s="13">
        <f>O182-P182</f>
        <v/>
      </c>
      <c r="S182" s="26" t="inlineStr">
        <is>
          <t>Care Gap Health</t>
        </is>
      </c>
      <c r="T182" s="26" t="inlineStr">
        <is>
          <t>Care Gap Value PPO</t>
        </is>
      </c>
      <c r="U182" s="26" t="n"/>
      <c r="V182" s="26" t="inlineStr">
        <is>
          <t>Eleanor Brooks, MD</t>
        </is>
      </c>
      <c r="W182" s="26" t="inlineStr">
        <is>
          <t>Assigned Department Provider</t>
        </is>
      </c>
      <c r="X182" s="26" t="inlineStr">
        <is>
          <t>ED</t>
        </is>
      </c>
      <c r="Y182" s="26" t="inlineStr">
        <is>
          <t>Encounter close</t>
        </is>
      </c>
      <c r="Z182" s="26" t="inlineStr">
        <is>
          <t>Posted</t>
        </is>
      </c>
      <c r="AA182" s="26" t="inlineStr">
        <is>
          <t>Matched</t>
        </is>
      </c>
      <c r="AB182" s="26" t="inlineStr">
        <is>
          <t>Passed</t>
        </is>
      </c>
      <c r="AC182" s="26" t="n"/>
      <c r="AD182" s="26" t="inlineStr">
        <is>
          <t>Documentation</t>
        </is>
      </c>
      <c r="AE182" s="26" t="inlineStr">
        <is>
          <t>R07.9</t>
        </is>
      </c>
      <c r="AF182" s="26" t="inlineStr">
        <is>
          <t>22</t>
        </is>
      </c>
      <c r="AG182" s="26" t="inlineStr">
        <is>
          <t>2026-09-15 16:30</t>
        </is>
      </c>
      <c r="AH182" s="26" t="inlineStr">
        <is>
          <t>Synthetic Care Gap charge; 10% below Athena allowed amount</t>
        </is>
      </c>
    </row>
    <row r="183">
      <c r="A183" s="26" t="inlineStr">
        <is>
          <t>OPD-CHG-0090-ATH</t>
        </is>
      </c>
      <c r="B183" s="26" t="inlineStr">
        <is>
          <t>OP-202600090-ATH</t>
        </is>
      </c>
      <c r="C183" s="26" t="inlineStr">
        <is>
          <t>CSN-OPD-780090-ATH</t>
        </is>
      </c>
      <c r="D183" s="26" t="inlineStr">
        <is>
          <t>Outpatient</t>
        </is>
      </c>
      <c r="E183" s="26" t="inlineStr">
        <is>
          <t>Demo Regional Medical Center</t>
        </is>
      </c>
      <c r="F183" s="26" t="inlineStr">
        <is>
          <t>Hospital Clinic</t>
        </is>
      </c>
      <c r="G183" s="26" t="inlineStr">
        <is>
          <t>2026-09-16</t>
        </is>
      </c>
      <c r="H183" s="26" t="inlineStr">
        <is>
          <t>CLINIC-L2</t>
        </is>
      </c>
      <c r="I183" s="26" t="inlineStr">
        <is>
          <t>Hospital Outpatient Clinic Visit Level 2</t>
        </is>
      </c>
      <c r="J183" s="26" t="inlineStr">
        <is>
          <t>0510</t>
        </is>
      </c>
      <c r="K183" s="26" t="inlineStr">
        <is>
          <t>99212</t>
        </is>
      </c>
      <c r="L183" s="26" t="n"/>
      <c r="M183" s="26" t="n">
        <v>1</v>
      </c>
      <c r="N183" s="13" t="n">
        <v>215</v>
      </c>
      <c r="O183" s="13">
        <f>M183*N183</f>
        <v/>
      </c>
      <c r="P183" s="13" t="n">
        <v>124.02</v>
      </c>
      <c r="Q183" s="13">
        <f>P183*20%</f>
        <v/>
      </c>
      <c r="R183" s="13">
        <f>O183-P183</f>
        <v/>
      </c>
      <c r="S183" s="26" t="inlineStr">
        <is>
          <t>Athena Health Insurance</t>
        </is>
      </c>
      <c r="T183" s="26" t="inlineStr">
        <is>
          <t>Athena PPO</t>
        </is>
      </c>
      <c r="U183" s="26" t="n"/>
      <c r="V183" s="26" t="inlineStr">
        <is>
          <t>Eleanor Brooks, MD</t>
        </is>
      </c>
      <c r="W183" s="26" t="inlineStr">
        <is>
          <t>Assigned Department Provider</t>
        </is>
      </c>
      <c r="X183" s="26" t="inlineStr">
        <is>
          <t>Ambulatory</t>
        </is>
      </c>
      <c r="Y183" s="26" t="inlineStr">
        <is>
          <t>Visit close</t>
        </is>
      </c>
      <c r="Z183" s="26" t="inlineStr">
        <is>
          <t>Posted</t>
        </is>
      </c>
      <c r="AA183" s="26" t="inlineStr">
        <is>
          <t>Matched</t>
        </is>
      </c>
      <c r="AB183" s="26" t="inlineStr">
        <is>
          <t>Passed</t>
        </is>
      </c>
      <c r="AC183" s="26" t="n"/>
      <c r="AD183" s="26" t="inlineStr">
        <is>
          <t>E/M documentation</t>
        </is>
      </c>
      <c r="AE183" s="26" t="inlineStr">
        <is>
          <t>I10</t>
        </is>
      </c>
      <c r="AF183" s="26" t="inlineStr">
        <is>
          <t>22</t>
        </is>
      </c>
      <c r="AG183" s="26" t="inlineStr">
        <is>
          <t>2026-09-16 16:30</t>
        </is>
      </c>
      <c r="AH183" s="26" t="inlineStr">
        <is>
          <t>Synthetic Athena negotiated charge</t>
        </is>
      </c>
    </row>
    <row r="184">
      <c r="A184" s="26" t="inlineStr">
        <is>
          <t>OPD-CHG-0090-CGH</t>
        </is>
      </c>
      <c r="B184" s="26" t="inlineStr">
        <is>
          <t>OP-202600090-CGH</t>
        </is>
      </c>
      <c r="C184" s="26" t="inlineStr">
        <is>
          <t>CSN-OPD-780090-CGH</t>
        </is>
      </c>
      <c r="D184" s="26" t="inlineStr">
        <is>
          <t>Outpatient</t>
        </is>
      </c>
      <c r="E184" s="26" t="inlineStr">
        <is>
          <t>Demo Regional Medical Center</t>
        </is>
      </c>
      <c r="F184" s="26" t="inlineStr">
        <is>
          <t>Hospital Clinic</t>
        </is>
      </c>
      <c r="G184" s="26" t="inlineStr">
        <is>
          <t>2026-09-16</t>
        </is>
      </c>
      <c r="H184" s="26" t="inlineStr">
        <is>
          <t>CLINIC-L2</t>
        </is>
      </c>
      <c r="I184" s="26" t="inlineStr">
        <is>
          <t>Hospital Outpatient Clinic Visit Level 2</t>
        </is>
      </c>
      <c r="J184" s="26" t="inlineStr">
        <is>
          <t>0510</t>
        </is>
      </c>
      <c r="K184" s="26" t="inlineStr">
        <is>
          <t>99212</t>
        </is>
      </c>
      <c r="L184" s="26" t="n"/>
      <c r="M184" s="26" t="n">
        <v>1</v>
      </c>
      <c r="N184" s="13" t="n">
        <v>215</v>
      </c>
      <c r="O184" s="13">
        <f>M184*N184</f>
        <v/>
      </c>
      <c r="P184" s="13" t="n">
        <v>111.62</v>
      </c>
      <c r="Q184" s="13">
        <f>P184*15%</f>
        <v/>
      </c>
      <c r="R184" s="13">
        <f>O184-P184</f>
        <v/>
      </c>
      <c r="S184" s="26" t="inlineStr">
        <is>
          <t>Care Gap Health</t>
        </is>
      </c>
      <c r="T184" s="26" t="inlineStr">
        <is>
          <t>Care Gap Value PPO</t>
        </is>
      </c>
      <c r="U184" s="26" t="n"/>
      <c r="V184" s="26" t="inlineStr">
        <is>
          <t>Eleanor Brooks, MD</t>
        </is>
      </c>
      <c r="W184" s="26" t="inlineStr">
        <is>
          <t>Assigned Department Provider</t>
        </is>
      </c>
      <c r="X184" s="26" t="inlineStr">
        <is>
          <t>Ambulatory</t>
        </is>
      </c>
      <c r="Y184" s="26" t="inlineStr">
        <is>
          <t>Visit close</t>
        </is>
      </c>
      <c r="Z184" s="26" t="inlineStr">
        <is>
          <t>Posted</t>
        </is>
      </c>
      <c r="AA184" s="26" t="inlineStr">
        <is>
          <t>Matched</t>
        </is>
      </c>
      <c r="AB184" s="26" t="inlineStr">
        <is>
          <t>Passed</t>
        </is>
      </c>
      <c r="AC184" s="26" t="n"/>
      <c r="AD184" s="26" t="inlineStr">
        <is>
          <t>E/M documentation</t>
        </is>
      </c>
      <c r="AE184" s="26" t="inlineStr">
        <is>
          <t>I10</t>
        </is>
      </c>
      <c r="AF184" s="26" t="inlineStr">
        <is>
          <t>22</t>
        </is>
      </c>
      <c r="AG184" s="26" t="inlineStr">
        <is>
          <t>2026-09-16 16:30</t>
        </is>
      </c>
      <c r="AH184" s="26" t="inlineStr">
        <is>
          <t>Synthetic Care Gap charge; 10% below Athena allowed amount</t>
        </is>
      </c>
    </row>
    <row r="185">
      <c r="A185" s="26" t="inlineStr">
        <is>
          <t>OPD-CHG-0091-ATH</t>
        </is>
      </c>
      <c r="B185" s="26" t="inlineStr">
        <is>
          <t>OP-202600091-ATH</t>
        </is>
      </c>
      <c r="C185" s="26" t="inlineStr">
        <is>
          <t>CSN-OPD-780091-ATH</t>
        </is>
      </c>
      <c r="D185" s="26" t="inlineStr">
        <is>
          <t>Outpatient</t>
        </is>
      </c>
      <c r="E185" s="26" t="inlineStr">
        <is>
          <t>Demo Regional Medical Center</t>
        </is>
      </c>
      <c r="F185" s="26" t="inlineStr">
        <is>
          <t>Hospital Clinic</t>
        </is>
      </c>
      <c r="G185" s="26" t="inlineStr">
        <is>
          <t>2026-09-17</t>
        </is>
      </c>
      <c r="H185" s="26" t="inlineStr">
        <is>
          <t>CLINIC-L3</t>
        </is>
      </c>
      <c r="I185" s="26" t="inlineStr">
        <is>
          <t>Hospital Outpatient Clinic Visit Level 3</t>
        </is>
      </c>
      <c r="J185" s="26" t="inlineStr">
        <is>
          <t>0510</t>
        </is>
      </c>
      <c r="K185" s="26" t="inlineStr">
        <is>
          <t>99213</t>
        </is>
      </c>
      <c r="L185" s="26" t="n"/>
      <c r="M185" s="26" t="n">
        <v>1</v>
      </c>
      <c r="N185" s="13" t="n">
        <v>315</v>
      </c>
      <c r="O185" s="13">
        <f>M185*N185</f>
        <v/>
      </c>
      <c r="P185" s="13" t="n">
        <v>220.63</v>
      </c>
      <c r="Q185" s="13">
        <f>P185*20%</f>
        <v/>
      </c>
      <c r="R185" s="13">
        <f>O185-P185</f>
        <v/>
      </c>
      <c r="S185" s="26" t="inlineStr">
        <is>
          <t>Athena Health Insurance</t>
        </is>
      </c>
      <c r="T185" s="26" t="inlineStr">
        <is>
          <t>Athena PPO</t>
        </is>
      </c>
      <c r="U185" s="26" t="n"/>
      <c r="V185" s="26" t="inlineStr">
        <is>
          <t>Eleanor Brooks, MD</t>
        </is>
      </c>
      <c r="W185" s="26" t="inlineStr">
        <is>
          <t>Assigned Department Provider</t>
        </is>
      </c>
      <c r="X185" s="26" t="inlineStr">
        <is>
          <t>Ambulatory</t>
        </is>
      </c>
      <c r="Y185" s="26" t="inlineStr">
        <is>
          <t>Visit close</t>
        </is>
      </c>
      <c r="Z185" s="26" t="inlineStr">
        <is>
          <t>Posted</t>
        </is>
      </c>
      <c r="AA185" s="26" t="inlineStr">
        <is>
          <t>Matched</t>
        </is>
      </c>
      <c r="AB185" s="26" t="inlineStr">
        <is>
          <t>Passed</t>
        </is>
      </c>
      <c r="AC185" s="26" t="n"/>
      <c r="AD185" s="26" t="inlineStr">
        <is>
          <t>E/M documentation</t>
        </is>
      </c>
      <c r="AE185" s="26" t="inlineStr">
        <is>
          <t>E11.9</t>
        </is>
      </c>
      <c r="AF185" s="26" t="inlineStr">
        <is>
          <t>22</t>
        </is>
      </c>
      <c r="AG185" s="26" t="inlineStr">
        <is>
          <t>2026-09-17 16:30</t>
        </is>
      </c>
      <c r="AH185" s="26" t="inlineStr">
        <is>
          <t>Synthetic Athena negotiated charge</t>
        </is>
      </c>
    </row>
    <row r="186">
      <c r="A186" s="26" t="inlineStr">
        <is>
          <t>OPD-CHG-0091-CGH</t>
        </is>
      </c>
      <c r="B186" s="26" t="inlineStr">
        <is>
          <t>OP-202600091-CGH</t>
        </is>
      </c>
      <c r="C186" s="26" t="inlineStr">
        <is>
          <t>CSN-OPD-780091-CGH</t>
        </is>
      </c>
      <c r="D186" s="26" t="inlineStr">
        <is>
          <t>Outpatient</t>
        </is>
      </c>
      <c r="E186" s="26" t="inlineStr">
        <is>
          <t>Demo Regional Medical Center</t>
        </is>
      </c>
      <c r="F186" s="26" t="inlineStr">
        <is>
          <t>Hospital Clinic</t>
        </is>
      </c>
      <c r="G186" s="26" t="inlineStr">
        <is>
          <t>2026-09-17</t>
        </is>
      </c>
      <c r="H186" s="26" t="inlineStr">
        <is>
          <t>CLINIC-L3</t>
        </is>
      </c>
      <c r="I186" s="26" t="inlineStr">
        <is>
          <t>Hospital Outpatient Clinic Visit Level 3</t>
        </is>
      </c>
      <c r="J186" s="26" t="inlineStr">
        <is>
          <t>0510</t>
        </is>
      </c>
      <c r="K186" s="26" t="inlineStr">
        <is>
          <t>99213</t>
        </is>
      </c>
      <c r="L186" s="26" t="n"/>
      <c r="M186" s="26" t="n">
        <v>1</v>
      </c>
      <c r="N186" s="13" t="n">
        <v>315</v>
      </c>
      <c r="O186" s="13">
        <f>M186*N186</f>
        <v/>
      </c>
      <c r="P186" s="13" t="n">
        <v>198.57</v>
      </c>
      <c r="Q186" s="13">
        <f>P186*15%</f>
        <v/>
      </c>
      <c r="R186" s="13">
        <f>O186-P186</f>
        <v/>
      </c>
      <c r="S186" s="26" t="inlineStr">
        <is>
          <t>Care Gap Health</t>
        </is>
      </c>
      <c r="T186" s="26" t="inlineStr">
        <is>
          <t>Care Gap Value PPO</t>
        </is>
      </c>
      <c r="U186" s="26" t="n"/>
      <c r="V186" s="26" t="inlineStr">
        <is>
          <t>Eleanor Brooks, MD</t>
        </is>
      </c>
      <c r="W186" s="26" t="inlineStr">
        <is>
          <t>Assigned Department Provider</t>
        </is>
      </c>
      <c r="X186" s="26" t="inlineStr">
        <is>
          <t>Ambulatory</t>
        </is>
      </c>
      <c r="Y186" s="26" t="inlineStr">
        <is>
          <t>Visit close</t>
        </is>
      </c>
      <c r="Z186" s="26" t="inlineStr">
        <is>
          <t>Posted</t>
        </is>
      </c>
      <c r="AA186" s="26" t="inlineStr">
        <is>
          <t>Matched</t>
        </is>
      </c>
      <c r="AB186" s="26" t="inlineStr">
        <is>
          <t>Passed</t>
        </is>
      </c>
      <c r="AC186" s="26" t="n"/>
      <c r="AD186" s="26" t="inlineStr">
        <is>
          <t>E/M documentation</t>
        </is>
      </c>
      <c r="AE186" s="26" t="inlineStr">
        <is>
          <t>E11.9</t>
        </is>
      </c>
      <c r="AF186" s="26" t="inlineStr">
        <is>
          <t>22</t>
        </is>
      </c>
      <c r="AG186" s="26" t="inlineStr">
        <is>
          <t>2026-09-17 16:30</t>
        </is>
      </c>
      <c r="AH186" s="26" t="inlineStr">
        <is>
          <t>Synthetic Care Gap charge; 10% below Athena allowed amount</t>
        </is>
      </c>
    </row>
    <row r="187">
      <c r="A187" s="26" t="inlineStr">
        <is>
          <t>OPD-CHG-0092-ATH</t>
        </is>
      </c>
      <c r="B187" s="26" t="inlineStr">
        <is>
          <t>OP-202600092-ATH</t>
        </is>
      </c>
      <c r="C187" s="26" t="inlineStr">
        <is>
          <t>CSN-OPD-780092-ATH</t>
        </is>
      </c>
      <c r="D187" s="26" t="inlineStr">
        <is>
          <t>Outpatient</t>
        </is>
      </c>
      <c r="E187" s="26" t="inlineStr">
        <is>
          <t>Demo Regional Medical Center</t>
        </is>
      </c>
      <c r="F187" s="26" t="inlineStr">
        <is>
          <t>Hospital Clinic</t>
        </is>
      </c>
      <c r="G187" s="26" t="inlineStr">
        <is>
          <t>2026-09-18</t>
        </is>
      </c>
      <c r="H187" s="26" t="inlineStr">
        <is>
          <t>CLINIC-L4</t>
        </is>
      </c>
      <c r="I187" s="26" t="inlineStr">
        <is>
          <t>Hospital Outpatient Clinic Visit Level 4</t>
        </is>
      </c>
      <c r="J187" s="26" t="inlineStr">
        <is>
          <t>0510</t>
        </is>
      </c>
      <c r="K187" s="26" t="inlineStr">
        <is>
          <t>99214</t>
        </is>
      </c>
      <c r="L187" s="26" t="n"/>
      <c r="M187" s="26" t="n">
        <v>1</v>
      </c>
      <c r="N187" s="13" t="n">
        <v>410</v>
      </c>
      <c r="O187" s="13">
        <f>M187*N187</f>
        <v/>
      </c>
      <c r="P187" s="13" t="n">
        <v>197.32</v>
      </c>
      <c r="Q187" s="13">
        <f>P187*20%</f>
        <v/>
      </c>
      <c r="R187" s="13">
        <f>O187-P187</f>
        <v/>
      </c>
      <c r="S187" s="26" t="inlineStr">
        <is>
          <t>Athena Health Insurance</t>
        </is>
      </c>
      <c r="T187" s="26" t="inlineStr">
        <is>
          <t>Athena PPO</t>
        </is>
      </c>
      <c r="U187" s="26" t="n"/>
      <c r="V187" s="26" t="inlineStr">
        <is>
          <t>Eleanor Brooks, MD</t>
        </is>
      </c>
      <c r="W187" s="26" t="inlineStr">
        <is>
          <t>Assigned Department Provider</t>
        </is>
      </c>
      <c r="X187" s="26" t="inlineStr">
        <is>
          <t>Ambulatory</t>
        </is>
      </c>
      <c r="Y187" s="26" t="inlineStr">
        <is>
          <t>Visit close</t>
        </is>
      </c>
      <c r="Z187" s="26" t="inlineStr">
        <is>
          <t>Posted</t>
        </is>
      </c>
      <c r="AA187" s="26" t="inlineStr">
        <is>
          <t>Matched</t>
        </is>
      </c>
      <c r="AB187" s="26" t="inlineStr">
        <is>
          <t>Review</t>
        </is>
      </c>
      <c r="AC187" s="26" t="inlineStr">
        <is>
          <t>WQ-HOS-01</t>
        </is>
      </c>
      <c r="AD187" s="26" t="inlineStr">
        <is>
          <t>E/M documentation</t>
        </is>
      </c>
      <c r="AE187" s="26" t="inlineStr">
        <is>
          <t>J45.40</t>
        </is>
      </c>
      <c r="AF187" s="26" t="inlineStr">
        <is>
          <t>22</t>
        </is>
      </c>
      <c r="AG187" s="26" t="inlineStr">
        <is>
          <t>2026-09-18 16:30</t>
        </is>
      </c>
      <c r="AH187" s="26" t="inlineStr">
        <is>
          <t>Synthetic Athena negotiated charge</t>
        </is>
      </c>
    </row>
    <row r="188">
      <c r="A188" s="26" t="inlineStr">
        <is>
          <t>OPD-CHG-0092-CGH</t>
        </is>
      </c>
      <c r="B188" s="26" t="inlineStr">
        <is>
          <t>OP-202600092-CGH</t>
        </is>
      </c>
      <c r="C188" s="26" t="inlineStr">
        <is>
          <t>CSN-OPD-780092-CGH</t>
        </is>
      </c>
      <c r="D188" s="26" t="inlineStr">
        <is>
          <t>Outpatient</t>
        </is>
      </c>
      <c r="E188" s="26" t="inlineStr">
        <is>
          <t>Demo Regional Medical Center</t>
        </is>
      </c>
      <c r="F188" s="26" t="inlineStr">
        <is>
          <t>Hospital Clinic</t>
        </is>
      </c>
      <c r="G188" s="26" t="inlineStr">
        <is>
          <t>2026-09-18</t>
        </is>
      </c>
      <c r="H188" s="26" t="inlineStr">
        <is>
          <t>CLINIC-L4</t>
        </is>
      </c>
      <c r="I188" s="26" t="inlineStr">
        <is>
          <t>Hospital Outpatient Clinic Visit Level 4</t>
        </is>
      </c>
      <c r="J188" s="26" t="inlineStr">
        <is>
          <t>0510</t>
        </is>
      </c>
      <c r="K188" s="26" t="inlineStr">
        <is>
          <t>99214</t>
        </is>
      </c>
      <c r="L188" s="26" t="n"/>
      <c r="M188" s="26" t="n">
        <v>1</v>
      </c>
      <c r="N188" s="13" t="n">
        <v>410</v>
      </c>
      <c r="O188" s="13">
        <f>M188*N188</f>
        <v/>
      </c>
      <c r="P188" s="13" t="n">
        <v>177.59</v>
      </c>
      <c r="Q188" s="13">
        <f>P188*15%</f>
        <v/>
      </c>
      <c r="R188" s="13">
        <f>O188-P188</f>
        <v/>
      </c>
      <c r="S188" s="26" t="inlineStr">
        <is>
          <t>Care Gap Health</t>
        </is>
      </c>
      <c r="T188" s="26" t="inlineStr">
        <is>
          <t>Care Gap Value PPO</t>
        </is>
      </c>
      <c r="U188" s="26" t="n"/>
      <c r="V188" s="26" t="inlineStr">
        <is>
          <t>Eleanor Brooks, MD</t>
        </is>
      </c>
      <c r="W188" s="26" t="inlineStr">
        <is>
          <t>Assigned Department Provider</t>
        </is>
      </c>
      <c r="X188" s="26" t="inlineStr">
        <is>
          <t>Ambulatory</t>
        </is>
      </c>
      <c r="Y188" s="26" t="inlineStr">
        <is>
          <t>Visit close</t>
        </is>
      </c>
      <c r="Z188" s="26" t="inlineStr">
        <is>
          <t>Posted</t>
        </is>
      </c>
      <c r="AA188" s="26" t="inlineStr">
        <is>
          <t>Matched</t>
        </is>
      </c>
      <c r="AB188" s="26" t="inlineStr">
        <is>
          <t>Review</t>
        </is>
      </c>
      <c r="AC188" s="26" t="inlineStr">
        <is>
          <t>WQ-HOS-01</t>
        </is>
      </c>
      <c r="AD188" s="26" t="inlineStr">
        <is>
          <t>E/M documentation</t>
        </is>
      </c>
      <c r="AE188" s="26" t="inlineStr">
        <is>
          <t>J45.40</t>
        </is>
      </c>
      <c r="AF188" s="26" t="inlineStr">
        <is>
          <t>22</t>
        </is>
      </c>
      <c r="AG188" s="26" t="inlineStr">
        <is>
          <t>2026-09-18 16:30</t>
        </is>
      </c>
      <c r="AH188" s="26" t="inlineStr">
        <is>
          <t>Synthetic Care Gap charge; 10% below Athena allowed amount</t>
        </is>
      </c>
    </row>
    <row r="189">
      <c r="A189" s="26" t="inlineStr">
        <is>
          <t>OPD-CHG-0093-ATH</t>
        </is>
      </c>
      <c r="B189" s="26" t="inlineStr">
        <is>
          <t>OP-202600093-ATH</t>
        </is>
      </c>
      <c r="C189" s="26" t="inlineStr">
        <is>
          <t>CSN-OPD-780093-ATH</t>
        </is>
      </c>
      <c r="D189" s="26" t="inlineStr">
        <is>
          <t>Outpatient</t>
        </is>
      </c>
      <c r="E189" s="26" t="inlineStr">
        <is>
          <t>Demo Regional Medical Center</t>
        </is>
      </c>
      <c r="F189" s="26" t="inlineStr">
        <is>
          <t>Hospital Clinic</t>
        </is>
      </c>
      <c r="G189" s="26" t="inlineStr">
        <is>
          <t>2026-09-19</t>
        </is>
      </c>
      <c r="H189" s="26" t="inlineStr">
        <is>
          <t>CLINIC-L5</t>
        </is>
      </c>
      <c r="I189" s="26" t="inlineStr">
        <is>
          <t>Hospital Outpatient Clinic Visit Level 5</t>
        </is>
      </c>
      <c r="J189" s="26" t="inlineStr">
        <is>
          <t>0510</t>
        </is>
      </c>
      <c r="K189" s="26" t="inlineStr">
        <is>
          <t>99215</t>
        </is>
      </c>
      <c r="L189" s="26" t="n"/>
      <c r="M189" s="26" t="n">
        <v>1</v>
      </c>
      <c r="N189" s="13" t="n">
        <v>570</v>
      </c>
      <c r="O189" s="13">
        <f>M189*N189</f>
        <v/>
      </c>
      <c r="P189" s="13" t="n">
        <v>361.87</v>
      </c>
      <c r="Q189" s="13">
        <f>P189*20%</f>
        <v/>
      </c>
      <c r="R189" s="13">
        <f>O189-P189</f>
        <v/>
      </c>
      <c r="S189" s="26" t="inlineStr">
        <is>
          <t>Athena Health Insurance</t>
        </is>
      </c>
      <c r="T189" s="26" t="inlineStr">
        <is>
          <t>Athena PPO</t>
        </is>
      </c>
      <c r="U189" s="26" t="n"/>
      <c r="V189" s="26" t="inlineStr">
        <is>
          <t>Eleanor Brooks, MD</t>
        </is>
      </c>
      <c r="W189" s="26" t="inlineStr">
        <is>
          <t>Assigned Department Provider</t>
        </is>
      </c>
      <c r="X189" s="26" t="inlineStr">
        <is>
          <t>Ambulatory</t>
        </is>
      </c>
      <c r="Y189" s="26" t="inlineStr">
        <is>
          <t>Visit close</t>
        </is>
      </c>
      <c r="Z189" s="26" t="inlineStr">
        <is>
          <t>Posted</t>
        </is>
      </c>
      <c r="AA189" s="26" t="inlineStr">
        <is>
          <t>Matched</t>
        </is>
      </c>
      <c r="AB189" s="26" t="inlineStr">
        <is>
          <t>Passed</t>
        </is>
      </c>
      <c r="AC189" s="26" t="n"/>
      <c r="AD189" s="26" t="inlineStr">
        <is>
          <t>E/M documentation</t>
        </is>
      </c>
      <c r="AE189" s="26" t="inlineStr">
        <is>
          <t>I50.9</t>
        </is>
      </c>
      <c r="AF189" s="26" t="inlineStr">
        <is>
          <t>22</t>
        </is>
      </c>
      <c r="AG189" s="26" t="inlineStr">
        <is>
          <t>2026-09-19 16:30</t>
        </is>
      </c>
      <c r="AH189" s="26" t="inlineStr">
        <is>
          <t>Synthetic Athena negotiated charge</t>
        </is>
      </c>
    </row>
    <row r="190">
      <c r="A190" s="26" t="inlineStr">
        <is>
          <t>OPD-CHG-0093-CGH</t>
        </is>
      </c>
      <c r="B190" s="26" t="inlineStr">
        <is>
          <t>OP-202600093-CGH</t>
        </is>
      </c>
      <c r="C190" s="26" t="inlineStr">
        <is>
          <t>CSN-OPD-780093-CGH</t>
        </is>
      </c>
      <c r="D190" s="26" t="inlineStr">
        <is>
          <t>Outpatient</t>
        </is>
      </c>
      <c r="E190" s="26" t="inlineStr">
        <is>
          <t>Demo Regional Medical Center</t>
        </is>
      </c>
      <c r="F190" s="26" t="inlineStr">
        <is>
          <t>Hospital Clinic</t>
        </is>
      </c>
      <c r="G190" s="26" t="inlineStr">
        <is>
          <t>2026-09-19</t>
        </is>
      </c>
      <c r="H190" s="26" t="inlineStr">
        <is>
          <t>CLINIC-L5</t>
        </is>
      </c>
      <c r="I190" s="26" t="inlineStr">
        <is>
          <t>Hospital Outpatient Clinic Visit Level 5</t>
        </is>
      </c>
      <c r="J190" s="26" t="inlineStr">
        <is>
          <t>0510</t>
        </is>
      </c>
      <c r="K190" s="26" t="inlineStr">
        <is>
          <t>99215</t>
        </is>
      </c>
      <c r="L190" s="26" t="n"/>
      <c r="M190" s="26" t="n">
        <v>1</v>
      </c>
      <c r="N190" s="13" t="n">
        <v>570</v>
      </c>
      <c r="O190" s="13">
        <f>M190*N190</f>
        <v/>
      </c>
      <c r="P190" s="13" t="n">
        <v>325.68</v>
      </c>
      <c r="Q190" s="13">
        <f>P190*15%</f>
        <v/>
      </c>
      <c r="R190" s="13">
        <f>O190-P190</f>
        <v/>
      </c>
      <c r="S190" s="26" t="inlineStr">
        <is>
          <t>Care Gap Health</t>
        </is>
      </c>
      <c r="T190" s="26" t="inlineStr">
        <is>
          <t>Care Gap Value PPO</t>
        </is>
      </c>
      <c r="U190" s="26" t="n"/>
      <c r="V190" s="26" t="inlineStr">
        <is>
          <t>Eleanor Brooks, MD</t>
        </is>
      </c>
      <c r="W190" s="26" t="inlineStr">
        <is>
          <t>Assigned Department Provider</t>
        </is>
      </c>
      <c r="X190" s="26" t="inlineStr">
        <is>
          <t>Ambulatory</t>
        </is>
      </c>
      <c r="Y190" s="26" t="inlineStr">
        <is>
          <t>Visit close</t>
        </is>
      </c>
      <c r="Z190" s="26" t="inlineStr">
        <is>
          <t>Posted</t>
        </is>
      </c>
      <c r="AA190" s="26" t="inlineStr">
        <is>
          <t>Matched</t>
        </is>
      </c>
      <c r="AB190" s="26" t="inlineStr">
        <is>
          <t>Passed</t>
        </is>
      </c>
      <c r="AC190" s="26" t="n"/>
      <c r="AD190" s="26" t="inlineStr">
        <is>
          <t>E/M documentation</t>
        </is>
      </c>
      <c r="AE190" s="26" t="inlineStr">
        <is>
          <t>I50.9</t>
        </is>
      </c>
      <c r="AF190" s="26" t="inlineStr">
        <is>
          <t>22</t>
        </is>
      </c>
      <c r="AG190" s="26" t="inlineStr">
        <is>
          <t>2026-09-19 16:30</t>
        </is>
      </c>
      <c r="AH190" s="26" t="inlineStr">
        <is>
          <t>Synthetic Care Gap charge; 10% below Athena allowed amount</t>
        </is>
      </c>
    </row>
    <row r="191">
      <c r="A191" s="26" t="inlineStr">
        <is>
          <t>OPD-CHG-0094-ATH</t>
        </is>
      </c>
      <c r="B191" s="26" t="inlineStr">
        <is>
          <t>OP-202600094-ATH</t>
        </is>
      </c>
      <c r="C191" s="26" t="inlineStr">
        <is>
          <t>CSN-OPD-780094-ATH</t>
        </is>
      </c>
      <c r="D191" s="26" t="inlineStr">
        <is>
          <t>Outpatient</t>
        </is>
      </c>
      <c r="E191" s="26" t="inlineStr">
        <is>
          <t>Demo Regional Medical Center</t>
        </is>
      </c>
      <c r="F191" s="26" t="inlineStr">
        <is>
          <t>Radiology</t>
        </is>
      </c>
      <c r="G191" s="26" t="inlineStr">
        <is>
          <t>2026-09-20</t>
        </is>
      </c>
      <c r="H191" s="26" t="inlineStr">
        <is>
          <t>XR-CHEST-2V</t>
        </is>
      </c>
      <c r="I191" s="26" t="inlineStr">
        <is>
          <t>Chest X-ray, 2 Views</t>
        </is>
      </c>
      <c r="J191" s="26" t="inlineStr">
        <is>
          <t>0320</t>
        </is>
      </c>
      <c r="K191" s="26" t="inlineStr">
        <is>
          <t>71046</t>
        </is>
      </c>
      <c r="L191" s="26" t="n"/>
      <c r="M191" s="26" t="n">
        <v>1</v>
      </c>
      <c r="N191" s="13" t="n">
        <v>185</v>
      </c>
      <c r="O191" s="13">
        <f>M191*N191</f>
        <v/>
      </c>
      <c r="P191" s="13" t="n">
        <v>90.95</v>
      </c>
      <c r="Q191" s="13">
        <f>P191*20%</f>
        <v/>
      </c>
      <c r="R191" s="13">
        <f>O191-P191</f>
        <v/>
      </c>
      <c r="S191" s="26" t="inlineStr">
        <is>
          <t>Athena Health Insurance</t>
        </is>
      </c>
      <c r="T191" s="26" t="inlineStr">
        <is>
          <t>Athena PPO</t>
        </is>
      </c>
      <c r="U191" s="26" t="n"/>
      <c r="V191" s="26" t="inlineStr">
        <is>
          <t>Eleanor Brooks, MD</t>
        </is>
      </c>
      <c r="W191" s="26" t="inlineStr">
        <is>
          <t>Assigned Department Provider</t>
        </is>
      </c>
      <c r="X191" s="26" t="inlineStr">
        <is>
          <t>RIS/PACS</t>
        </is>
      </c>
      <c r="Y191" s="26" t="inlineStr">
        <is>
          <t>Exam completed</t>
        </is>
      </c>
      <c r="Z191" s="26" t="inlineStr">
        <is>
          <t>Posted</t>
        </is>
      </c>
      <c r="AA191" s="26" t="inlineStr">
        <is>
          <t>Matched</t>
        </is>
      </c>
      <c r="AB191" s="26" t="inlineStr">
        <is>
          <t>Passed</t>
        </is>
      </c>
      <c r="AC191" s="26" t="n"/>
      <c r="AD191" s="26" t="inlineStr">
        <is>
          <t>Diagnosis/LCD</t>
        </is>
      </c>
      <c r="AE191" s="26" t="inlineStr">
        <is>
          <t>R05.9</t>
        </is>
      </c>
      <c r="AF191" s="26" t="inlineStr">
        <is>
          <t>22</t>
        </is>
      </c>
      <c r="AG191" s="26" t="inlineStr">
        <is>
          <t>2026-09-20 16:30</t>
        </is>
      </c>
      <c r="AH191" s="26" t="inlineStr">
        <is>
          <t>Synthetic Athena negotiated charge</t>
        </is>
      </c>
    </row>
    <row r="192">
      <c r="A192" s="26" t="inlineStr">
        <is>
          <t>OPD-CHG-0094-CGH</t>
        </is>
      </c>
      <c r="B192" s="26" t="inlineStr">
        <is>
          <t>OP-202600094-CGH</t>
        </is>
      </c>
      <c r="C192" s="26" t="inlineStr">
        <is>
          <t>CSN-OPD-780094-CGH</t>
        </is>
      </c>
      <c r="D192" s="26" t="inlineStr">
        <is>
          <t>Outpatient</t>
        </is>
      </c>
      <c r="E192" s="26" t="inlineStr">
        <is>
          <t>Demo Regional Medical Center</t>
        </is>
      </c>
      <c r="F192" s="26" t="inlineStr">
        <is>
          <t>Radiology</t>
        </is>
      </c>
      <c r="G192" s="26" t="inlineStr">
        <is>
          <t>2026-09-20</t>
        </is>
      </c>
      <c r="H192" s="26" t="inlineStr">
        <is>
          <t>XR-CHEST-2V</t>
        </is>
      </c>
      <c r="I192" s="26" t="inlineStr">
        <is>
          <t>Chest X-ray, 2 Views</t>
        </is>
      </c>
      <c r="J192" s="26" t="inlineStr">
        <is>
          <t>0320</t>
        </is>
      </c>
      <c r="K192" s="26" t="inlineStr">
        <is>
          <t>71046</t>
        </is>
      </c>
      <c r="L192" s="26" t="n"/>
      <c r="M192" s="26" t="n">
        <v>1</v>
      </c>
      <c r="N192" s="13" t="n">
        <v>185</v>
      </c>
      <c r="O192" s="13">
        <f>M192*N192</f>
        <v/>
      </c>
      <c r="P192" s="13" t="n">
        <v>81.86</v>
      </c>
      <c r="Q192" s="13">
        <f>P192*15%</f>
        <v/>
      </c>
      <c r="R192" s="13">
        <f>O192-P192</f>
        <v/>
      </c>
      <c r="S192" s="26" t="inlineStr">
        <is>
          <t>Care Gap Health</t>
        </is>
      </c>
      <c r="T192" s="26" t="inlineStr">
        <is>
          <t>Care Gap Value PPO</t>
        </is>
      </c>
      <c r="U192" s="26" t="n"/>
      <c r="V192" s="26" t="inlineStr">
        <is>
          <t>Eleanor Brooks, MD</t>
        </is>
      </c>
      <c r="W192" s="26" t="inlineStr">
        <is>
          <t>Assigned Department Provider</t>
        </is>
      </c>
      <c r="X192" s="26" t="inlineStr">
        <is>
          <t>RIS/PACS</t>
        </is>
      </c>
      <c r="Y192" s="26" t="inlineStr">
        <is>
          <t>Exam completed</t>
        </is>
      </c>
      <c r="Z192" s="26" t="inlineStr">
        <is>
          <t>Posted</t>
        </is>
      </c>
      <c r="AA192" s="26" t="inlineStr">
        <is>
          <t>Matched</t>
        </is>
      </c>
      <c r="AB192" s="26" t="inlineStr">
        <is>
          <t>Passed</t>
        </is>
      </c>
      <c r="AC192" s="26" t="n"/>
      <c r="AD192" s="26" t="inlineStr">
        <is>
          <t>Diagnosis/LCD</t>
        </is>
      </c>
      <c r="AE192" s="26" t="inlineStr">
        <is>
          <t>R05.9</t>
        </is>
      </c>
      <c r="AF192" s="26" t="inlineStr">
        <is>
          <t>22</t>
        </is>
      </c>
      <c r="AG192" s="26" t="inlineStr">
        <is>
          <t>2026-09-20 16:30</t>
        </is>
      </c>
      <c r="AH192" s="26" t="inlineStr">
        <is>
          <t>Synthetic Care Gap charge; 10% below Athena allowed amount</t>
        </is>
      </c>
    </row>
    <row r="193">
      <c r="A193" s="26" t="inlineStr">
        <is>
          <t>OPD-CHG-0095-ATH</t>
        </is>
      </c>
      <c r="B193" s="26" t="inlineStr">
        <is>
          <t>OP-202600095-ATH</t>
        </is>
      </c>
      <c r="C193" s="26" t="inlineStr">
        <is>
          <t>CSN-OPD-780095-ATH</t>
        </is>
      </c>
      <c r="D193" s="26" t="inlineStr">
        <is>
          <t>Outpatient</t>
        </is>
      </c>
      <c r="E193" s="26" t="inlineStr">
        <is>
          <t>Demo Regional Medical Center</t>
        </is>
      </c>
      <c r="F193" s="26" t="inlineStr">
        <is>
          <t>Radiology</t>
        </is>
      </c>
      <c r="G193" s="26" t="inlineStr">
        <is>
          <t>2026-09-21</t>
        </is>
      </c>
      <c r="H193" s="26" t="inlineStr">
        <is>
          <t>CT-HEAD-WO</t>
        </is>
      </c>
      <c r="I193" s="26" t="inlineStr">
        <is>
          <t>CT Head Without Contrast</t>
        </is>
      </c>
      <c r="J193" s="26" t="inlineStr">
        <is>
          <t>0350</t>
        </is>
      </c>
      <c r="K193" s="26" t="inlineStr">
        <is>
          <t>70450</t>
        </is>
      </c>
      <c r="L193" s="26" t="n"/>
      <c r="M193" s="26" t="n">
        <v>1</v>
      </c>
      <c r="N193" s="13" t="n">
        <v>1900</v>
      </c>
      <c r="O193" s="13">
        <f>M193*N193</f>
        <v/>
      </c>
      <c r="P193" s="13" t="n">
        <v>1023.6</v>
      </c>
      <c r="Q193" s="13">
        <f>P193*20%</f>
        <v/>
      </c>
      <c r="R193" s="13">
        <f>O193-P193</f>
        <v/>
      </c>
      <c r="S193" s="26" t="inlineStr">
        <is>
          <t>Athena Health Insurance</t>
        </is>
      </c>
      <c r="T193" s="26" t="inlineStr">
        <is>
          <t>Athena PPO</t>
        </is>
      </c>
      <c r="U193" s="26" t="inlineStr">
        <is>
          <t>AUTH-700095</t>
        </is>
      </c>
      <c r="V193" s="26" t="inlineStr">
        <is>
          <t>Eleanor Brooks, MD</t>
        </is>
      </c>
      <c r="W193" s="26" t="inlineStr">
        <is>
          <t>Assigned Department Provider</t>
        </is>
      </c>
      <c r="X193" s="26" t="inlineStr">
        <is>
          <t>RIS/PACS</t>
        </is>
      </c>
      <c r="Y193" s="26" t="inlineStr">
        <is>
          <t>Exam completed</t>
        </is>
      </c>
      <c r="Z193" s="26" t="inlineStr">
        <is>
          <t>Posted</t>
        </is>
      </c>
      <c r="AA193" s="26" t="inlineStr">
        <is>
          <t>Matched</t>
        </is>
      </c>
      <c r="AB193" s="26" t="inlineStr">
        <is>
          <t>Passed</t>
        </is>
      </c>
      <c r="AC193" s="26" t="n"/>
      <c r="AD193" s="26" t="inlineStr">
        <is>
          <t>Prior authorization</t>
        </is>
      </c>
      <c r="AE193" s="26" t="inlineStr">
        <is>
          <t>R51.9</t>
        </is>
      </c>
      <c r="AF193" s="26" t="inlineStr">
        <is>
          <t>22</t>
        </is>
      </c>
      <c r="AG193" s="26" t="inlineStr">
        <is>
          <t>2026-09-21 16:30</t>
        </is>
      </c>
      <c r="AH193" s="26" t="inlineStr">
        <is>
          <t>Synthetic Athena negotiated charge</t>
        </is>
      </c>
    </row>
    <row r="194">
      <c r="A194" s="26" t="inlineStr">
        <is>
          <t>OPD-CHG-0095-CGH</t>
        </is>
      </c>
      <c r="B194" s="26" t="inlineStr">
        <is>
          <t>OP-202600095-CGH</t>
        </is>
      </c>
      <c r="C194" s="26" t="inlineStr">
        <is>
          <t>CSN-OPD-780095-CGH</t>
        </is>
      </c>
      <c r="D194" s="26" t="inlineStr">
        <is>
          <t>Outpatient</t>
        </is>
      </c>
      <c r="E194" s="26" t="inlineStr">
        <is>
          <t>Demo Regional Medical Center</t>
        </is>
      </c>
      <c r="F194" s="26" t="inlineStr">
        <is>
          <t>Radiology</t>
        </is>
      </c>
      <c r="G194" s="26" t="inlineStr">
        <is>
          <t>2026-09-21</t>
        </is>
      </c>
      <c r="H194" s="26" t="inlineStr">
        <is>
          <t>CT-HEAD-WO</t>
        </is>
      </c>
      <c r="I194" s="26" t="inlineStr">
        <is>
          <t>CT Head Without Contrast</t>
        </is>
      </c>
      <c r="J194" s="26" t="inlineStr">
        <is>
          <t>0350</t>
        </is>
      </c>
      <c r="K194" s="26" t="inlineStr">
        <is>
          <t>70450</t>
        </is>
      </c>
      <c r="L194" s="26" t="n"/>
      <c r="M194" s="26" t="n">
        <v>1</v>
      </c>
      <c r="N194" s="13" t="n">
        <v>1900</v>
      </c>
      <c r="O194" s="13">
        <f>M194*N194</f>
        <v/>
      </c>
      <c r="P194" s="13" t="n">
        <v>921.24</v>
      </c>
      <c r="Q194" s="13">
        <f>P194*15%</f>
        <v/>
      </c>
      <c r="R194" s="13">
        <f>O194-P194</f>
        <v/>
      </c>
      <c r="S194" s="26" t="inlineStr">
        <is>
          <t>Care Gap Health</t>
        </is>
      </c>
      <c r="T194" s="26" t="inlineStr">
        <is>
          <t>Care Gap Value PPO</t>
        </is>
      </c>
      <c r="U194" s="26" t="inlineStr">
        <is>
          <t>AUTH-700095</t>
        </is>
      </c>
      <c r="V194" s="26" t="inlineStr">
        <is>
          <t>Eleanor Brooks, MD</t>
        </is>
      </c>
      <c r="W194" s="26" t="inlineStr">
        <is>
          <t>Assigned Department Provider</t>
        </is>
      </c>
      <c r="X194" s="26" t="inlineStr">
        <is>
          <t>RIS/PACS</t>
        </is>
      </c>
      <c r="Y194" s="26" t="inlineStr">
        <is>
          <t>Exam completed</t>
        </is>
      </c>
      <c r="Z194" s="26" t="inlineStr">
        <is>
          <t>Posted</t>
        </is>
      </c>
      <c r="AA194" s="26" t="inlineStr">
        <is>
          <t>Matched</t>
        </is>
      </c>
      <c r="AB194" s="26" t="inlineStr">
        <is>
          <t>Passed</t>
        </is>
      </c>
      <c r="AC194" s="26" t="n"/>
      <c r="AD194" s="26" t="inlineStr">
        <is>
          <t>Prior authorization</t>
        </is>
      </c>
      <c r="AE194" s="26" t="inlineStr">
        <is>
          <t>R51.9</t>
        </is>
      </c>
      <c r="AF194" s="26" t="inlineStr">
        <is>
          <t>22</t>
        </is>
      </c>
      <c r="AG194" s="26" t="inlineStr">
        <is>
          <t>2026-09-21 16:30</t>
        </is>
      </c>
      <c r="AH194" s="26" t="inlineStr">
        <is>
          <t>Synthetic Care Gap charge; 10% below Athena allowed amount</t>
        </is>
      </c>
    </row>
    <row r="195">
      <c r="A195" s="26" t="inlineStr">
        <is>
          <t>OPD-CHG-0096-ATH</t>
        </is>
      </c>
      <c r="B195" s="26" t="inlineStr">
        <is>
          <t>OP-202600096-ATH</t>
        </is>
      </c>
      <c r="C195" s="26" t="inlineStr">
        <is>
          <t>CSN-OPD-780096-ATH</t>
        </is>
      </c>
      <c r="D195" s="26" t="inlineStr">
        <is>
          <t>Outpatient</t>
        </is>
      </c>
      <c r="E195" s="26" t="inlineStr">
        <is>
          <t>Demo Regional Medical Center</t>
        </is>
      </c>
      <c r="F195" s="26" t="inlineStr">
        <is>
          <t>Radiology</t>
        </is>
      </c>
      <c r="G195" s="26" t="inlineStr">
        <is>
          <t>2026-09-22</t>
        </is>
      </c>
      <c r="H195" s="26" t="inlineStr">
        <is>
          <t>CT-CHEST-W</t>
        </is>
      </c>
      <c r="I195" s="26" t="inlineStr">
        <is>
          <t>CT Chest With Contrast</t>
        </is>
      </c>
      <c r="J195" s="26" t="inlineStr">
        <is>
          <t>0350</t>
        </is>
      </c>
      <c r="K195" s="26" t="inlineStr">
        <is>
          <t>71260</t>
        </is>
      </c>
      <c r="L195" s="26" t="n"/>
      <c r="M195" s="26" t="n">
        <v>1</v>
      </c>
      <c r="N195" s="13" t="n">
        <v>2500</v>
      </c>
      <c r="O195" s="13">
        <f>M195*N195</f>
        <v/>
      </c>
      <c r="P195" s="13" t="n">
        <v>1553.77</v>
      </c>
      <c r="Q195" s="13">
        <f>P195*20%</f>
        <v/>
      </c>
      <c r="R195" s="13">
        <f>O195-P195</f>
        <v/>
      </c>
      <c r="S195" s="26" t="inlineStr">
        <is>
          <t>Athena Health Insurance</t>
        </is>
      </c>
      <c r="T195" s="26" t="inlineStr">
        <is>
          <t>Athena PPO</t>
        </is>
      </c>
      <c r="U195" s="26" t="inlineStr">
        <is>
          <t>AUTH-700096</t>
        </is>
      </c>
      <c r="V195" s="26" t="inlineStr">
        <is>
          <t>Eleanor Brooks, MD</t>
        </is>
      </c>
      <c r="W195" s="26" t="inlineStr">
        <is>
          <t>Assigned Department Provider</t>
        </is>
      </c>
      <c r="X195" s="26" t="inlineStr">
        <is>
          <t>RIS/PACS</t>
        </is>
      </c>
      <c r="Y195" s="26" t="inlineStr">
        <is>
          <t>Exam completed</t>
        </is>
      </c>
      <c r="Z195" s="26" t="inlineStr">
        <is>
          <t>Posted</t>
        </is>
      </c>
      <c r="AA195" s="26" t="inlineStr">
        <is>
          <t>Matched</t>
        </is>
      </c>
      <c r="AB195" s="26" t="inlineStr">
        <is>
          <t>Passed</t>
        </is>
      </c>
      <c r="AC195" s="26" t="n"/>
      <c r="AD195" s="26" t="inlineStr">
        <is>
          <t>Prior authorization</t>
        </is>
      </c>
      <c r="AE195" s="26" t="inlineStr">
        <is>
          <t>R91.1</t>
        </is>
      </c>
      <c r="AF195" s="26" t="inlineStr">
        <is>
          <t>22</t>
        </is>
      </c>
      <c r="AG195" s="26" t="inlineStr">
        <is>
          <t>2026-09-22 16:30</t>
        </is>
      </c>
      <c r="AH195" s="26" t="inlineStr">
        <is>
          <t>Synthetic Athena negotiated charge</t>
        </is>
      </c>
    </row>
    <row r="196">
      <c r="A196" s="26" t="inlineStr">
        <is>
          <t>OPD-CHG-0096-CGH</t>
        </is>
      </c>
      <c r="B196" s="26" t="inlineStr">
        <is>
          <t>OP-202600096-CGH</t>
        </is>
      </c>
      <c r="C196" s="26" t="inlineStr">
        <is>
          <t>CSN-OPD-780096-CGH</t>
        </is>
      </c>
      <c r="D196" s="26" t="inlineStr">
        <is>
          <t>Outpatient</t>
        </is>
      </c>
      <c r="E196" s="26" t="inlineStr">
        <is>
          <t>Demo Regional Medical Center</t>
        </is>
      </c>
      <c r="F196" s="26" t="inlineStr">
        <is>
          <t>Radiology</t>
        </is>
      </c>
      <c r="G196" s="26" t="inlineStr">
        <is>
          <t>2026-09-22</t>
        </is>
      </c>
      <c r="H196" s="26" t="inlineStr">
        <is>
          <t>CT-CHEST-W</t>
        </is>
      </c>
      <c r="I196" s="26" t="inlineStr">
        <is>
          <t>CT Chest With Contrast</t>
        </is>
      </c>
      <c r="J196" s="26" t="inlineStr">
        <is>
          <t>0350</t>
        </is>
      </c>
      <c r="K196" s="26" t="inlineStr">
        <is>
          <t>71260</t>
        </is>
      </c>
      <c r="L196" s="26" t="n"/>
      <c r="M196" s="26" t="n">
        <v>1</v>
      </c>
      <c r="N196" s="13" t="n">
        <v>2500</v>
      </c>
      <c r="O196" s="13">
        <f>M196*N196</f>
        <v/>
      </c>
      <c r="P196" s="13" t="n">
        <v>1398.39</v>
      </c>
      <c r="Q196" s="13">
        <f>P196*15%</f>
        <v/>
      </c>
      <c r="R196" s="13">
        <f>O196-P196</f>
        <v/>
      </c>
      <c r="S196" s="26" t="inlineStr">
        <is>
          <t>Care Gap Health</t>
        </is>
      </c>
      <c r="T196" s="26" t="inlineStr">
        <is>
          <t>Care Gap Value PPO</t>
        </is>
      </c>
      <c r="U196" s="26" t="inlineStr">
        <is>
          <t>AUTH-700096</t>
        </is>
      </c>
      <c r="V196" s="26" t="inlineStr">
        <is>
          <t>Eleanor Brooks, MD</t>
        </is>
      </c>
      <c r="W196" s="26" t="inlineStr">
        <is>
          <t>Assigned Department Provider</t>
        </is>
      </c>
      <c r="X196" s="26" t="inlineStr">
        <is>
          <t>RIS/PACS</t>
        </is>
      </c>
      <c r="Y196" s="26" t="inlineStr">
        <is>
          <t>Exam completed</t>
        </is>
      </c>
      <c r="Z196" s="26" t="inlineStr">
        <is>
          <t>Posted</t>
        </is>
      </c>
      <c r="AA196" s="26" t="inlineStr">
        <is>
          <t>Matched</t>
        </is>
      </c>
      <c r="AB196" s="26" t="inlineStr">
        <is>
          <t>Passed</t>
        </is>
      </c>
      <c r="AC196" s="26" t="n"/>
      <c r="AD196" s="26" t="inlineStr">
        <is>
          <t>Prior authorization</t>
        </is>
      </c>
      <c r="AE196" s="26" t="inlineStr">
        <is>
          <t>R91.1</t>
        </is>
      </c>
      <c r="AF196" s="26" t="inlineStr">
        <is>
          <t>22</t>
        </is>
      </c>
      <c r="AG196" s="26" t="inlineStr">
        <is>
          <t>2026-09-22 16:30</t>
        </is>
      </c>
      <c r="AH196" s="26" t="inlineStr">
        <is>
          <t>Synthetic Care Gap charge; 10% below Athena allowed amount</t>
        </is>
      </c>
    </row>
    <row r="197">
      <c r="A197" s="26" t="inlineStr">
        <is>
          <t>OPD-CHG-0097-ATH</t>
        </is>
      </c>
      <c r="B197" s="26" t="inlineStr">
        <is>
          <t>OP-202600097-ATH</t>
        </is>
      </c>
      <c r="C197" s="26" t="inlineStr">
        <is>
          <t>CSN-OPD-780097-ATH</t>
        </is>
      </c>
      <c r="D197" s="26" t="inlineStr">
        <is>
          <t>Outpatient</t>
        </is>
      </c>
      <c r="E197" s="26" t="inlineStr">
        <is>
          <t>Demo Regional Medical Center</t>
        </is>
      </c>
      <c r="F197" s="26" t="inlineStr">
        <is>
          <t>Radiology</t>
        </is>
      </c>
      <c r="G197" s="26" t="inlineStr">
        <is>
          <t>2026-09-23</t>
        </is>
      </c>
      <c r="H197" s="26" t="inlineStr">
        <is>
          <t>MRI-BRAIN-WO</t>
        </is>
      </c>
      <c r="I197" s="26" t="inlineStr">
        <is>
          <t>MRI Brain Without Contrast</t>
        </is>
      </c>
      <c r="J197" s="26" t="inlineStr">
        <is>
          <t>0610</t>
        </is>
      </c>
      <c r="K197" s="26" t="inlineStr">
        <is>
          <t>70551</t>
        </is>
      </c>
      <c r="L197" s="26" t="n"/>
      <c r="M197" s="26" t="n">
        <v>1</v>
      </c>
      <c r="N197" s="13" t="n">
        <v>3250</v>
      </c>
      <c r="O197" s="13">
        <f>M197*N197</f>
        <v/>
      </c>
      <c r="P197" s="13" t="n">
        <v>1657.5</v>
      </c>
      <c r="Q197" s="13">
        <f>P197*20%</f>
        <v/>
      </c>
      <c r="R197" s="13">
        <f>O197-P197</f>
        <v/>
      </c>
      <c r="S197" s="26" t="inlineStr">
        <is>
          <t>Athena Health Insurance</t>
        </is>
      </c>
      <c r="T197" s="26" t="inlineStr">
        <is>
          <t>Athena PPO</t>
        </is>
      </c>
      <c r="U197" s="26" t="inlineStr">
        <is>
          <t>AUTH-700097</t>
        </is>
      </c>
      <c r="V197" s="26" t="inlineStr">
        <is>
          <t>Eleanor Brooks, MD</t>
        </is>
      </c>
      <c r="W197" s="26" t="inlineStr">
        <is>
          <t>Assigned Department Provider</t>
        </is>
      </c>
      <c r="X197" s="26" t="inlineStr">
        <is>
          <t>RIS/PACS</t>
        </is>
      </c>
      <c r="Y197" s="26" t="inlineStr">
        <is>
          <t>Exam completed</t>
        </is>
      </c>
      <c r="Z197" s="26" t="inlineStr">
        <is>
          <t>Posted</t>
        </is>
      </c>
      <c r="AA197" s="26" t="inlineStr">
        <is>
          <t>Matched</t>
        </is>
      </c>
      <c r="AB197" s="26" t="inlineStr">
        <is>
          <t>Passed</t>
        </is>
      </c>
      <c r="AC197" s="26" t="n"/>
      <c r="AD197" s="26" t="inlineStr">
        <is>
          <t>Prior authorization</t>
        </is>
      </c>
      <c r="AE197" s="26" t="inlineStr">
        <is>
          <t>G43.909</t>
        </is>
      </c>
      <c r="AF197" s="26" t="inlineStr">
        <is>
          <t>22</t>
        </is>
      </c>
      <c r="AG197" s="26" t="inlineStr">
        <is>
          <t>2026-09-23 16:30</t>
        </is>
      </c>
      <c r="AH197" s="26" t="inlineStr">
        <is>
          <t>Synthetic Athena negotiated charge</t>
        </is>
      </c>
    </row>
    <row r="198">
      <c r="A198" s="26" t="inlineStr">
        <is>
          <t>OPD-CHG-0097-CGH</t>
        </is>
      </c>
      <c r="B198" s="26" t="inlineStr">
        <is>
          <t>OP-202600097-CGH</t>
        </is>
      </c>
      <c r="C198" s="26" t="inlineStr">
        <is>
          <t>CSN-OPD-780097-CGH</t>
        </is>
      </c>
      <c r="D198" s="26" t="inlineStr">
        <is>
          <t>Outpatient</t>
        </is>
      </c>
      <c r="E198" s="26" t="inlineStr">
        <is>
          <t>Demo Regional Medical Center</t>
        </is>
      </c>
      <c r="F198" s="26" t="inlineStr">
        <is>
          <t>Radiology</t>
        </is>
      </c>
      <c r="G198" s="26" t="inlineStr">
        <is>
          <t>2026-09-23</t>
        </is>
      </c>
      <c r="H198" s="26" t="inlineStr">
        <is>
          <t>MRI-BRAIN-WO</t>
        </is>
      </c>
      <c r="I198" s="26" t="inlineStr">
        <is>
          <t>MRI Brain Without Contrast</t>
        </is>
      </c>
      <c r="J198" s="26" t="inlineStr">
        <is>
          <t>0610</t>
        </is>
      </c>
      <c r="K198" s="26" t="inlineStr">
        <is>
          <t>70551</t>
        </is>
      </c>
      <c r="L198" s="26" t="n"/>
      <c r="M198" s="26" t="n">
        <v>1</v>
      </c>
      <c r="N198" s="13" t="n">
        <v>3250</v>
      </c>
      <c r="O198" s="13">
        <f>M198*N198</f>
        <v/>
      </c>
      <c r="P198" s="13" t="n">
        <v>1491.75</v>
      </c>
      <c r="Q198" s="13">
        <f>P198*15%</f>
        <v/>
      </c>
      <c r="R198" s="13">
        <f>O198-P198</f>
        <v/>
      </c>
      <c r="S198" s="26" t="inlineStr">
        <is>
          <t>Care Gap Health</t>
        </is>
      </c>
      <c r="T198" s="26" t="inlineStr">
        <is>
          <t>Care Gap Value PPO</t>
        </is>
      </c>
      <c r="U198" s="26" t="inlineStr">
        <is>
          <t>AUTH-700097</t>
        </is>
      </c>
      <c r="V198" s="26" t="inlineStr">
        <is>
          <t>Eleanor Brooks, MD</t>
        </is>
      </c>
      <c r="W198" s="26" t="inlineStr">
        <is>
          <t>Assigned Department Provider</t>
        </is>
      </c>
      <c r="X198" s="26" t="inlineStr">
        <is>
          <t>RIS/PACS</t>
        </is>
      </c>
      <c r="Y198" s="26" t="inlineStr">
        <is>
          <t>Exam completed</t>
        </is>
      </c>
      <c r="Z198" s="26" t="inlineStr">
        <is>
          <t>Posted</t>
        </is>
      </c>
      <c r="AA198" s="26" t="inlineStr">
        <is>
          <t>Matched</t>
        </is>
      </c>
      <c r="AB198" s="26" t="inlineStr">
        <is>
          <t>Passed</t>
        </is>
      </c>
      <c r="AC198" s="26" t="n"/>
      <c r="AD198" s="26" t="inlineStr">
        <is>
          <t>Prior authorization</t>
        </is>
      </c>
      <c r="AE198" s="26" t="inlineStr">
        <is>
          <t>G43.909</t>
        </is>
      </c>
      <c r="AF198" s="26" t="inlineStr">
        <is>
          <t>22</t>
        </is>
      </c>
      <c r="AG198" s="26" t="inlineStr">
        <is>
          <t>2026-09-23 16:30</t>
        </is>
      </c>
      <c r="AH198" s="26" t="inlineStr">
        <is>
          <t>Synthetic Care Gap charge; 10% below Athena allowed amount</t>
        </is>
      </c>
    </row>
    <row r="199">
      <c r="A199" s="26" t="inlineStr">
        <is>
          <t>OPD-CHG-0098-ATH</t>
        </is>
      </c>
      <c r="B199" s="26" t="inlineStr">
        <is>
          <t>OP-202600098-ATH</t>
        </is>
      </c>
      <c r="C199" s="26" t="inlineStr">
        <is>
          <t>CSN-OPD-780098-ATH</t>
        </is>
      </c>
      <c r="D199" s="26" t="inlineStr">
        <is>
          <t>Outpatient</t>
        </is>
      </c>
      <c r="E199" s="26" t="inlineStr">
        <is>
          <t>Demo Regional Medical Center</t>
        </is>
      </c>
      <c r="F199" s="26" t="inlineStr">
        <is>
          <t>Radiology</t>
        </is>
      </c>
      <c r="G199" s="26" t="inlineStr">
        <is>
          <t>2026-09-24</t>
        </is>
      </c>
      <c r="H199" s="26" t="inlineStr">
        <is>
          <t>US-ABD-COMP</t>
        </is>
      </c>
      <c r="I199" s="26" t="inlineStr">
        <is>
          <t>Ultrasound Abdomen Complete</t>
        </is>
      </c>
      <c r="J199" s="26" t="inlineStr">
        <is>
          <t>0402</t>
        </is>
      </c>
      <c r="K199" s="26" t="inlineStr">
        <is>
          <t>76700</t>
        </is>
      </c>
      <c r="L199" s="26" t="n"/>
      <c r="M199" s="26" t="n">
        <v>1</v>
      </c>
      <c r="N199" s="13" t="n">
        <v>875</v>
      </c>
      <c r="O199" s="13">
        <f>M199*N199</f>
        <v/>
      </c>
      <c r="P199" s="13" t="n">
        <v>450.5</v>
      </c>
      <c r="Q199" s="13">
        <f>P199*20%</f>
        <v/>
      </c>
      <c r="R199" s="13">
        <f>O199-P199</f>
        <v/>
      </c>
      <c r="S199" s="26" t="inlineStr">
        <is>
          <t>Athena Health Insurance</t>
        </is>
      </c>
      <c r="T199" s="26" t="inlineStr">
        <is>
          <t>Athena PPO</t>
        </is>
      </c>
      <c r="U199" s="26" t="n"/>
      <c r="V199" s="26" t="inlineStr">
        <is>
          <t>Eleanor Brooks, MD</t>
        </is>
      </c>
      <c r="W199" s="26" t="inlineStr">
        <is>
          <t>Assigned Department Provider</t>
        </is>
      </c>
      <c r="X199" s="26" t="inlineStr">
        <is>
          <t>RIS/PACS</t>
        </is>
      </c>
      <c r="Y199" s="26" t="inlineStr">
        <is>
          <t>Exam completed</t>
        </is>
      </c>
      <c r="Z199" s="26" t="inlineStr">
        <is>
          <t>Posted</t>
        </is>
      </c>
      <c r="AA199" s="26" t="inlineStr">
        <is>
          <t>Matched</t>
        </is>
      </c>
      <c r="AB199" s="26" t="inlineStr">
        <is>
          <t>Passed</t>
        </is>
      </c>
      <c r="AC199" s="26" t="n"/>
      <c r="AD199" s="26" t="inlineStr">
        <is>
          <t>Diagnosis/LCD</t>
        </is>
      </c>
      <c r="AE199" s="26" t="inlineStr">
        <is>
          <t>R10.84</t>
        </is>
      </c>
      <c r="AF199" s="26" t="inlineStr">
        <is>
          <t>22</t>
        </is>
      </c>
      <c r="AG199" s="26" t="inlineStr">
        <is>
          <t>2026-09-24 16:30</t>
        </is>
      </c>
      <c r="AH199" s="26" t="inlineStr">
        <is>
          <t>Synthetic Athena negotiated charge</t>
        </is>
      </c>
    </row>
    <row r="200">
      <c r="A200" s="26" t="inlineStr">
        <is>
          <t>OPD-CHG-0098-CGH</t>
        </is>
      </c>
      <c r="B200" s="26" t="inlineStr">
        <is>
          <t>OP-202600098-CGH</t>
        </is>
      </c>
      <c r="C200" s="26" t="inlineStr">
        <is>
          <t>CSN-OPD-780098-CGH</t>
        </is>
      </c>
      <c r="D200" s="26" t="inlineStr">
        <is>
          <t>Outpatient</t>
        </is>
      </c>
      <c r="E200" s="26" t="inlineStr">
        <is>
          <t>Demo Regional Medical Center</t>
        </is>
      </c>
      <c r="F200" s="26" t="inlineStr">
        <is>
          <t>Radiology</t>
        </is>
      </c>
      <c r="G200" s="26" t="inlineStr">
        <is>
          <t>2026-09-24</t>
        </is>
      </c>
      <c r="H200" s="26" t="inlineStr">
        <is>
          <t>US-ABD-COMP</t>
        </is>
      </c>
      <c r="I200" s="26" t="inlineStr">
        <is>
          <t>Ultrasound Abdomen Complete</t>
        </is>
      </c>
      <c r="J200" s="26" t="inlineStr">
        <is>
          <t>0402</t>
        </is>
      </c>
      <c r="K200" s="26" t="inlineStr">
        <is>
          <t>76700</t>
        </is>
      </c>
      <c r="L200" s="26" t="n"/>
      <c r="M200" s="26" t="n">
        <v>1</v>
      </c>
      <c r="N200" s="13" t="n">
        <v>875</v>
      </c>
      <c r="O200" s="13">
        <f>M200*N200</f>
        <v/>
      </c>
      <c r="P200" s="13" t="n">
        <v>405.45</v>
      </c>
      <c r="Q200" s="13">
        <f>P200*15%</f>
        <v/>
      </c>
      <c r="R200" s="13">
        <f>O200-P200</f>
        <v/>
      </c>
      <c r="S200" s="26" t="inlineStr">
        <is>
          <t>Care Gap Health</t>
        </is>
      </c>
      <c r="T200" s="26" t="inlineStr">
        <is>
          <t>Care Gap Value PPO</t>
        </is>
      </c>
      <c r="U200" s="26" t="n"/>
      <c r="V200" s="26" t="inlineStr">
        <is>
          <t>Eleanor Brooks, MD</t>
        </is>
      </c>
      <c r="W200" s="26" t="inlineStr">
        <is>
          <t>Assigned Department Provider</t>
        </is>
      </c>
      <c r="X200" s="26" t="inlineStr">
        <is>
          <t>RIS/PACS</t>
        </is>
      </c>
      <c r="Y200" s="26" t="inlineStr">
        <is>
          <t>Exam completed</t>
        </is>
      </c>
      <c r="Z200" s="26" t="inlineStr">
        <is>
          <t>Posted</t>
        </is>
      </c>
      <c r="AA200" s="26" t="inlineStr">
        <is>
          <t>Matched</t>
        </is>
      </c>
      <c r="AB200" s="26" t="inlineStr">
        <is>
          <t>Passed</t>
        </is>
      </c>
      <c r="AC200" s="26" t="n"/>
      <c r="AD200" s="26" t="inlineStr">
        <is>
          <t>Diagnosis/LCD</t>
        </is>
      </c>
      <c r="AE200" s="26" t="inlineStr">
        <is>
          <t>R10.84</t>
        </is>
      </c>
      <c r="AF200" s="26" t="inlineStr">
        <is>
          <t>22</t>
        </is>
      </c>
      <c r="AG200" s="26" t="inlineStr">
        <is>
          <t>2026-09-24 16:30</t>
        </is>
      </c>
      <c r="AH200" s="26" t="inlineStr">
        <is>
          <t>Synthetic Care Gap charge; 10% below Athena allowed amount</t>
        </is>
      </c>
    </row>
    <row r="201">
      <c r="A201" s="26" t="inlineStr">
        <is>
          <t>OPD-CHG-0099-ATH</t>
        </is>
      </c>
      <c r="B201" s="26" t="inlineStr">
        <is>
          <t>OP-202600099-ATH</t>
        </is>
      </c>
      <c r="C201" s="26" t="inlineStr">
        <is>
          <t>CSN-OPD-780099-ATH</t>
        </is>
      </c>
      <c r="D201" s="26" t="inlineStr">
        <is>
          <t>Outpatient</t>
        </is>
      </c>
      <c r="E201" s="26" t="inlineStr">
        <is>
          <t>Demo Regional Medical Center</t>
        </is>
      </c>
      <c r="F201" s="26" t="inlineStr">
        <is>
          <t>Mammography</t>
        </is>
      </c>
      <c r="G201" s="26" t="inlineStr">
        <is>
          <t>2026-09-25</t>
        </is>
      </c>
      <c r="H201" s="26" t="inlineStr">
        <is>
          <t>MAMMO-SCREEN</t>
        </is>
      </c>
      <c r="I201" s="26" t="inlineStr">
        <is>
          <t>Screening Mammography, Bilateral</t>
        </is>
      </c>
      <c r="J201" s="26" t="inlineStr">
        <is>
          <t>0403</t>
        </is>
      </c>
      <c r="K201" s="26" t="inlineStr">
        <is>
          <t>77067</t>
        </is>
      </c>
      <c r="L201" s="26" t="n"/>
      <c r="M201" s="26" t="n">
        <v>1</v>
      </c>
      <c r="N201" s="13" t="n">
        <v>535</v>
      </c>
      <c r="O201" s="13">
        <f>M201*N201</f>
        <v/>
      </c>
      <c r="P201" s="13" t="n">
        <v>345.37</v>
      </c>
      <c r="Q201" s="13">
        <f>P201*20%</f>
        <v/>
      </c>
      <c r="R201" s="13">
        <f>O201-P201</f>
        <v/>
      </c>
      <c r="S201" s="26" t="inlineStr">
        <is>
          <t>Athena Health Insurance</t>
        </is>
      </c>
      <c r="T201" s="26" t="inlineStr">
        <is>
          <t>Athena PPO</t>
        </is>
      </c>
      <c r="U201" s="26" t="n"/>
      <c r="V201" s="26" t="inlineStr">
        <is>
          <t>Eleanor Brooks, MD</t>
        </is>
      </c>
      <c r="W201" s="26" t="inlineStr">
        <is>
          <t>Assigned Department Provider</t>
        </is>
      </c>
      <c r="X201" s="26" t="inlineStr">
        <is>
          <t>RIS/PACS</t>
        </is>
      </c>
      <c r="Y201" s="26" t="inlineStr">
        <is>
          <t>Exam completed</t>
        </is>
      </c>
      <c r="Z201" s="26" t="inlineStr">
        <is>
          <t>Posted</t>
        </is>
      </c>
      <c r="AA201" s="26" t="inlineStr">
        <is>
          <t>Matched</t>
        </is>
      </c>
      <c r="AB201" s="26" t="inlineStr">
        <is>
          <t>Passed</t>
        </is>
      </c>
      <c r="AC201" s="26" t="n"/>
      <c r="AD201" s="26" t="inlineStr">
        <is>
          <t>Preventive rule</t>
        </is>
      </c>
      <c r="AE201" s="26" t="inlineStr">
        <is>
          <t>Z12.31</t>
        </is>
      </c>
      <c r="AF201" s="26" t="inlineStr">
        <is>
          <t>22</t>
        </is>
      </c>
      <c r="AG201" s="26" t="inlineStr">
        <is>
          <t>2026-09-25 16:30</t>
        </is>
      </c>
      <c r="AH201" s="26" t="inlineStr">
        <is>
          <t>Synthetic Athena negotiated charge</t>
        </is>
      </c>
    </row>
    <row r="202">
      <c r="A202" s="26" t="inlineStr">
        <is>
          <t>OPD-CHG-0099-CGH</t>
        </is>
      </c>
      <c r="B202" s="26" t="inlineStr">
        <is>
          <t>OP-202600099-CGH</t>
        </is>
      </c>
      <c r="C202" s="26" t="inlineStr">
        <is>
          <t>CSN-OPD-780099-CGH</t>
        </is>
      </c>
      <c r="D202" s="26" t="inlineStr">
        <is>
          <t>Outpatient</t>
        </is>
      </c>
      <c r="E202" s="26" t="inlineStr">
        <is>
          <t>Demo Regional Medical Center</t>
        </is>
      </c>
      <c r="F202" s="26" t="inlineStr">
        <is>
          <t>Mammography</t>
        </is>
      </c>
      <c r="G202" s="26" t="inlineStr">
        <is>
          <t>2026-09-25</t>
        </is>
      </c>
      <c r="H202" s="26" t="inlineStr">
        <is>
          <t>MAMMO-SCREEN</t>
        </is>
      </c>
      <c r="I202" s="26" t="inlineStr">
        <is>
          <t>Screening Mammography, Bilateral</t>
        </is>
      </c>
      <c r="J202" s="26" t="inlineStr">
        <is>
          <t>0403</t>
        </is>
      </c>
      <c r="K202" s="26" t="inlineStr">
        <is>
          <t>77067</t>
        </is>
      </c>
      <c r="L202" s="26" t="n"/>
      <c r="M202" s="26" t="n">
        <v>1</v>
      </c>
      <c r="N202" s="13" t="n">
        <v>535</v>
      </c>
      <c r="O202" s="13">
        <f>M202*N202</f>
        <v/>
      </c>
      <c r="P202" s="13" t="n">
        <v>310.83</v>
      </c>
      <c r="Q202" s="13">
        <f>P202*15%</f>
        <v/>
      </c>
      <c r="R202" s="13">
        <f>O202-P202</f>
        <v/>
      </c>
      <c r="S202" s="26" t="inlineStr">
        <is>
          <t>Care Gap Health</t>
        </is>
      </c>
      <c r="T202" s="26" t="inlineStr">
        <is>
          <t>Care Gap Value PPO</t>
        </is>
      </c>
      <c r="U202" s="26" t="n"/>
      <c r="V202" s="26" t="inlineStr">
        <is>
          <t>Eleanor Brooks, MD</t>
        </is>
      </c>
      <c r="W202" s="26" t="inlineStr">
        <is>
          <t>Assigned Department Provider</t>
        </is>
      </c>
      <c r="X202" s="26" t="inlineStr">
        <is>
          <t>RIS/PACS</t>
        </is>
      </c>
      <c r="Y202" s="26" t="inlineStr">
        <is>
          <t>Exam completed</t>
        </is>
      </c>
      <c r="Z202" s="26" t="inlineStr">
        <is>
          <t>Posted</t>
        </is>
      </c>
      <c r="AA202" s="26" t="inlineStr">
        <is>
          <t>Matched</t>
        </is>
      </c>
      <c r="AB202" s="26" t="inlineStr">
        <is>
          <t>Passed</t>
        </is>
      </c>
      <c r="AC202" s="26" t="n"/>
      <c r="AD202" s="26" t="inlineStr">
        <is>
          <t>Preventive rule</t>
        </is>
      </c>
      <c r="AE202" s="26" t="inlineStr">
        <is>
          <t>Z12.31</t>
        </is>
      </c>
      <c r="AF202" s="26" t="inlineStr">
        <is>
          <t>22</t>
        </is>
      </c>
      <c r="AG202" s="26" t="inlineStr">
        <is>
          <t>2026-09-25 16:30</t>
        </is>
      </c>
      <c r="AH202" s="26" t="inlineStr">
        <is>
          <t>Synthetic Care Gap charge; 10% below Athena allowed amount</t>
        </is>
      </c>
    </row>
    <row r="203">
      <c r="A203" s="26" t="inlineStr">
        <is>
          <t>OPD-CHG-0100-ATH</t>
        </is>
      </c>
      <c r="B203" s="26" t="inlineStr">
        <is>
          <t>OP-202600100-ATH</t>
        </is>
      </c>
      <c r="C203" s="26" t="inlineStr">
        <is>
          <t>CSN-OPD-780100-ATH</t>
        </is>
      </c>
      <c r="D203" s="26" t="inlineStr">
        <is>
          <t>Outpatient</t>
        </is>
      </c>
      <c r="E203" s="26" t="inlineStr">
        <is>
          <t>Demo Regional Medical Center</t>
        </is>
      </c>
      <c r="F203" s="26" t="inlineStr">
        <is>
          <t>Laboratory</t>
        </is>
      </c>
      <c r="G203" s="26" t="inlineStr">
        <is>
          <t>2026-09-01</t>
        </is>
      </c>
      <c r="H203" s="26" t="inlineStr">
        <is>
          <t>CBC-OP</t>
        </is>
      </c>
      <c r="I203" s="26" t="inlineStr">
        <is>
          <t>Complete Blood Count with Differential</t>
        </is>
      </c>
      <c r="J203" s="26" t="inlineStr">
        <is>
          <t>0300</t>
        </is>
      </c>
      <c r="K203" s="26" t="inlineStr">
        <is>
          <t>85025</t>
        </is>
      </c>
      <c r="L203" s="26" t="n"/>
      <c r="M203" s="26" t="n">
        <v>1</v>
      </c>
      <c r="N203" s="13" t="n">
        <v>155</v>
      </c>
      <c r="O203" s="13">
        <f>M203*N203</f>
        <v/>
      </c>
      <c r="P203" s="13" t="n">
        <v>68.47</v>
      </c>
      <c r="Q203" s="13">
        <f>P203*20%</f>
        <v/>
      </c>
      <c r="R203" s="13">
        <f>O203-P203</f>
        <v/>
      </c>
      <c r="S203" s="26" t="inlineStr">
        <is>
          <t>Athena Health Insurance</t>
        </is>
      </c>
      <c r="T203" s="26" t="inlineStr">
        <is>
          <t>Athena PPO</t>
        </is>
      </c>
      <c r="U203" s="26" t="n"/>
      <c r="V203" s="26" t="inlineStr">
        <is>
          <t>Eleanor Brooks, MD</t>
        </is>
      </c>
      <c r="W203" s="26" t="inlineStr">
        <is>
          <t>Assigned Department Provider</t>
        </is>
      </c>
      <c r="X203" s="26" t="inlineStr">
        <is>
          <t>LIS</t>
        </is>
      </c>
      <c r="Y203" s="26" t="inlineStr">
        <is>
          <t>Final result</t>
        </is>
      </c>
      <c r="Z203" s="26" t="inlineStr">
        <is>
          <t>Posted</t>
        </is>
      </c>
      <c r="AA203" s="26" t="inlineStr">
        <is>
          <t>Matched</t>
        </is>
      </c>
      <c r="AB203" s="26" t="inlineStr">
        <is>
          <t>Passed</t>
        </is>
      </c>
      <c r="AC203" s="26" t="n"/>
      <c r="AD203" s="26" t="inlineStr">
        <is>
          <t>Diagnosis/LCD</t>
        </is>
      </c>
      <c r="AE203" s="26" t="inlineStr">
        <is>
          <t>R53.83</t>
        </is>
      </c>
      <c r="AF203" s="26" t="inlineStr">
        <is>
          <t>22</t>
        </is>
      </c>
      <c r="AG203" s="26" t="inlineStr">
        <is>
          <t>2026-09-01 16:30</t>
        </is>
      </c>
      <c r="AH203" s="26" t="inlineStr">
        <is>
          <t>Synthetic Athena negotiated charge</t>
        </is>
      </c>
    </row>
    <row r="204">
      <c r="A204" s="26" t="inlineStr">
        <is>
          <t>OPD-CHG-0100-CGH</t>
        </is>
      </c>
      <c r="B204" s="26" t="inlineStr">
        <is>
          <t>OP-202600100-CGH</t>
        </is>
      </c>
      <c r="C204" s="26" t="inlineStr">
        <is>
          <t>CSN-OPD-780100-CGH</t>
        </is>
      </c>
      <c r="D204" s="26" t="inlineStr">
        <is>
          <t>Outpatient</t>
        </is>
      </c>
      <c r="E204" s="26" t="inlineStr">
        <is>
          <t>Demo Regional Medical Center</t>
        </is>
      </c>
      <c r="F204" s="26" t="inlineStr">
        <is>
          <t>Laboratory</t>
        </is>
      </c>
      <c r="G204" s="26" t="inlineStr">
        <is>
          <t>2026-09-01</t>
        </is>
      </c>
      <c r="H204" s="26" t="inlineStr">
        <is>
          <t>CBC-OP</t>
        </is>
      </c>
      <c r="I204" s="26" t="inlineStr">
        <is>
          <t>Complete Blood Count with Differential</t>
        </is>
      </c>
      <c r="J204" s="26" t="inlineStr">
        <is>
          <t>0300</t>
        </is>
      </c>
      <c r="K204" s="26" t="inlineStr">
        <is>
          <t>85025</t>
        </is>
      </c>
      <c r="L204" s="26" t="n"/>
      <c r="M204" s="26" t="n">
        <v>1</v>
      </c>
      <c r="N204" s="13" t="n">
        <v>155</v>
      </c>
      <c r="O204" s="13">
        <f>M204*N204</f>
        <v/>
      </c>
      <c r="P204" s="13" t="n">
        <v>61.62</v>
      </c>
      <c r="Q204" s="13">
        <f>P204*15%</f>
        <v/>
      </c>
      <c r="R204" s="13">
        <f>O204-P204</f>
        <v/>
      </c>
      <c r="S204" s="26" t="inlineStr">
        <is>
          <t>Care Gap Health</t>
        </is>
      </c>
      <c r="T204" s="26" t="inlineStr">
        <is>
          <t>Care Gap Value PPO</t>
        </is>
      </c>
      <c r="U204" s="26" t="n"/>
      <c r="V204" s="26" t="inlineStr">
        <is>
          <t>Eleanor Brooks, MD</t>
        </is>
      </c>
      <c r="W204" s="26" t="inlineStr">
        <is>
          <t>Assigned Department Provider</t>
        </is>
      </c>
      <c r="X204" s="26" t="inlineStr">
        <is>
          <t>LIS</t>
        </is>
      </c>
      <c r="Y204" s="26" t="inlineStr">
        <is>
          <t>Final result</t>
        </is>
      </c>
      <c r="Z204" s="26" t="inlineStr">
        <is>
          <t>Posted</t>
        </is>
      </c>
      <c r="AA204" s="26" t="inlineStr">
        <is>
          <t>Matched</t>
        </is>
      </c>
      <c r="AB204" s="26" t="inlineStr">
        <is>
          <t>Passed</t>
        </is>
      </c>
      <c r="AC204" s="26" t="n"/>
      <c r="AD204" s="26" t="inlineStr">
        <is>
          <t>Diagnosis/LCD</t>
        </is>
      </c>
      <c r="AE204" s="26" t="inlineStr">
        <is>
          <t>R53.83</t>
        </is>
      </c>
      <c r="AF204" s="26" t="inlineStr">
        <is>
          <t>22</t>
        </is>
      </c>
      <c r="AG204" s="26" t="inlineStr">
        <is>
          <t>2026-09-01 16:30</t>
        </is>
      </c>
      <c r="AH204" s="26" t="inlineStr">
        <is>
          <t>Synthetic Care Gap charge; 10% below Athena allowed amount</t>
        </is>
      </c>
    </row>
    <row r="205">
      <c r="A205" s="26" t="inlineStr">
        <is>
          <t>OPD-REF-71045</t>
        </is>
      </c>
      <c r="B205" s="26" t="n"/>
      <c r="C205" s="26" t="n"/>
      <c r="D205" s="26" t="inlineStr">
        <is>
          <t>Outpatient</t>
        </is>
      </c>
      <c r="E205" s="26" t="inlineStr">
        <is>
          <t>Demo Regional Medical Center</t>
        </is>
      </c>
      <c r="F205" s="26" t="inlineStr">
        <is>
          <t>Radiology</t>
        </is>
      </c>
      <c r="G205" s="26" t="n"/>
      <c r="H205" s="26" t="inlineStr">
        <is>
          <t>XR-CHEST-1V</t>
        </is>
      </c>
      <c r="I205" s="26" t="inlineStr">
        <is>
          <t>X-ray exam chest 1 view</t>
        </is>
      </c>
      <c r="J205" s="26" t="inlineStr">
        <is>
          <t>0320</t>
        </is>
      </c>
      <c r="K205" s="26" t="inlineStr">
        <is>
          <t>71045</t>
        </is>
      </c>
      <c r="L205" s="26" t="n"/>
      <c r="M205" s="26" t="n">
        <v>1</v>
      </c>
      <c r="N205" s="13" t="n">
        <v>113</v>
      </c>
      <c r="O205" s="13">
        <f>M205*N205</f>
        <v/>
      </c>
      <c r="P205" s="13" t="n"/>
      <c r="Q205" s="13" t="n"/>
      <c r="R205" s="13" t="n"/>
      <c r="S205" s="26" t="n"/>
      <c r="T205" s="26" t="n"/>
      <c r="U205" s="26" t="n"/>
      <c r="V205" s="26" t="n"/>
      <c r="W205" s="26" t="n"/>
      <c r="X205" s="26" t="inlineStr">
        <is>
          <t>Chargemaster Reference</t>
        </is>
      </c>
      <c r="Y205" s="26" t="n"/>
      <c r="Z205" s="26" t="inlineStr">
        <is>
          <t>Reference</t>
        </is>
      </c>
      <c r="AA205" s="26" t="n"/>
      <c r="AB205" s="26" t="n"/>
      <c r="AC205" s="26" t="n"/>
      <c r="AD205" s="26" t="n"/>
      <c r="AE205" s="26" t="n"/>
      <c r="AF205" s="26" t="n"/>
      <c r="AG205" s="26" t="n"/>
      <c r="AH205" s="26" t="inlineStr">
        <is>
          <t>Reference unit charge; not a payer-allowed amount.</t>
        </is>
      </c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inlineStr">
        <is>
          <t>TOTAL</t>
        </is>
      </c>
      <c r="N206" s="13" t="n"/>
      <c r="O206" s="13">
        <f>SUM(O5:O205)</f>
        <v/>
      </c>
      <c r="P206" s="13">
        <f>SUM(P5:P205)</f>
        <v/>
      </c>
      <c r="Q206" s="13">
        <f>SUM(Q5:Q205)</f>
        <v/>
      </c>
      <c r="R206" s="13">
        <f>SUM(R5:R205)</f>
        <v/>
      </c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</row>
  </sheetData>
  <mergeCells count="2">
    <mergeCell ref="A2:AH2"/>
    <mergeCell ref="A1:AH1"/>
  </mergeCells>
  <conditionalFormatting sqref="AB5:AB104">
    <cfRule type="expression" priority="1" dxfId="0">
      <formula>AB5="Review"</formula>
    </cfRule>
  </conditionalFormatting>
  <conditionalFormatting sqref="Z5:Z104">
    <cfRule type="expression" priority="2" dxfId="1">
      <formula>Z5="Hold"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32" min="1" max="1"/>
    <col width="18" customWidth="1" style="32" min="2" max="2"/>
    <col width="4" customWidth="1" style="32" min="3" max="3"/>
    <col width="18" customWidth="1" style="32" min="4" max="6"/>
    <col width="4" customWidth="1" style="32" min="7" max="7"/>
    <col width="18" customWidth="1" style="32" min="8" max="10"/>
    <col width="4" customWidth="1" style="32" min="11" max="12"/>
  </cols>
  <sheetData>
    <row r="1" ht="27.95" customHeight="1" s="32">
      <c r="A1" s="25" t="inlineStr">
        <is>
          <t xml:space="preserve">bsolutely original add multiple charges </t>
        </is>
      </c>
    </row>
    <row r="2" ht="30" customHeight="1" s="32">
      <c r="A2" s="27" t="inlineStr">
        <is>
          <t>Executive view of CDM completeness, financial exposure, review status, and charge reconciliation.</t>
        </is>
      </c>
    </row>
    <row r="4">
      <c r="A4" s="30" t="inlineStr">
        <is>
          <t>Active CDM Records</t>
        </is>
      </c>
      <c r="D4" s="26" t="n"/>
      <c r="E4" s="30" t="inlineStr">
        <is>
          <t>Gross Charge Value</t>
        </is>
      </c>
      <c r="H4" s="26" t="n"/>
      <c r="I4" s="30" t="inlineStr">
        <is>
          <t>Expected Allowed</t>
        </is>
      </c>
      <c r="L4" s="26" t="n"/>
    </row>
    <row r="5">
      <c r="A5" s="29">
        <f>COUNTIF('CDM Master'!AD:AD,"Active")</f>
        <v/>
      </c>
      <c r="D5" s="26" t="n"/>
      <c r="E5" s="31">
        <f>SUM('IPD Encounter'!R5:R15)</f>
        <v/>
      </c>
      <c r="H5" s="26" t="n"/>
      <c r="I5" s="31">
        <f>SUM('IPD Encounter'!S5:S15)</f>
        <v/>
      </c>
      <c r="L5" s="26" t="n"/>
    </row>
    <row r="6">
      <c r="D6" s="26" t="n"/>
      <c r="H6" s="26" t="n"/>
      <c r="L6" s="26" t="n"/>
    </row>
    <row r="7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</row>
    <row r="8">
      <c r="A8" s="30" t="inlineStr">
        <is>
          <t>Patient Responsibility</t>
        </is>
      </c>
      <c r="D8" s="26" t="n"/>
      <c r="E8" s="30" t="inlineStr">
        <is>
          <t>Open Governance</t>
        </is>
      </c>
      <c r="H8" s="26" t="n"/>
      <c r="I8" s="30" t="inlineStr">
        <is>
          <t>Active Claim Edits</t>
        </is>
      </c>
      <c r="L8" s="26" t="n"/>
    </row>
    <row r="9">
      <c r="A9" s="31">
        <f>SUM('IPD Encounter'!T5:T15)</f>
        <v/>
      </c>
      <c r="D9" s="26" t="n"/>
      <c r="E9" s="29">
        <f>COUNTIF(Governance!O:O,"&lt;&gt;Closed")-1</f>
        <v/>
      </c>
      <c r="H9" s="26" t="n"/>
      <c r="I9" s="29">
        <f>COUNTIF('Claim Edits'!L:L,"Active")</f>
        <v/>
      </c>
      <c r="L9" s="26" t="n"/>
    </row>
    <row r="10">
      <c r="D10" s="26" t="n"/>
      <c r="H10" s="26" t="n"/>
      <c r="L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</row>
    <row r="13">
      <c r="A13" s="30" t="inlineStr">
        <is>
          <t>Department</t>
        </is>
      </c>
      <c r="B13" s="30" t="inlineStr">
        <is>
          <t>Gross Price Total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</row>
    <row r="14">
      <c r="A14" s="26" t="inlineStr">
        <is>
          <t>Operating Room</t>
        </is>
      </c>
      <c r="B14" s="3">
        <f>SUMIF('CDM Master'!E:E,A14,'CDM Master'!O:O)</f>
        <v/>
      </c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</row>
    <row r="15">
      <c r="A15" s="26" t="inlineStr">
        <is>
          <t>Pharmacy</t>
        </is>
      </c>
      <c r="B15" s="3">
        <f>SUMIF('CDM Master'!E:E,A15,'CDM Master'!O:O)</f>
        <v/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</row>
    <row r="16">
      <c r="A16" s="26" t="inlineStr">
        <is>
          <t>Radiology</t>
        </is>
      </c>
      <c r="B16" s="3">
        <f>SUMIF('CDM Master'!E:E,A16,'CDM Master'!O:O)</f>
        <v/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</row>
    <row r="17">
      <c r="A17" s="26" t="inlineStr">
        <is>
          <t>Laboratory</t>
        </is>
      </c>
      <c r="B17" s="3">
        <f>SUMIF('CDM Master'!E:E,A17,'CDM Master'!O:O)</f>
        <v/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</row>
    <row r="18">
      <c r="A18" s="26" t="inlineStr">
        <is>
          <t>Physical Therapy</t>
        </is>
      </c>
      <c r="B18" s="3">
        <f>SUMIF('CDM Master'!E:E,A18,'CDM Master'!O:O)</f>
        <v/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</row>
    <row r="19">
      <c r="A19" s="26" t="inlineStr">
        <is>
          <t>Surgical Supplies</t>
        </is>
      </c>
      <c r="B19" s="3">
        <f>SUMIF('CDM Master'!E:E,A19,'CDM Master'!O:O)</f>
        <v/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</row>
  </sheetData>
  <mergeCells count="14">
    <mergeCell ref="A2:L2"/>
    <mergeCell ref="A5:C6"/>
    <mergeCell ref="A8:C8"/>
    <mergeCell ref="A1:L1"/>
    <mergeCell ref="E5:G6"/>
    <mergeCell ref="I5:K6"/>
    <mergeCell ref="I8:K8"/>
    <mergeCell ref="I9:K10"/>
    <mergeCell ref="E8:G8"/>
    <mergeCell ref="E4:G4"/>
    <mergeCell ref="A9:C10"/>
    <mergeCell ref="E9:G10"/>
    <mergeCell ref="I4:K4"/>
    <mergeCell ref="A4:C4"/>
  </mergeCells>
  <pageMargins left="0.75" right="0.75" top="1" bottom="1" header="0.5" footer="0.5"/>
  <pageSetup fitToHeight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9"/>
  <sheetViews>
    <sheetView showGridLines="0" tabSelected="1" zoomScale="85" workbookViewId="0">
      <pane xSplit="5" ySplit="4" topLeftCell="F5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1" customWidth="1" style="32" min="1" max="1"/>
    <col width="18" customWidth="1" style="32" min="2" max="2"/>
    <col width="11" customWidth="1" style="32" min="3" max="3"/>
    <col width="12" customWidth="1" style="32" min="4" max="4"/>
    <col width="22" customWidth="1" style="32" min="5" max="5"/>
    <col width="18" customWidth="1" style="32" min="6" max="6"/>
    <col width="34" customWidth="1" style="32" min="7" max="7"/>
    <col width="30" customWidth="1" style="32" min="8" max="8"/>
    <col width="16" customWidth="1" style="32" min="9" max="9"/>
    <col width="12" customWidth="1" style="32" min="10" max="10"/>
    <col width="13" customWidth="1" style="32" min="11" max="11"/>
    <col width="10" customWidth="1" style="32" min="12" max="12"/>
    <col width="19" customWidth="1" style="32" min="13" max="13"/>
    <col width="15" customWidth="1" style="32" min="14" max="14"/>
    <col width="16" customWidth="1" style="32" min="15" max="15"/>
    <col width="12" customWidth="1" style="32" min="16" max="16"/>
    <col width="11" customWidth="1" style="32" min="17" max="17"/>
    <col width="12" customWidth="1" style="32" min="18" max="18"/>
    <col width="14" customWidth="1" style="32" min="19" max="19"/>
    <col width="9" customWidth="1" style="32" min="20" max="20"/>
    <col width="22" customWidth="1" style="32" min="21" max="21"/>
    <col width="17" customWidth="1" style="32" min="22" max="22"/>
    <col width="20" customWidth="1" style="32" min="23" max="23"/>
    <col width="13" customWidth="1" style="32" min="24" max="24"/>
    <col width="10" customWidth="1" style="32" min="25" max="25"/>
    <col width="14" customWidth="1" style="32" min="26" max="26"/>
    <col width="22" customWidth="1" style="32" min="27" max="27"/>
    <col width="14" customWidth="1" style="32" min="28" max="29"/>
    <col width="11" customWidth="1" style="32" min="30" max="30"/>
    <col width="24" customWidth="1" style="32" min="31" max="31"/>
    <col width="14" customWidth="1" style="32" min="32" max="33"/>
    <col width="12" customWidth="1" style="32" min="34" max="34"/>
    <col width="30" customWidth="1" style="32" min="35" max="35"/>
  </cols>
  <sheetData>
    <row r="1" ht="27.95" customHeight="1" s="32">
      <c r="A1" s="25" t="inlineStr">
        <is>
          <t>Charge Description Master (CDM)</t>
        </is>
      </c>
    </row>
    <row r="2" ht="30" customHeight="1" s="32">
      <c r="A2" s="27" t="inlineStr">
        <is>
          <t>Enterprise master of billable facility items/services, coding, pricing, ownership, and lifecycle controls.</t>
        </is>
      </c>
    </row>
    <row r="4" ht="38.1" customHeight="1" s="32">
      <c r="A4" s="4" t="inlineStr">
        <is>
          <t>Facility ID</t>
        </is>
      </c>
      <c r="B4" s="4" t="inlineStr">
        <is>
          <t>Location</t>
        </is>
      </c>
      <c r="C4" s="4" t="inlineStr">
        <is>
          <t>Service Area</t>
        </is>
      </c>
      <c r="D4" s="4" t="inlineStr">
        <is>
          <t>Department ID</t>
        </is>
      </c>
      <c r="E4" s="4" t="inlineStr">
        <is>
          <t>Department</t>
        </is>
      </c>
      <c r="F4" s="4" t="inlineStr">
        <is>
          <t>EAP/CDM Charge Code</t>
        </is>
      </c>
      <c r="G4" s="4" t="inlineStr">
        <is>
          <t>Charge Description</t>
        </is>
      </c>
      <c r="H4" s="4" t="inlineStr">
        <is>
          <t>Patient-Friendly Description</t>
        </is>
      </c>
      <c r="I4" s="4" t="inlineStr">
        <is>
          <t>Charge Type</t>
        </is>
      </c>
      <c r="J4" s="4" t="inlineStr">
        <is>
          <t>Revenue Code</t>
        </is>
      </c>
      <c r="K4" s="4" t="inlineStr">
        <is>
          <t>CPT/HCPCS</t>
        </is>
      </c>
      <c r="L4" s="4" t="inlineStr">
        <is>
          <t>Modifier</t>
        </is>
      </c>
      <c r="M4" s="4" t="inlineStr">
        <is>
          <t>NDC / Device ID</t>
        </is>
      </c>
      <c r="N4" s="4" t="inlineStr">
        <is>
          <t>Unit Basis</t>
        </is>
      </c>
      <c r="O4" s="4" t="inlineStr">
        <is>
          <t>Gross Unit Charge ($)</t>
        </is>
      </c>
      <c r="P4" s="4" t="inlineStr">
        <is>
          <t>Cost ($)</t>
        </is>
      </c>
      <c r="Q4" s="4" t="inlineStr">
        <is>
          <t>Markup %</t>
        </is>
      </c>
      <c r="R4" s="4" t="inlineStr">
        <is>
          <t>HCPCS Units</t>
        </is>
      </c>
      <c r="S4" s="4" t="inlineStr">
        <is>
          <t>Bill Area</t>
        </is>
      </c>
      <c r="T4" s="4" t="inlineStr">
        <is>
          <t>HB/PB</t>
        </is>
      </c>
      <c r="U4" s="4" t="inlineStr">
        <is>
          <t>Charge Trigger</t>
        </is>
      </c>
      <c r="V4" s="4" t="inlineStr">
        <is>
          <t>Source System</t>
        </is>
      </c>
      <c r="W4" s="4" t="inlineStr">
        <is>
          <t>Orderable/Procedure ID</t>
        </is>
      </c>
      <c r="X4" s="4" t="inlineStr">
        <is>
          <t>Price Tier</t>
        </is>
      </c>
      <c r="Y4" s="4" t="inlineStr">
        <is>
          <t>Taxable</t>
        </is>
      </c>
      <c r="Z4" s="4" t="inlineStr">
        <is>
          <t>Prior Auth Flag</t>
        </is>
      </c>
      <c r="AA4" s="4" t="inlineStr">
        <is>
          <t>Medical Necessity Rule</t>
        </is>
      </c>
      <c r="AB4" s="4" t="inlineStr">
        <is>
          <t>Effective Date</t>
        </is>
      </c>
      <c r="AC4" s="4" t="inlineStr">
        <is>
          <t>Termination Date</t>
        </is>
      </c>
      <c r="AD4" s="4" t="inlineStr">
        <is>
          <t>Status</t>
        </is>
      </c>
      <c r="AE4" s="4" t="inlineStr">
        <is>
          <t>Owner</t>
        </is>
      </c>
      <c r="AF4" s="4" t="inlineStr">
        <is>
          <t>Last Review Date</t>
        </is>
      </c>
      <c r="AG4" s="4" t="inlineStr">
        <is>
          <t>Next Review Date</t>
        </is>
      </c>
      <c r="AH4" s="4" t="inlineStr">
        <is>
          <t>Review Flag</t>
        </is>
      </c>
      <c r="AI4" s="4" t="inlineStr">
        <is>
          <t>Compliance Notes</t>
        </is>
      </c>
    </row>
    <row r="5">
      <c r="A5" s="26" t="inlineStr">
        <is>
          <t>MAIN</t>
        </is>
      </c>
      <c r="B5" s="26" t="inlineStr">
        <is>
          <t>Main Campus</t>
        </is>
      </c>
      <c r="C5" s="26" t="inlineStr">
        <is>
          <t>HB</t>
        </is>
      </c>
      <c r="D5" s="26" t="inlineStr">
        <is>
          <t>D100</t>
        </is>
      </c>
      <c r="E5" s="26" t="inlineStr">
        <is>
          <t>Inpatient Nursing</t>
        </is>
      </c>
      <c r="F5" s="26" t="inlineStr">
        <is>
          <t>RM-SP-001</t>
        </is>
      </c>
      <c r="G5" s="26" t="inlineStr">
        <is>
          <t>Semiprivate Medical/Surgical Room</t>
        </is>
      </c>
      <c r="H5" s="26" t="inlineStr">
        <is>
          <t>Semiprivate hospital room</t>
        </is>
      </c>
      <c r="I5" s="26" t="inlineStr">
        <is>
          <t>Accommodation</t>
        </is>
      </c>
      <c r="J5" s="26" t="inlineStr">
        <is>
          <t>0120</t>
        </is>
      </c>
      <c r="K5" s="26" t="n"/>
      <c r="L5" s="26" t="n"/>
      <c r="M5" s="26" t="n"/>
      <c r="N5" s="26" t="inlineStr">
        <is>
          <t>Per day</t>
        </is>
      </c>
      <c r="O5" s="5" t="n">
        <v>3500</v>
      </c>
      <c r="P5" s="5" t="n">
        <v>1200</v>
      </c>
      <c r="Q5" s="6">
        <f>IFERROR((O5-P5)/P5,0)</f>
        <v/>
      </c>
      <c r="R5" s="7" t="n">
        <v>1</v>
      </c>
      <c r="S5" s="26" t="inlineStr">
        <is>
          <t>HB-NURS</t>
        </is>
      </c>
      <c r="T5" s="26" t="inlineStr">
        <is>
          <t>HB</t>
        </is>
      </c>
      <c r="U5" s="26" t="inlineStr">
        <is>
          <t>ADT discharge</t>
        </is>
      </c>
      <c r="V5" s="26" t="inlineStr">
        <is>
          <t>ADT</t>
        </is>
      </c>
      <c r="W5" s="26" t="inlineStr">
        <is>
          <t>BED-SP</t>
        </is>
      </c>
      <c r="X5" s="26" t="inlineStr">
        <is>
          <t>Standard</t>
        </is>
      </c>
      <c r="Y5" s="26" t="inlineStr">
        <is>
          <t>No</t>
        </is>
      </c>
      <c r="Z5" s="26" t="inlineStr">
        <is>
          <t>No</t>
        </is>
      </c>
      <c r="AA5" s="26" t="inlineStr">
        <is>
          <t>N/A</t>
        </is>
      </c>
      <c r="AB5" s="8" t="inlineStr">
        <is>
          <t>2026-01-01</t>
        </is>
      </c>
      <c r="AC5" s="8" t="n"/>
      <c r="AD5" s="26" t="inlineStr">
        <is>
          <t>Active</t>
        </is>
      </c>
      <c r="AE5" s="26" t="inlineStr">
        <is>
          <t>Director Revenue Integrity</t>
        </is>
      </c>
      <c r="AF5" s="8" t="inlineStr">
        <is>
          <t>2026-07-15</t>
        </is>
      </c>
      <c r="AG5" s="9">
        <f>EDATE(AF5,12)</f>
        <v/>
      </c>
      <c r="AH5" s="10">
        <f>IF(AD5&lt;&gt;"Active","Inactive",IF(AG5&lt;TODAY(),"Overdue",IF(AG5&lt;=TODAY()+60,"Due Soon","Current")))</f>
        <v/>
      </c>
      <c r="AI5" s="26" t="n"/>
    </row>
    <row r="6">
      <c r="A6" s="26" t="inlineStr">
        <is>
          <t>MAIN</t>
        </is>
      </c>
      <c r="B6" s="26" t="inlineStr">
        <is>
          <t>Main Campus</t>
        </is>
      </c>
      <c r="C6" s="26" t="inlineStr">
        <is>
          <t>HB</t>
        </is>
      </c>
      <c r="D6" s="26" t="inlineStr">
        <is>
          <t>D105</t>
        </is>
      </c>
      <c r="E6" s="26" t="inlineStr">
        <is>
          <t>Intensive Care</t>
        </is>
      </c>
      <c r="F6" s="26" t="inlineStr">
        <is>
          <t>ICU-DAY-001</t>
        </is>
      </c>
      <c r="G6" s="26" t="inlineStr">
        <is>
          <t>Intensive Care Unit Room</t>
        </is>
      </c>
      <c r="H6" s="26" t="inlineStr">
        <is>
          <t>ICU room and monitoring</t>
        </is>
      </c>
      <c r="I6" s="26" t="inlineStr">
        <is>
          <t>Accommodation</t>
        </is>
      </c>
      <c r="J6" s="26" t="inlineStr">
        <is>
          <t>0200</t>
        </is>
      </c>
      <c r="K6" s="26" t="n"/>
      <c r="L6" s="26" t="n"/>
      <c r="M6" s="26" t="n"/>
      <c r="N6" s="26" t="inlineStr">
        <is>
          <t>Per day</t>
        </is>
      </c>
      <c r="O6" s="5" t="n">
        <v>8000</v>
      </c>
      <c r="P6" s="5" t="n">
        <v>3500</v>
      </c>
      <c r="Q6" s="6">
        <f>IFERROR((O6-P6)/P6,0)</f>
        <v/>
      </c>
      <c r="R6" s="7" t="n">
        <v>1</v>
      </c>
      <c r="S6" s="26" t="inlineStr">
        <is>
          <t>HB-ICU</t>
        </is>
      </c>
      <c r="T6" s="26" t="inlineStr">
        <is>
          <t>HB</t>
        </is>
      </c>
      <c r="U6" s="26" t="inlineStr">
        <is>
          <t>ADT bed event</t>
        </is>
      </c>
      <c r="V6" s="26" t="inlineStr">
        <is>
          <t>ADT</t>
        </is>
      </c>
      <c r="W6" s="26" t="inlineStr">
        <is>
          <t>BED-ICU</t>
        </is>
      </c>
      <c r="X6" s="26" t="inlineStr">
        <is>
          <t>Standard</t>
        </is>
      </c>
      <c r="Y6" s="26" t="inlineStr">
        <is>
          <t>No</t>
        </is>
      </c>
      <c r="Z6" s="26" t="inlineStr">
        <is>
          <t>No</t>
        </is>
      </c>
      <c r="AA6" s="26" t="inlineStr">
        <is>
          <t>N/A</t>
        </is>
      </c>
      <c r="AB6" s="8" t="inlineStr">
        <is>
          <t>2026-01-01</t>
        </is>
      </c>
      <c r="AC6" s="8" t="n"/>
      <c r="AD6" s="26" t="inlineStr">
        <is>
          <t>Active</t>
        </is>
      </c>
      <c r="AE6" s="26" t="inlineStr">
        <is>
          <t>Director Revenue Integrity</t>
        </is>
      </c>
      <c r="AF6" s="8" t="inlineStr">
        <is>
          <t>2026-07-15</t>
        </is>
      </c>
      <c r="AG6" s="9">
        <f>EDATE(AF6,12)</f>
        <v/>
      </c>
      <c r="AH6" s="10">
        <f>IF(AD6&lt;&gt;"Active","Inactive",IF(AG6&lt;TODAY(),"Overdue",IF(AG6&lt;=TODAY()+60,"Due Soon","Current")))</f>
        <v/>
      </c>
      <c r="AI6" s="26" t="n"/>
    </row>
    <row r="7">
      <c r="A7" s="26" t="inlineStr">
        <is>
          <t>MAIN</t>
        </is>
      </c>
      <c r="B7" s="26" t="inlineStr">
        <is>
          <t>Main Campus</t>
        </is>
      </c>
      <c r="C7" s="26" t="inlineStr">
        <is>
          <t>HB</t>
        </is>
      </c>
      <c r="D7" s="26" t="inlineStr">
        <is>
          <t>D200</t>
        </is>
      </c>
      <c r="E7" s="26" t="inlineStr">
        <is>
          <t>Operating Room</t>
        </is>
      </c>
      <c r="F7" s="26" t="inlineStr">
        <is>
          <t>OR-MAJOR-01</t>
        </is>
      </c>
      <c r="G7" s="26" t="inlineStr">
        <is>
          <t>Major Operating Room, First Hour</t>
        </is>
      </c>
      <c r="H7" s="26" t="inlineStr">
        <is>
          <t>Operating room first hour</t>
        </is>
      </c>
      <c r="I7" s="26" t="inlineStr">
        <is>
          <t>Timed Service</t>
        </is>
      </c>
      <c r="J7" s="26" t="inlineStr">
        <is>
          <t>0360</t>
        </is>
      </c>
      <c r="K7" s="26" t="n"/>
      <c r="L7" s="26" t="n"/>
      <c r="M7" s="26" t="n"/>
      <c r="N7" s="26" t="inlineStr">
        <is>
          <t>Per hour</t>
        </is>
      </c>
      <c r="O7" s="5" t="n">
        <v>10000</v>
      </c>
      <c r="P7" s="5" t="n">
        <v>4200</v>
      </c>
      <c r="Q7" s="6">
        <f>IFERROR((O7-P7)/P7,0)</f>
        <v/>
      </c>
      <c r="R7" s="7" t="n">
        <v>1</v>
      </c>
      <c r="S7" s="26" t="inlineStr">
        <is>
          <t>HB-OR</t>
        </is>
      </c>
      <c r="T7" s="26" t="inlineStr">
        <is>
          <t>HB</t>
        </is>
      </c>
      <c r="U7" s="26" t="inlineStr">
        <is>
          <t>Procedure end</t>
        </is>
      </c>
      <c r="V7" s="26" t="inlineStr">
        <is>
          <t>OpTime</t>
        </is>
      </c>
      <c r="W7" s="26" t="inlineStr">
        <is>
          <t>PROC-OR-MAJ</t>
        </is>
      </c>
      <c r="X7" s="26" t="inlineStr">
        <is>
          <t>Standard</t>
        </is>
      </c>
      <c r="Y7" s="26" t="inlineStr">
        <is>
          <t>No</t>
        </is>
      </c>
      <c r="Z7" s="26" t="inlineStr">
        <is>
          <t>Yes</t>
        </is>
      </c>
      <c r="AA7" s="26" t="inlineStr">
        <is>
          <t>Procedure-specific</t>
        </is>
      </c>
      <c r="AB7" s="8" t="inlineStr">
        <is>
          <t>2026-01-01</t>
        </is>
      </c>
      <c r="AC7" s="8" t="n"/>
      <c r="AD7" s="26" t="inlineStr">
        <is>
          <t>Active</t>
        </is>
      </c>
      <c r="AE7" s="26" t="inlineStr">
        <is>
          <t>OR Finance Manager</t>
        </is>
      </c>
      <c r="AF7" s="8" t="inlineStr">
        <is>
          <t>2026-08-01</t>
        </is>
      </c>
      <c r="AG7" s="9">
        <f>EDATE(AF7,12)</f>
        <v/>
      </c>
      <c r="AH7" s="10">
        <f>IF(AD7&lt;&gt;"Active","Inactive",IF(AG7&lt;TODAY(),"Overdue",IF(AG7&lt;=TODAY()+60,"Due Soon","Current")))</f>
        <v/>
      </c>
      <c r="AI7" s="26" t="n"/>
    </row>
    <row r="8">
      <c r="A8" s="26" t="inlineStr">
        <is>
          <t>MAIN</t>
        </is>
      </c>
      <c r="B8" s="26" t="inlineStr">
        <is>
          <t>Main Campus</t>
        </is>
      </c>
      <c r="C8" s="26" t="inlineStr">
        <is>
          <t>HB</t>
        </is>
      </c>
      <c r="D8" s="26" t="inlineStr">
        <is>
          <t>D200</t>
        </is>
      </c>
      <c r="E8" s="26" t="inlineStr">
        <is>
          <t>Operating Room</t>
        </is>
      </c>
      <c r="F8" s="26" t="inlineStr">
        <is>
          <t>OR-ADD-15</t>
        </is>
      </c>
      <c r="G8" s="26" t="inlineStr">
        <is>
          <t>Operating Room, Additional 15 Minutes</t>
        </is>
      </c>
      <c r="H8" s="26" t="inlineStr">
        <is>
          <t>Additional operating room time</t>
        </is>
      </c>
      <c r="I8" s="26" t="inlineStr">
        <is>
          <t>Timed Service</t>
        </is>
      </c>
      <c r="J8" s="26" t="inlineStr">
        <is>
          <t>0360</t>
        </is>
      </c>
      <c r="K8" s="26" t="n"/>
      <c r="L8" s="26" t="n"/>
      <c r="M8" s="26" t="n"/>
      <c r="N8" s="26" t="inlineStr">
        <is>
          <t>Per 15 minutes</t>
        </is>
      </c>
      <c r="O8" s="5" t="n">
        <v>1250</v>
      </c>
      <c r="P8" s="5" t="n">
        <v>525</v>
      </c>
      <c r="Q8" s="6">
        <f>IFERROR((O8-P8)/P8,0)</f>
        <v/>
      </c>
      <c r="R8" s="7" t="n">
        <v>1</v>
      </c>
      <c r="S8" s="26" t="inlineStr">
        <is>
          <t>HB-OR</t>
        </is>
      </c>
      <c r="T8" s="26" t="inlineStr">
        <is>
          <t>HB</t>
        </is>
      </c>
      <c r="U8" s="26" t="inlineStr">
        <is>
          <t>Procedure end</t>
        </is>
      </c>
      <c r="V8" s="26" t="inlineStr">
        <is>
          <t>OpTime</t>
        </is>
      </c>
      <c r="W8" s="26" t="inlineStr">
        <is>
          <t>PROC-OR-15</t>
        </is>
      </c>
      <c r="X8" s="26" t="inlineStr">
        <is>
          <t>Standard</t>
        </is>
      </c>
      <c r="Y8" s="26" t="inlineStr">
        <is>
          <t>No</t>
        </is>
      </c>
      <c r="Z8" s="26" t="inlineStr">
        <is>
          <t>Yes</t>
        </is>
      </c>
      <c r="AA8" s="26" t="inlineStr">
        <is>
          <t>Procedure-specific</t>
        </is>
      </c>
      <c r="AB8" s="8" t="inlineStr">
        <is>
          <t>2026-01-01</t>
        </is>
      </c>
      <c r="AC8" s="8" t="n"/>
      <c r="AD8" s="26" t="inlineStr">
        <is>
          <t>Active</t>
        </is>
      </c>
      <c r="AE8" s="26" t="inlineStr">
        <is>
          <t>OR Finance Manager</t>
        </is>
      </c>
      <c r="AF8" s="8" t="inlineStr">
        <is>
          <t>2026-08-01</t>
        </is>
      </c>
      <c r="AG8" s="9">
        <f>EDATE(AF8,12)</f>
        <v/>
      </c>
      <c r="AH8" s="10">
        <f>IF(AD8&lt;&gt;"Active","Inactive",IF(AG8&lt;TODAY(),"Overdue",IF(AG8&lt;=TODAY()+60,"Due Soon","Current")))</f>
        <v/>
      </c>
      <c r="AI8" s="26" t="n"/>
    </row>
    <row r="9">
      <c r="A9" s="26" t="inlineStr">
        <is>
          <t>MAIN</t>
        </is>
      </c>
      <c r="B9" s="26" t="inlineStr">
        <is>
          <t>Main Campus</t>
        </is>
      </c>
      <c r="C9" s="26" t="inlineStr">
        <is>
          <t>HB</t>
        </is>
      </c>
      <c r="D9" s="26" t="inlineStr">
        <is>
          <t>D210</t>
        </is>
      </c>
      <c r="E9" s="26" t="inlineStr">
        <is>
          <t>Recovery Room</t>
        </is>
      </c>
      <c r="F9" s="26" t="inlineStr">
        <is>
          <t>RR-HR-001</t>
        </is>
      </c>
      <c r="G9" s="26" t="inlineStr">
        <is>
          <t>Recovery Room, First Hour</t>
        </is>
      </c>
      <c r="H9" s="26" t="inlineStr">
        <is>
          <t>Recovery room first hour</t>
        </is>
      </c>
      <c r="I9" s="26" t="inlineStr">
        <is>
          <t>Timed Service</t>
        </is>
      </c>
      <c r="J9" s="26" t="inlineStr">
        <is>
          <t>0710</t>
        </is>
      </c>
      <c r="K9" s="26" t="n"/>
      <c r="L9" s="26" t="n"/>
      <c r="M9" s="26" t="n"/>
      <c r="N9" s="26" t="inlineStr">
        <is>
          <t>Per hour</t>
        </is>
      </c>
      <c r="O9" s="5" t="n">
        <v>2000</v>
      </c>
      <c r="P9" s="5" t="n">
        <v>720</v>
      </c>
      <c r="Q9" s="6">
        <f>IFERROR((O9-P9)/P9,0)</f>
        <v/>
      </c>
      <c r="R9" s="7" t="n">
        <v>1</v>
      </c>
      <c r="S9" s="26" t="inlineStr">
        <is>
          <t>HB-PACU</t>
        </is>
      </c>
      <c r="T9" s="26" t="inlineStr">
        <is>
          <t>HB</t>
        </is>
      </c>
      <c r="U9" s="26" t="inlineStr">
        <is>
          <t>PACU discharge</t>
        </is>
      </c>
      <c r="V9" s="26" t="inlineStr">
        <is>
          <t>OpTime</t>
        </is>
      </c>
      <c r="W9" s="26" t="inlineStr">
        <is>
          <t>PROC-PACU</t>
        </is>
      </c>
      <c r="X9" s="26" t="inlineStr">
        <is>
          <t>Standard</t>
        </is>
      </c>
      <c r="Y9" s="26" t="inlineStr">
        <is>
          <t>No</t>
        </is>
      </c>
      <c r="Z9" s="26" t="inlineStr">
        <is>
          <t>No</t>
        </is>
      </c>
      <c r="AA9" s="26" t="inlineStr">
        <is>
          <t>N/A</t>
        </is>
      </c>
      <c r="AB9" s="8" t="inlineStr">
        <is>
          <t>2026-01-01</t>
        </is>
      </c>
      <c r="AC9" s="8" t="n"/>
      <c r="AD9" s="26" t="inlineStr">
        <is>
          <t>Active</t>
        </is>
      </c>
      <c r="AE9" s="26" t="inlineStr">
        <is>
          <t>OR Finance Manager</t>
        </is>
      </c>
      <c r="AF9" s="8" t="inlineStr">
        <is>
          <t>2026-08-01</t>
        </is>
      </c>
      <c r="AG9" s="9">
        <f>EDATE(AF9,12)</f>
        <v/>
      </c>
      <c r="AH9" s="10">
        <f>IF(AD9&lt;&gt;"Active","Inactive",IF(AG9&lt;TODAY(),"Overdue",IF(AG9&lt;=TODAY()+60,"Due Soon","Current")))</f>
        <v/>
      </c>
      <c r="AI9" s="26" t="n"/>
    </row>
    <row r="10">
      <c r="A10" s="26" t="inlineStr">
        <is>
          <t>MAIN</t>
        </is>
      </c>
      <c r="B10" s="26" t="inlineStr">
        <is>
          <t>Main Campus</t>
        </is>
      </c>
      <c r="C10" s="26" t="inlineStr">
        <is>
          <t>HB</t>
        </is>
      </c>
      <c r="D10" s="26" t="inlineStr">
        <is>
          <t>D220</t>
        </is>
      </c>
      <c r="E10" s="26" t="inlineStr">
        <is>
          <t>Surgical Supplies</t>
        </is>
      </c>
      <c r="F10" s="26" t="inlineStr">
        <is>
          <t>IMP-KNEE-01</t>
        </is>
      </c>
      <c r="G10" s="26" t="inlineStr">
        <is>
          <t>Cemented Knee Implant Package</t>
        </is>
      </c>
      <c r="H10" s="26" t="inlineStr">
        <is>
          <t>Knee implant package</t>
        </is>
      </c>
      <c r="I10" s="26" t="inlineStr">
        <is>
          <t>Implant</t>
        </is>
      </c>
      <c r="J10" s="26" t="inlineStr">
        <is>
          <t>0278</t>
        </is>
      </c>
      <c r="K10" s="26" t="n"/>
      <c r="L10" s="26" t="n"/>
      <c r="M10" s="26" t="inlineStr">
        <is>
          <t>DI-088590000001</t>
        </is>
      </c>
      <c r="N10" s="26" t="inlineStr">
        <is>
          <t>Per implant</t>
        </is>
      </c>
      <c r="O10" s="5" t="n">
        <v>20000</v>
      </c>
      <c r="P10" s="5" t="n">
        <v>11500</v>
      </c>
      <c r="Q10" s="6">
        <f>IFERROR((O10-P10)/P10,0)</f>
        <v/>
      </c>
      <c r="R10" s="7" t="n">
        <v>1</v>
      </c>
      <c r="S10" s="26" t="inlineStr">
        <is>
          <t>HB-SUP</t>
        </is>
      </c>
      <c r="T10" s="26" t="inlineStr">
        <is>
          <t>HB</t>
        </is>
      </c>
      <c r="U10" s="26" t="inlineStr">
        <is>
          <t>Implant scan</t>
        </is>
      </c>
      <c r="V10" s="26" t="inlineStr">
        <is>
          <t>Inventory</t>
        </is>
      </c>
      <c r="W10" s="26" t="inlineStr">
        <is>
          <t>ITEM-KNEE-CEM</t>
        </is>
      </c>
      <c r="X10" s="26" t="inlineStr">
        <is>
          <t>Carve-Out</t>
        </is>
      </c>
      <c r="Y10" s="26" t="inlineStr">
        <is>
          <t>No</t>
        </is>
      </c>
      <c r="Z10" s="26" t="inlineStr">
        <is>
          <t>Yes</t>
        </is>
      </c>
      <c r="AA10" s="26" t="inlineStr">
        <is>
          <t>Contract rule</t>
        </is>
      </c>
      <c r="AB10" s="8" t="inlineStr">
        <is>
          <t>2026-01-01</t>
        </is>
      </c>
      <c r="AC10" s="8" t="n"/>
      <c r="AD10" s="26" t="inlineStr">
        <is>
          <t>Active</t>
        </is>
      </c>
      <c r="AE10" s="26" t="inlineStr">
        <is>
          <t>Supply Chain Finance</t>
        </is>
      </c>
      <c r="AF10" s="8" t="inlineStr">
        <is>
          <t>2026-06-30</t>
        </is>
      </c>
      <c r="AG10" s="9">
        <f>EDATE(AF10,12)</f>
        <v/>
      </c>
      <c r="AH10" s="10">
        <f>IF(AD10&lt;&gt;"Active","Inactive",IF(AG10&lt;TODAY(),"Overdue",IF(AG10&lt;=TODAY()+60,"Due Soon","Current")))</f>
        <v/>
      </c>
      <c r="AI10" s="26" t="n"/>
    </row>
    <row r="11">
      <c r="A11" s="26" t="inlineStr">
        <is>
          <t>MAIN</t>
        </is>
      </c>
      <c r="B11" s="26" t="inlineStr">
        <is>
          <t>Main Campus</t>
        </is>
      </c>
      <c r="C11" s="26" t="inlineStr">
        <is>
          <t>HB</t>
        </is>
      </c>
      <c r="D11" s="26" t="inlineStr">
        <is>
          <t>D220</t>
        </is>
      </c>
      <c r="E11" s="26" t="inlineStr">
        <is>
          <t>Surgical Supplies</t>
        </is>
      </c>
      <c r="F11" s="26" t="inlineStr">
        <is>
          <t>SUP-KNEE-01</t>
        </is>
      </c>
      <c r="G11" s="26" t="inlineStr">
        <is>
          <t>Knee Surgery Supply Pack</t>
        </is>
      </c>
      <c r="H11" s="26" t="inlineStr">
        <is>
          <t>Disposable knee surgery supplies</t>
        </is>
      </c>
      <c r="I11" s="26" t="inlineStr">
        <is>
          <t>Supply</t>
        </is>
      </c>
      <c r="J11" s="26" t="inlineStr">
        <is>
          <t>0270</t>
        </is>
      </c>
      <c r="K11" s="26" t="n"/>
      <c r="L11" s="26" t="n"/>
      <c r="M11" s="26" t="n"/>
      <c r="N11" s="26" t="inlineStr">
        <is>
          <t>Per pack</t>
        </is>
      </c>
      <c r="O11" s="5" t="n">
        <v>4000</v>
      </c>
      <c r="P11" s="5" t="n">
        <v>1450</v>
      </c>
      <c r="Q11" s="6">
        <f>IFERROR((O11-P11)/P11,0)</f>
        <v/>
      </c>
      <c r="R11" s="7" t="n">
        <v>1</v>
      </c>
      <c r="S11" s="26" t="inlineStr">
        <is>
          <t>HB-SUP</t>
        </is>
      </c>
      <c r="T11" s="26" t="inlineStr">
        <is>
          <t>HB</t>
        </is>
      </c>
      <c r="U11" s="26" t="inlineStr">
        <is>
          <t>Supply issue</t>
        </is>
      </c>
      <c r="V11" s="26" t="inlineStr">
        <is>
          <t>Inventory</t>
        </is>
      </c>
      <c r="W11" s="26" t="inlineStr">
        <is>
          <t>ITEM-KNEE-PACK</t>
        </is>
      </c>
      <c r="X11" s="26" t="inlineStr">
        <is>
          <t>Standard</t>
        </is>
      </c>
      <c r="Y11" s="26" t="inlineStr">
        <is>
          <t>No</t>
        </is>
      </c>
      <c r="Z11" s="26" t="inlineStr">
        <is>
          <t>No</t>
        </is>
      </c>
      <c r="AA11" s="26" t="inlineStr">
        <is>
          <t>N/A</t>
        </is>
      </c>
      <c r="AB11" s="8" t="inlineStr">
        <is>
          <t>2026-01-01</t>
        </is>
      </c>
      <c r="AC11" s="8" t="n"/>
      <c r="AD11" s="26" t="inlineStr">
        <is>
          <t>Active</t>
        </is>
      </c>
      <c r="AE11" s="26" t="inlineStr">
        <is>
          <t>Supply Chain Finance</t>
        </is>
      </c>
      <c r="AF11" s="8" t="inlineStr">
        <is>
          <t>2026-06-30</t>
        </is>
      </c>
      <c r="AG11" s="9">
        <f>EDATE(AF11,12)</f>
        <v/>
      </c>
      <c r="AH11" s="10">
        <f>IF(AD11&lt;&gt;"Active","Inactive",IF(AG11&lt;TODAY(),"Overdue",IF(AG11&lt;=TODAY()+60,"Due Soon","Current")))</f>
        <v/>
      </c>
      <c r="AI11" s="26" t="n"/>
    </row>
    <row r="12">
      <c r="A12" s="26" t="inlineStr">
        <is>
          <t>MAIN</t>
        </is>
      </c>
      <c r="B12" s="26" t="inlineStr">
        <is>
          <t>Main Campus</t>
        </is>
      </c>
      <c r="C12" s="26" t="inlineStr">
        <is>
          <t>HB</t>
        </is>
      </c>
      <c r="D12" s="26" t="inlineStr">
        <is>
          <t>D300</t>
        </is>
      </c>
      <c r="E12" s="26" t="inlineStr">
        <is>
          <t>Pharmacy</t>
        </is>
      </c>
      <c r="F12" s="26" t="inlineStr">
        <is>
          <t>PH-IV-ABX-01</t>
        </is>
      </c>
      <c r="G12" s="26" t="inlineStr">
        <is>
          <t>Cefazolin 1 g Injection</t>
        </is>
      </c>
      <c r="H12" s="26" t="inlineStr">
        <is>
          <t>Cefazolin antibiotic injection</t>
        </is>
      </c>
      <c r="I12" s="26" t="inlineStr">
        <is>
          <t>Drug</t>
        </is>
      </c>
      <c r="J12" s="26" t="inlineStr">
        <is>
          <t>0250</t>
        </is>
      </c>
      <c r="K12" s="26" t="inlineStr">
        <is>
          <t>J0690</t>
        </is>
      </c>
      <c r="L12" s="26" t="n"/>
      <c r="M12" s="26" t="inlineStr">
        <is>
          <t>00071-3069-23</t>
        </is>
      </c>
      <c r="N12" s="26" t="inlineStr">
        <is>
          <t>Per 1 g</t>
        </is>
      </c>
      <c r="O12" s="5" t="n">
        <v>500</v>
      </c>
      <c r="P12" s="5" t="n">
        <v>42</v>
      </c>
      <c r="Q12" s="6">
        <f>IFERROR((O12-P12)/P12,0)</f>
        <v/>
      </c>
      <c r="R12" s="7" t="n">
        <v>1</v>
      </c>
      <c r="S12" s="26" t="inlineStr">
        <is>
          <t>HB-PHAR</t>
        </is>
      </c>
      <c r="T12" s="26" t="inlineStr">
        <is>
          <t>HB</t>
        </is>
      </c>
      <c r="U12" s="26" t="inlineStr">
        <is>
          <t>Medication administration</t>
        </is>
      </c>
      <c r="V12" s="26" t="inlineStr">
        <is>
          <t>Willow/MAR</t>
        </is>
      </c>
      <c r="W12" s="26" t="inlineStr">
        <is>
          <t>MED-CEFAZ-1G</t>
        </is>
      </c>
      <c r="X12" s="26" t="inlineStr">
        <is>
          <t>Drug</t>
        </is>
      </c>
      <c r="Y12" s="26" t="inlineStr">
        <is>
          <t>No</t>
        </is>
      </c>
      <c r="Z12" s="26" t="inlineStr">
        <is>
          <t>No</t>
        </is>
      </c>
      <c r="AA12" s="26" t="inlineStr">
        <is>
          <t>Dose/frequency</t>
        </is>
      </c>
      <c r="AB12" s="8" t="inlineStr">
        <is>
          <t>2026-01-01</t>
        </is>
      </c>
      <c r="AC12" s="8" t="n"/>
      <c r="AD12" s="26" t="inlineStr">
        <is>
          <t>Active</t>
        </is>
      </c>
      <c r="AE12" s="26" t="inlineStr">
        <is>
          <t>Pharmacy Revenue Integrity</t>
        </is>
      </c>
      <c r="AF12" s="8" t="inlineStr">
        <is>
          <t>2026-09-01</t>
        </is>
      </c>
      <c r="AG12" s="9">
        <f>EDATE(AF12,12)</f>
        <v/>
      </c>
      <c r="AH12" s="10">
        <f>IF(AD12&lt;&gt;"Active","Inactive",IF(AG12&lt;TODAY(),"Overdue",IF(AG12&lt;=TODAY()+60,"Due Soon","Current")))</f>
        <v/>
      </c>
      <c r="AI12" s="26" t="n"/>
    </row>
    <row r="13">
      <c r="A13" s="26" t="inlineStr">
        <is>
          <t>MAIN</t>
        </is>
      </c>
      <c r="B13" s="26" t="inlineStr">
        <is>
          <t>Main Campus</t>
        </is>
      </c>
      <c r="C13" s="26" t="inlineStr">
        <is>
          <t>HB</t>
        </is>
      </c>
      <c r="D13" s="26" t="inlineStr">
        <is>
          <t>D400</t>
        </is>
      </c>
      <c r="E13" s="26" t="inlineStr">
        <is>
          <t>Laboratory</t>
        </is>
      </c>
      <c r="F13" s="26" t="inlineStr">
        <is>
          <t>LAB-CBC-001</t>
        </is>
      </c>
      <c r="G13" s="26" t="inlineStr">
        <is>
          <t>Complete Blood Count with Automated Differential</t>
        </is>
      </c>
      <c r="H13" s="26" t="inlineStr">
        <is>
          <t>Complete blood count test</t>
        </is>
      </c>
      <c r="I13" s="26" t="inlineStr">
        <is>
          <t>Lab</t>
        </is>
      </c>
      <c r="J13" s="26" t="inlineStr">
        <is>
          <t>0300</t>
        </is>
      </c>
      <c r="K13" s="26" t="inlineStr">
        <is>
          <t>85025</t>
        </is>
      </c>
      <c r="L13" s="26" t="n"/>
      <c r="M13" s="26" t="n"/>
      <c r="N13" s="26" t="inlineStr">
        <is>
          <t>Per test</t>
        </is>
      </c>
      <c r="O13" s="5" t="n">
        <v>150</v>
      </c>
      <c r="P13" s="5" t="n">
        <v>22</v>
      </c>
      <c r="Q13" s="6">
        <f>IFERROR((O13-P13)/P13,0)</f>
        <v/>
      </c>
      <c r="R13" s="7" t="n">
        <v>1</v>
      </c>
      <c r="S13" s="26" t="inlineStr">
        <is>
          <t>HB-LAB</t>
        </is>
      </c>
      <c r="T13" s="26" t="inlineStr">
        <is>
          <t>HB</t>
        </is>
      </c>
      <c r="U13" s="26" t="inlineStr">
        <is>
          <t>Final result</t>
        </is>
      </c>
      <c r="V13" s="26" t="inlineStr">
        <is>
          <t>LIS</t>
        </is>
      </c>
      <c r="W13" s="26" t="inlineStr">
        <is>
          <t>LAB-CBC</t>
        </is>
      </c>
      <c r="X13" s="26" t="inlineStr">
        <is>
          <t>Standard</t>
        </is>
      </c>
      <c r="Y13" s="26" t="inlineStr">
        <is>
          <t>No</t>
        </is>
      </c>
      <c r="Z13" s="26" t="inlineStr">
        <is>
          <t>No</t>
        </is>
      </c>
      <c r="AA13" s="26" t="inlineStr">
        <is>
          <t>Diagnosis/LCD</t>
        </is>
      </c>
      <c r="AB13" s="8" t="inlineStr">
        <is>
          <t>2026-01-01</t>
        </is>
      </c>
      <c r="AC13" s="8" t="n"/>
      <c r="AD13" s="26" t="inlineStr">
        <is>
          <t>Active</t>
        </is>
      </c>
      <c r="AE13" s="26" t="inlineStr">
        <is>
          <t>Lab Finance Manager</t>
        </is>
      </c>
      <c r="AF13" s="8" t="inlineStr">
        <is>
          <t>2026-08-15</t>
        </is>
      </c>
      <c r="AG13" s="9">
        <f>EDATE(AF13,12)</f>
        <v/>
      </c>
      <c r="AH13" s="10">
        <f>IF(AD13&lt;&gt;"Active","Inactive",IF(AG13&lt;TODAY(),"Overdue",IF(AG13&lt;=TODAY()+60,"Due Soon","Current")))</f>
        <v/>
      </c>
      <c r="AI13" s="26" t="n"/>
    </row>
    <row r="14">
      <c r="A14" s="26" t="inlineStr">
        <is>
          <t>MAIN</t>
        </is>
      </c>
      <c r="B14" s="26" t="inlineStr">
        <is>
          <t>Main Campus</t>
        </is>
      </c>
      <c r="C14" s="26" t="inlineStr">
        <is>
          <t>HB</t>
        </is>
      </c>
      <c r="D14" s="26" t="inlineStr">
        <is>
          <t>D500</t>
        </is>
      </c>
      <c r="E14" s="26" t="inlineStr">
        <is>
          <t>Radiology</t>
        </is>
      </c>
      <c r="F14" s="26" t="inlineStr">
        <is>
          <t>RAD-KNEE-01</t>
        </is>
      </c>
      <c r="G14" s="26" t="inlineStr">
        <is>
          <t>Knee X-ray, 1-2 Views</t>
        </is>
      </c>
      <c r="H14" s="26" t="inlineStr">
        <is>
          <t>Knee X-ray</t>
        </is>
      </c>
      <c r="I14" s="26" t="inlineStr">
        <is>
          <t>Imaging</t>
        </is>
      </c>
      <c r="J14" s="26" t="inlineStr">
        <is>
          <t>0320</t>
        </is>
      </c>
      <c r="K14" s="26" t="inlineStr">
        <is>
          <t>73560</t>
        </is>
      </c>
      <c r="L14" s="26" t="n"/>
      <c r="M14" s="26" t="n"/>
      <c r="N14" s="26" t="inlineStr">
        <is>
          <t>Per study</t>
        </is>
      </c>
      <c r="O14" s="5" t="n">
        <v>400</v>
      </c>
      <c r="P14" s="5" t="n">
        <v>60</v>
      </c>
      <c r="Q14" s="6">
        <f>IFERROR((O14-P14)/P14,0)</f>
        <v/>
      </c>
      <c r="R14" s="7" t="n">
        <v>1</v>
      </c>
      <c r="S14" s="26" t="inlineStr">
        <is>
          <t>HB-RAD</t>
        </is>
      </c>
      <c r="T14" s="26" t="inlineStr">
        <is>
          <t>HB</t>
        </is>
      </c>
      <c r="U14" s="26" t="inlineStr">
        <is>
          <t>Exam completed</t>
        </is>
      </c>
      <c r="V14" s="26" t="inlineStr">
        <is>
          <t>RIS/PACS</t>
        </is>
      </c>
      <c r="W14" s="26" t="inlineStr">
        <is>
          <t>IMG-KNEE-2V</t>
        </is>
      </c>
      <c r="X14" s="26" t="inlineStr">
        <is>
          <t>Standard</t>
        </is>
      </c>
      <c r="Y14" s="26" t="inlineStr">
        <is>
          <t>No</t>
        </is>
      </c>
      <c r="Z14" s="26" t="inlineStr">
        <is>
          <t>No</t>
        </is>
      </c>
      <c r="AA14" s="26" t="inlineStr">
        <is>
          <t>Diagnosis/LCD</t>
        </is>
      </c>
      <c r="AB14" s="8" t="inlineStr">
        <is>
          <t>2026-01-01</t>
        </is>
      </c>
      <c r="AC14" s="8" t="n"/>
      <c r="AD14" s="26" t="inlineStr">
        <is>
          <t>Active</t>
        </is>
      </c>
      <c r="AE14" s="26" t="inlineStr">
        <is>
          <t>Imaging Finance Manager</t>
        </is>
      </c>
      <c r="AF14" s="8" t="inlineStr">
        <is>
          <t>2026-08-15</t>
        </is>
      </c>
      <c r="AG14" s="9">
        <f>EDATE(AF14,12)</f>
        <v/>
      </c>
      <c r="AH14" s="10">
        <f>IF(AD14&lt;&gt;"Active","Inactive",IF(AG14&lt;TODAY(),"Overdue",IF(AG14&lt;=TODAY()+60,"Due Soon","Current")))</f>
        <v/>
      </c>
      <c r="AI14" s="26" t="n"/>
    </row>
    <row r="15">
      <c r="A15" s="26" t="inlineStr">
        <is>
          <t>OUT</t>
        </is>
      </c>
      <c r="B15" s="26" t="inlineStr">
        <is>
          <t>Outpatient Center</t>
        </is>
      </c>
      <c r="C15" s="26" t="inlineStr">
        <is>
          <t>HB</t>
        </is>
      </c>
      <c r="D15" s="26" t="inlineStr">
        <is>
          <t>D505</t>
        </is>
      </c>
      <c r="E15" s="26" t="inlineStr">
        <is>
          <t>Radiology</t>
        </is>
      </c>
      <c r="F15" s="26" t="inlineStr">
        <is>
          <t>RAD-CHEST-02</t>
        </is>
      </c>
      <c r="G15" s="26" t="inlineStr">
        <is>
          <t>Chest X-ray, 2 Views</t>
        </is>
      </c>
      <c r="H15" s="26" t="inlineStr">
        <is>
          <t>Two-view chest X-ray</t>
        </is>
      </c>
      <c r="I15" s="26" t="inlineStr">
        <is>
          <t>Imaging</t>
        </is>
      </c>
      <c r="J15" s="26" t="inlineStr">
        <is>
          <t>0320</t>
        </is>
      </c>
      <c r="K15" s="26" t="inlineStr">
        <is>
          <t>71046</t>
        </is>
      </c>
      <c r="L15" s="26" t="n"/>
      <c r="M15" s="26" t="n"/>
      <c r="N15" s="26" t="inlineStr">
        <is>
          <t>Per study</t>
        </is>
      </c>
      <c r="O15" s="5" t="n">
        <v>180</v>
      </c>
      <c r="P15" s="5" t="n">
        <v>38</v>
      </c>
      <c r="Q15" s="6">
        <f>IFERROR((O15-P15)/P15,0)</f>
        <v/>
      </c>
      <c r="R15" s="7" t="n">
        <v>1</v>
      </c>
      <c r="S15" s="26" t="inlineStr">
        <is>
          <t>HB-RAD</t>
        </is>
      </c>
      <c r="T15" s="26" t="inlineStr">
        <is>
          <t>HB</t>
        </is>
      </c>
      <c r="U15" s="26" t="inlineStr">
        <is>
          <t>Exam completed</t>
        </is>
      </c>
      <c r="V15" s="26" t="inlineStr">
        <is>
          <t>RIS/PACS</t>
        </is>
      </c>
      <c r="W15" s="26" t="inlineStr">
        <is>
          <t>IMG-CXR-2V</t>
        </is>
      </c>
      <c r="X15" s="26" t="inlineStr">
        <is>
          <t>Standard</t>
        </is>
      </c>
      <c r="Y15" s="26" t="inlineStr">
        <is>
          <t>No</t>
        </is>
      </c>
      <c r="Z15" s="26" t="inlineStr">
        <is>
          <t>No</t>
        </is>
      </c>
      <c r="AA15" s="26" t="inlineStr">
        <is>
          <t>Diagnosis/LCD</t>
        </is>
      </c>
      <c r="AB15" s="8" t="inlineStr">
        <is>
          <t>2026-01-01</t>
        </is>
      </c>
      <c r="AC15" s="8" t="n"/>
      <c r="AD15" s="26" t="inlineStr">
        <is>
          <t>Active</t>
        </is>
      </c>
      <c r="AE15" s="26" t="inlineStr">
        <is>
          <t>Imaging Finance Manager</t>
        </is>
      </c>
      <c r="AF15" s="8" t="inlineStr">
        <is>
          <t>2026-08-15</t>
        </is>
      </c>
      <c r="AG15" s="9">
        <f>EDATE(AF15,12)</f>
        <v/>
      </c>
      <c r="AH15" s="10">
        <f>IF(AD15&lt;&gt;"Active","Inactive",IF(AG15&lt;TODAY(),"Overdue",IF(AG15&lt;=TODAY()+60,"Due Soon","Current")))</f>
        <v/>
      </c>
      <c r="AI15" s="26" t="n"/>
    </row>
    <row r="16">
      <c r="A16" s="26" t="inlineStr">
        <is>
          <t>MAIN</t>
        </is>
      </c>
      <c r="B16" s="26" t="inlineStr">
        <is>
          <t>Main Campus</t>
        </is>
      </c>
      <c r="C16" s="26" t="inlineStr">
        <is>
          <t>HB</t>
        </is>
      </c>
      <c r="D16" s="26" t="inlineStr">
        <is>
          <t>D600</t>
        </is>
      </c>
      <c r="E16" s="26" t="inlineStr">
        <is>
          <t>Physical Therapy</t>
        </is>
      </c>
      <c r="F16" s="26" t="inlineStr">
        <is>
          <t>PT-EVAL-01</t>
        </is>
      </c>
      <c r="G16" s="26" t="inlineStr">
        <is>
          <t>Physical Therapy Initial Evaluation, Low Complexity</t>
        </is>
      </c>
      <c r="H16" s="26" t="inlineStr">
        <is>
          <t>Initial physical therapy evaluation</t>
        </is>
      </c>
      <c r="I16" s="26" t="inlineStr">
        <is>
          <t>Therapy</t>
        </is>
      </c>
      <c r="J16" s="26" t="inlineStr">
        <is>
          <t>0420</t>
        </is>
      </c>
      <c r="K16" s="26" t="inlineStr">
        <is>
          <t>97161</t>
        </is>
      </c>
      <c r="L16" s="26" t="n"/>
      <c r="M16" s="26" t="n"/>
      <c r="N16" s="26" t="inlineStr">
        <is>
          <t>Per session</t>
        </is>
      </c>
      <c r="O16" s="5" t="n">
        <v>700</v>
      </c>
      <c r="P16" s="5" t="n">
        <v>145</v>
      </c>
      <c r="Q16" s="6">
        <f>IFERROR((O16-P16)/P16,0)</f>
        <v/>
      </c>
      <c r="R16" s="7" t="n">
        <v>1</v>
      </c>
      <c r="S16" s="26" t="inlineStr">
        <is>
          <t>HB-THER</t>
        </is>
      </c>
      <c r="T16" s="26" t="inlineStr">
        <is>
          <t>HB</t>
        </is>
      </c>
      <c r="U16" s="26" t="inlineStr">
        <is>
          <t>Note signed</t>
        </is>
      </c>
      <c r="V16" s="26" t="inlineStr">
        <is>
          <t>Therapy</t>
        </is>
      </c>
      <c r="W16" s="26" t="inlineStr">
        <is>
          <t>PT-EVAL-LOW</t>
        </is>
      </c>
      <c r="X16" s="26" t="inlineStr">
        <is>
          <t>Standard</t>
        </is>
      </c>
      <c r="Y16" s="26" t="inlineStr">
        <is>
          <t>No</t>
        </is>
      </c>
      <c r="Z16" s="26" t="inlineStr">
        <is>
          <t>Yes</t>
        </is>
      </c>
      <c r="AA16" s="26" t="inlineStr">
        <is>
          <t>Plan benefits</t>
        </is>
      </c>
      <c r="AB16" s="8" t="inlineStr">
        <is>
          <t>2026-01-01</t>
        </is>
      </c>
      <c r="AC16" s="8" t="n"/>
      <c r="AD16" s="26" t="inlineStr">
        <is>
          <t>Active</t>
        </is>
      </c>
      <c r="AE16" s="26" t="inlineStr">
        <is>
          <t>Rehab Finance Manager</t>
        </is>
      </c>
      <c r="AF16" s="8" t="inlineStr">
        <is>
          <t>2026-07-31</t>
        </is>
      </c>
      <c r="AG16" s="9">
        <f>EDATE(AF16,12)</f>
        <v/>
      </c>
      <c r="AH16" s="10">
        <f>IF(AD16&lt;&gt;"Active","Inactive",IF(AG16&lt;TODAY(),"Overdue",IF(AG16&lt;=TODAY()+60,"Due Soon","Current")))</f>
        <v/>
      </c>
      <c r="AI16" s="26" t="n"/>
    </row>
    <row r="17">
      <c r="A17" s="26" t="inlineStr">
        <is>
          <t>MAIN</t>
        </is>
      </c>
      <c r="B17" s="26" t="inlineStr">
        <is>
          <t>Main Campus</t>
        </is>
      </c>
      <c r="C17" s="26" t="inlineStr">
        <is>
          <t>HB</t>
        </is>
      </c>
      <c r="D17" s="26" t="inlineStr">
        <is>
          <t>D600</t>
        </is>
      </c>
      <c r="E17" s="26" t="inlineStr">
        <is>
          <t>Physical Therapy</t>
        </is>
      </c>
      <c r="F17" s="26" t="inlineStr">
        <is>
          <t>PT-EX-15</t>
        </is>
      </c>
      <c r="G17" s="26" t="inlineStr">
        <is>
          <t>Therapeutic Exercise</t>
        </is>
      </c>
      <c r="H17" s="26" t="inlineStr">
        <is>
          <t>Therapeutic exercise</t>
        </is>
      </c>
      <c r="I17" s="26" t="inlineStr">
        <is>
          <t>Therapy</t>
        </is>
      </c>
      <c r="J17" s="26" t="inlineStr">
        <is>
          <t>0420</t>
        </is>
      </c>
      <c r="K17" s="26" t="inlineStr">
        <is>
          <t>97110</t>
        </is>
      </c>
      <c r="L17" s="26" t="n"/>
      <c r="M17" s="26" t="n"/>
      <c r="N17" s="26" t="inlineStr">
        <is>
          <t>Per 15 minutes</t>
        </is>
      </c>
      <c r="O17" s="5" t="n">
        <v>300</v>
      </c>
      <c r="P17" s="5" t="n">
        <v>62</v>
      </c>
      <c r="Q17" s="6">
        <f>IFERROR((O17-P17)/P17,0)</f>
        <v/>
      </c>
      <c r="R17" s="7" t="n">
        <v>1</v>
      </c>
      <c r="S17" s="26" t="inlineStr">
        <is>
          <t>HB-THER</t>
        </is>
      </c>
      <c r="T17" s="26" t="inlineStr">
        <is>
          <t>HB</t>
        </is>
      </c>
      <c r="U17" s="26" t="inlineStr">
        <is>
          <t>Note signed</t>
        </is>
      </c>
      <c r="V17" s="26" t="inlineStr">
        <is>
          <t>Therapy</t>
        </is>
      </c>
      <c r="W17" s="26" t="inlineStr">
        <is>
          <t>PT-THEREX</t>
        </is>
      </c>
      <c r="X17" s="26" t="inlineStr">
        <is>
          <t>Standard</t>
        </is>
      </c>
      <c r="Y17" s="26" t="inlineStr">
        <is>
          <t>No</t>
        </is>
      </c>
      <c r="Z17" s="26" t="inlineStr">
        <is>
          <t>Yes</t>
        </is>
      </c>
      <c r="AA17" s="26" t="inlineStr">
        <is>
          <t>Timed units</t>
        </is>
      </c>
      <c r="AB17" s="8" t="inlineStr">
        <is>
          <t>2026-01-01</t>
        </is>
      </c>
      <c r="AC17" s="8" t="n"/>
      <c r="AD17" s="26" t="inlineStr">
        <is>
          <t>Active</t>
        </is>
      </c>
      <c r="AE17" s="26" t="inlineStr">
        <is>
          <t>Rehab Finance Manager</t>
        </is>
      </c>
      <c r="AF17" s="8" t="inlineStr">
        <is>
          <t>2026-07-31</t>
        </is>
      </c>
      <c r="AG17" s="9">
        <f>EDATE(AF17,12)</f>
        <v/>
      </c>
      <c r="AH17" s="10">
        <f>IF(AD17&lt;&gt;"Active","Inactive",IF(AG17&lt;TODAY(),"Overdue",IF(AG17&lt;=TODAY()+60,"Due Soon","Current")))</f>
        <v/>
      </c>
      <c r="AI17" s="26" t="n"/>
    </row>
    <row r="18">
      <c r="A18" s="26" t="inlineStr">
        <is>
          <t>OUT</t>
        </is>
      </c>
      <c r="B18" s="26" t="inlineStr">
        <is>
          <t>Outpatient Center</t>
        </is>
      </c>
      <c r="C18" s="26" t="inlineStr">
        <is>
          <t>HB</t>
        </is>
      </c>
      <c r="D18" s="26" t="inlineStr">
        <is>
          <t>D700</t>
        </is>
      </c>
      <c r="E18" s="26" t="inlineStr">
        <is>
          <t>Hospital Clinic</t>
        </is>
      </c>
      <c r="F18" s="26" t="inlineStr">
        <is>
          <t>OPD-CLINIC-01</t>
        </is>
      </c>
      <c r="G18" s="26" t="inlineStr">
        <is>
          <t>Hospital Outpatient Clinic Visit, Level 4</t>
        </is>
      </c>
      <c r="H18" s="26" t="inlineStr">
        <is>
          <t>Hospital clinic facility visit</t>
        </is>
      </c>
      <c r="I18" s="26" t="inlineStr">
        <is>
          <t>Clinic</t>
        </is>
      </c>
      <c r="J18" s="26" t="inlineStr">
        <is>
          <t>0510</t>
        </is>
      </c>
      <c r="K18" s="26" t="inlineStr">
        <is>
          <t>99214</t>
        </is>
      </c>
      <c r="L18" s="26" t="n"/>
      <c r="M18" s="26" t="n"/>
      <c r="N18" s="26" t="inlineStr">
        <is>
          <t>Per visit</t>
        </is>
      </c>
      <c r="O18" s="5" t="n">
        <v>400</v>
      </c>
      <c r="P18" s="5" t="n">
        <v>95</v>
      </c>
      <c r="Q18" s="6">
        <f>IFERROR((O18-P18)/P18,0)</f>
        <v/>
      </c>
      <c r="R18" s="7" t="n">
        <v>1</v>
      </c>
      <c r="S18" s="26" t="inlineStr">
        <is>
          <t>HB-CLIN</t>
        </is>
      </c>
      <c r="T18" s="26" t="inlineStr">
        <is>
          <t>HB</t>
        </is>
      </c>
      <c r="U18" s="26" t="inlineStr">
        <is>
          <t>Visit close</t>
        </is>
      </c>
      <c r="V18" s="26" t="inlineStr">
        <is>
          <t>Cadence/ClinDoc</t>
        </is>
      </c>
      <c r="W18" s="26" t="inlineStr">
        <is>
          <t>VISIT-L4</t>
        </is>
      </c>
      <c r="X18" s="26" t="inlineStr">
        <is>
          <t>Standard</t>
        </is>
      </c>
      <c r="Y18" s="26" t="inlineStr">
        <is>
          <t>No</t>
        </is>
      </c>
      <c r="Z18" s="26" t="inlineStr">
        <is>
          <t>No</t>
        </is>
      </c>
      <c r="AA18" s="26" t="inlineStr">
        <is>
          <t>E/M documentation</t>
        </is>
      </c>
      <c r="AB18" s="8" t="inlineStr">
        <is>
          <t>2026-01-01</t>
        </is>
      </c>
      <c r="AC18" s="8" t="n"/>
      <c r="AD18" s="26" t="inlineStr">
        <is>
          <t>Active</t>
        </is>
      </c>
      <c r="AE18" s="26" t="inlineStr">
        <is>
          <t>Ambulatory Finance Manager</t>
        </is>
      </c>
      <c r="AF18" s="8" t="inlineStr">
        <is>
          <t>2026-09-01</t>
        </is>
      </c>
      <c r="AG18" s="9">
        <f>EDATE(AF18,12)</f>
        <v/>
      </c>
      <c r="AH18" s="10">
        <f>IF(AD18&lt;&gt;"Active","Inactive",IF(AG18&lt;TODAY(),"Overdue",IF(AG18&lt;=TODAY()+60,"Due Soon","Current")))</f>
        <v/>
      </c>
      <c r="AI18" s="26" t="n"/>
    </row>
    <row r="19">
      <c r="A19" s="26" t="inlineStr">
        <is>
          <t>MAIN</t>
        </is>
      </c>
      <c r="B19" s="26" t="inlineStr">
        <is>
          <t>Main Campus</t>
        </is>
      </c>
      <c r="C19" s="26" t="inlineStr">
        <is>
          <t>PB</t>
        </is>
      </c>
      <c r="D19" s="26" t="inlineStr">
        <is>
          <t>D800</t>
        </is>
      </c>
      <c r="E19" s="26" t="inlineStr">
        <is>
          <t>Orthopedics Professional</t>
        </is>
      </c>
      <c r="F19" s="26" t="inlineStr">
        <is>
          <t>PB-ORTH-27447</t>
        </is>
      </c>
      <c r="G19" s="26" t="inlineStr">
        <is>
          <t>Total Knee Arthroplasty, Professional</t>
        </is>
      </c>
      <c r="H19" s="26" t="inlineStr">
        <is>
          <t>Surgeon professional service</t>
        </is>
      </c>
      <c r="I19" s="26" t="inlineStr">
        <is>
          <t>Professional</t>
        </is>
      </c>
      <c r="J19" s="26" t="n"/>
      <c r="K19" s="26" t="inlineStr">
        <is>
          <t>27447</t>
        </is>
      </c>
      <c r="L19" s="26" t="n"/>
      <c r="M19" s="26" t="n"/>
      <c r="N19" s="26" t="inlineStr">
        <is>
          <t>Per procedure</t>
        </is>
      </c>
      <c r="O19" s="5" t="n">
        <v>3200</v>
      </c>
      <c r="P19" s="5" t="n">
        <v>900</v>
      </c>
      <c r="Q19" s="6">
        <f>IFERROR((O19-P19)/P19,0)</f>
        <v/>
      </c>
      <c r="R19" s="7" t="n">
        <v>1</v>
      </c>
      <c r="S19" s="26" t="inlineStr">
        <is>
          <t>PB-ORTH</t>
        </is>
      </c>
      <c r="T19" s="26" t="inlineStr">
        <is>
          <t>PB</t>
        </is>
      </c>
      <c r="U19" s="26" t="inlineStr">
        <is>
          <t>Charge capture sign</t>
        </is>
      </c>
      <c r="V19" s="26" t="inlineStr">
        <is>
          <t>ClinDoc</t>
        </is>
      </c>
      <c r="W19" s="26" t="inlineStr">
        <is>
          <t>SURG-TKA</t>
        </is>
      </c>
      <c r="X19" s="26" t="inlineStr">
        <is>
          <t>Professional</t>
        </is>
      </c>
      <c r="Y19" s="26" t="inlineStr">
        <is>
          <t>No</t>
        </is>
      </c>
      <c r="Z19" s="26" t="inlineStr">
        <is>
          <t>Yes</t>
        </is>
      </c>
      <c r="AA19" s="26" t="inlineStr">
        <is>
          <t>Procedure-specific</t>
        </is>
      </c>
      <c r="AB19" s="8" t="inlineStr">
        <is>
          <t>2026-01-01</t>
        </is>
      </c>
      <c r="AC19" s="8" t="n"/>
      <c r="AD19" s="26" t="inlineStr">
        <is>
          <t>Active</t>
        </is>
      </c>
      <c r="AE19" s="26" t="inlineStr">
        <is>
          <t>PB Coding Manager</t>
        </is>
      </c>
      <c r="AF19" s="8" t="inlineStr">
        <is>
          <t>2026-08-20</t>
        </is>
      </c>
      <c r="AG19" s="9">
        <f>EDATE(AF19,12)</f>
        <v/>
      </c>
      <c r="AH19" s="10">
        <f>IF(AD19&lt;&gt;"Active","Inactive",IF(AG19&lt;TODAY(),"Overdue",IF(AG19&lt;=TODAY()+60,"Due Soon","Current")))</f>
        <v/>
      </c>
      <c r="AI19" s="26" t="n"/>
    </row>
  </sheetData>
  <mergeCells count="2">
    <mergeCell ref="A2:AI2"/>
    <mergeCell ref="A1:AI1"/>
  </mergeCells>
  <conditionalFormatting sqref="AH5:AH19">
    <cfRule type="expression" priority="1" dxfId="1">
      <formula>AH5="Overdue"</formula>
    </cfRule>
    <cfRule type="expression" priority="2" dxfId="0">
      <formula>AH5="Due Soon"</formula>
    </cfRule>
  </conditionalFormatting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16"/>
  <sheetViews>
    <sheetView showGridLines="0" zoomScale="85" workbookViewId="0">
      <pane xSplit="9" ySplit="4" topLeftCell="J5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32" min="1" max="1"/>
    <col width="16" customWidth="1" style="32" min="2" max="2"/>
    <col width="18" customWidth="1" style="32" min="3" max="3"/>
    <col width="13" customWidth="1" style="32" min="4" max="4"/>
    <col width="20" customWidth="1" style="32" min="5" max="6"/>
    <col width="16" customWidth="1" style="32" min="7" max="9"/>
    <col width="18" customWidth="1" style="32" min="10" max="10"/>
    <col width="14" customWidth="1" style="32" min="11" max="11"/>
    <col width="23" customWidth="1" style="32" min="12" max="12"/>
    <col width="12" customWidth="1" style="32" min="13" max="13"/>
    <col width="13" customWidth="1" style="32" min="14" max="14"/>
    <col width="10" customWidth="1" style="32" min="15" max="16"/>
    <col width="15" customWidth="1" style="32" min="17" max="17"/>
    <col width="17" customWidth="1" style="32" min="18" max="18"/>
    <col width="14" customWidth="1" style="32" min="19" max="19"/>
    <col width="20" customWidth="1" style="32" min="20" max="21"/>
    <col width="14" customWidth="1" style="32" min="22" max="22"/>
    <col width="18" customWidth="1" style="32" min="23" max="23"/>
    <col width="20" customWidth="1" style="32" min="24" max="24"/>
    <col width="14" customWidth="1" style="32" min="25" max="25"/>
    <col width="28" customWidth="1" style="32" min="26" max="26"/>
  </cols>
  <sheetData>
    <row r="1" ht="27.95" customHeight="1" s="32">
      <c r="A1" s="25" t="inlineStr">
        <is>
          <t>Sample IPD Encounter &amp; Charge Reconciliation</t>
        </is>
      </c>
    </row>
    <row r="2" ht="30" customHeight="1" s="32">
      <c r="A2" s="27" t="inlineStr">
        <is>
          <t>Synthetic total knee replacement hospital account with charge-level status, pricing, and reconciliation controls.</t>
        </is>
      </c>
    </row>
    <row r="4" ht="38.1" customHeight="1" s="32">
      <c r="A4" s="4" t="inlineStr">
        <is>
          <t>Hospital Account (HAR)</t>
        </is>
      </c>
      <c r="B4" s="4" t="inlineStr">
        <is>
          <t>Patient MRN</t>
        </is>
      </c>
      <c r="C4" s="4" t="inlineStr">
        <is>
          <t>Encounter CSN</t>
        </is>
      </c>
      <c r="D4" s="4" t="inlineStr">
        <is>
          <t>Patient Class</t>
        </is>
      </c>
      <c r="E4" s="4" t="inlineStr">
        <is>
          <t>Admit Date/Time</t>
        </is>
      </c>
      <c r="F4" s="4" t="inlineStr">
        <is>
          <t>Discharge Date/Time</t>
        </is>
      </c>
      <c r="G4" s="4" t="inlineStr">
        <is>
          <t>Payer</t>
        </is>
      </c>
      <c r="H4" s="4" t="inlineStr">
        <is>
          <t>Plan</t>
        </is>
      </c>
      <c r="I4" s="4" t="inlineStr">
        <is>
          <t>DRG</t>
        </is>
      </c>
      <c r="J4" s="4" t="inlineStr">
        <is>
          <t>Charge Code</t>
        </is>
      </c>
      <c r="K4" s="4" t="inlineStr">
        <is>
          <t>Service Date</t>
        </is>
      </c>
      <c r="L4" s="4" t="inlineStr">
        <is>
          <t>Department</t>
        </is>
      </c>
      <c r="M4" s="4" t="inlineStr">
        <is>
          <t>Revenue Code</t>
        </is>
      </c>
      <c r="N4" s="4" t="inlineStr">
        <is>
          <t>CPT/HCPCS</t>
        </is>
      </c>
      <c r="O4" s="4" t="inlineStr">
        <is>
          <t>Modifier</t>
        </is>
      </c>
      <c r="P4" s="4" t="inlineStr">
        <is>
          <t>Quantity</t>
        </is>
      </c>
      <c r="Q4" s="4" t="inlineStr">
        <is>
          <t>Unit Charge ($)</t>
        </is>
      </c>
      <c r="R4" s="4" t="inlineStr">
        <is>
          <t>Extended Gross ($)</t>
        </is>
      </c>
      <c r="S4" s="4" t="inlineStr">
        <is>
          <t>Allowed ($)</t>
        </is>
      </c>
      <c r="T4" s="4" t="inlineStr">
        <is>
          <t>Patient Responsibility ($)</t>
        </is>
      </c>
      <c r="U4" s="4" t="inlineStr">
        <is>
          <t>Contractual Adjustment ($)</t>
        </is>
      </c>
      <c r="V4" s="4" t="inlineStr">
        <is>
          <t>Charge Status</t>
        </is>
      </c>
      <c r="W4" s="4" t="inlineStr">
        <is>
          <t>Source</t>
        </is>
      </c>
      <c r="X4" s="4" t="inlineStr">
        <is>
          <t>Reconciliation Status</t>
        </is>
      </c>
      <c r="Y4" s="4" t="inlineStr">
        <is>
          <t>Edit Status</t>
        </is>
      </c>
      <c r="Z4" s="4" t="inlineStr">
        <is>
          <t>Notes</t>
        </is>
      </c>
    </row>
    <row r="5">
      <c r="A5" s="26" t="inlineStr">
        <is>
          <t>HAR-10004567</t>
        </is>
      </c>
      <c r="B5" s="26" t="inlineStr">
        <is>
          <t>MRN-DEMO-0001</t>
        </is>
      </c>
      <c r="C5" s="26" t="inlineStr">
        <is>
          <t>CSN-2026-784512</t>
        </is>
      </c>
      <c r="D5" s="26" t="inlineStr">
        <is>
          <t>Inpatient</t>
        </is>
      </c>
      <c r="E5" s="26" t="inlineStr">
        <is>
          <t>2026-09-14 08:15</t>
        </is>
      </c>
      <c r="F5" s="26" t="inlineStr">
        <is>
          <t>2026-09-16 14:10</t>
        </is>
      </c>
      <c r="G5" s="26" t="inlineStr">
        <is>
          <t>Demo PPO</t>
        </is>
      </c>
      <c r="H5" s="26" t="inlineStr">
        <is>
          <t>Gold PPO</t>
        </is>
      </c>
      <c r="I5" s="26" t="inlineStr">
        <is>
          <t>MS-DRG 470</t>
        </is>
      </c>
      <c r="J5" s="26" t="inlineStr">
        <is>
          <t>RM-SP-001</t>
        </is>
      </c>
      <c r="K5" s="26" t="inlineStr">
        <is>
          <t>2026-09-14</t>
        </is>
      </c>
      <c r="L5" s="26">
        <f>'CDM Master'!E5</f>
        <v/>
      </c>
      <c r="M5" s="26">
        <f>'CDM Master'!J5</f>
        <v/>
      </c>
      <c r="N5" s="26">
        <f>'CDM Master'!K5</f>
        <v/>
      </c>
      <c r="O5" s="26">
        <f>'CDM Master'!L5</f>
        <v/>
      </c>
      <c r="P5" s="26" t="n">
        <v>2</v>
      </c>
      <c r="Q5" s="3">
        <f>'CDM Master'!O5</f>
        <v/>
      </c>
      <c r="R5" s="3">
        <f>P5*Q5</f>
        <v/>
      </c>
      <c r="S5" s="3" t="n">
        <v>7000</v>
      </c>
      <c r="T5" s="3">
        <f>S5*20%</f>
        <v/>
      </c>
      <c r="U5" s="3">
        <f>R5-S5</f>
        <v/>
      </c>
      <c r="V5" s="26" t="inlineStr">
        <is>
          <t>Posted</t>
        </is>
      </c>
      <c r="W5" s="26">
        <f>'CDM Master'!V5</f>
        <v/>
      </c>
      <c r="X5" s="26" t="inlineStr">
        <is>
          <t>Matched</t>
        </is>
      </c>
      <c r="Y5" s="26" t="inlineStr">
        <is>
          <t>Passed</t>
        </is>
      </c>
      <c r="Z5" s="26" t="inlineStr">
        <is>
          <t>Synthetic demo charge</t>
        </is>
      </c>
    </row>
    <row r="6">
      <c r="A6" s="26" t="inlineStr">
        <is>
          <t>HAR-10004567</t>
        </is>
      </c>
      <c r="B6" s="26" t="inlineStr">
        <is>
          <t>MRN-DEMO-0001</t>
        </is>
      </c>
      <c r="C6" s="26" t="inlineStr">
        <is>
          <t>CSN-2026-784512</t>
        </is>
      </c>
      <c r="D6" s="26" t="inlineStr">
        <is>
          <t>Inpatient</t>
        </is>
      </c>
      <c r="E6" s="26" t="inlineStr">
        <is>
          <t>2026-09-14 08:15</t>
        </is>
      </c>
      <c r="F6" s="26" t="inlineStr">
        <is>
          <t>2026-09-16 14:10</t>
        </is>
      </c>
      <c r="G6" s="26" t="inlineStr">
        <is>
          <t>Demo PPO</t>
        </is>
      </c>
      <c r="H6" s="26" t="inlineStr">
        <is>
          <t>Gold PPO</t>
        </is>
      </c>
      <c r="I6" s="26" t="inlineStr">
        <is>
          <t>MS-DRG 470</t>
        </is>
      </c>
      <c r="J6" s="26" t="inlineStr">
        <is>
          <t>OR-MAJOR-01</t>
        </is>
      </c>
      <c r="K6" s="26" t="inlineStr">
        <is>
          <t>2026-09-14</t>
        </is>
      </c>
      <c r="L6" s="26">
        <f>'CDM Master'!E6</f>
        <v/>
      </c>
      <c r="M6" s="26">
        <f>'CDM Master'!J6</f>
        <v/>
      </c>
      <c r="N6" s="26">
        <f>'CDM Master'!K6</f>
        <v/>
      </c>
      <c r="O6" s="26">
        <f>'CDM Master'!L6</f>
        <v/>
      </c>
      <c r="P6" s="26" t="n">
        <v>1</v>
      </c>
      <c r="Q6" s="3">
        <f>'CDM Master'!O6</f>
        <v/>
      </c>
      <c r="R6" s="3">
        <f>P6*Q6</f>
        <v/>
      </c>
      <c r="S6" s="3" t="n">
        <v>9000</v>
      </c>
      <c r="T6" s="3">
        <f>S6*20%</f>
        <v/>
      </c>
      <c r="U6" s="3">
        <f>R6-S6</f>
        <v/>
      </c>
      <c r="V6" s="26" t="inlineStr">
        <is>
          <t>Posted</t>
        </is>
      </c>
      <c r="W6" s="26">
        <f>'CDM Master'!V6</f>
        <v/>
      </c>
      <c r="X6" s="26" t="inlineStr">
        <is>
          <t>Matched</t>
        </is>
      </c>
      <c r="Y6" s="26" t="inlineStr">
        <is>
          <t>Passed</t>
        </is>
      </c>
      <c r="Z6" s="26" t="inlineStr">
        <is>
          <t>Synthetic demo charge</t>
        </is>
      </c>
    </row>
    <row r="7">
      <c r="A7" s="26" t="inlineStr">
        <is>
          <t>HAR-10004567</t>
        </is>
      </c>
      <c r="B7" s="26" t="inlineStr">
        <is>
          <t>MRN-DEMO-0001</t>
        </is>
      </c>
      <c r="C7" s="26" t="inlineStr">
        <is>
          <t>CSN-2026-784512</t>
        </is>
      </c>
      <c r="D7" s="26" t="inlineStr">
        <is>
          <t>Inpatient</t>
        </is>
      </c>
      <c r="E7" s="26" t="inlineStr">
        <is>
          <t>2026-09-14 08:15</t>
        </is>
      </c>
      <c r="F7" s="26" t="inlineStr">
        <is>
          <t>2026-09-16 14:10</t>
        </is>
      </c>
      <c r="G7" s="26" t="inlineStr">
        <is>
          <t>Demo PPO</t>
        </is>
      </c>
      <c r="H7" s="26" t="inlineStr">
        <is>
          <t>Gold PPO</t>
        </is>
      </c>
      <c r="I7" s="26" t="inlineStr">
        <is>
          <t>MS-DRG 470</t>
        </is>
      </c>
      <c r="J7" s="26" t="inlineStr">
        <is>
          <t>OR-ADD-15</t>
        </is>
      </c>
      <c r="K7" s="26" t="inlineStr">
        <is>
          <t>2026-09-14</t>
        </is>
      </c>
      <c r="L7" s="26">
        <f>'CDM Master'!E7</f>
        <v/>
      </c>
      <c r="M7" s="26">
        <f>'CDM Master'!J7</f>
        <v/>
      </c>
      <c r="N7" s="26">
        <f>'CDM Master'!K7</f>
        <v/>
      </c>
      <c r="O7" s="26">
        <f>'CDM Master'!L7</f>
        <v/>
      </c>
      <c r="P7" s="26" t="n">
        <v>2</v>
      </c>
      <c r="Q7" s="3">
        <f>'CDM Master'!O7</f>
        <v/>
      </c>
      <c r="R7" s="3">
        <f>P7*Q7</f>
        <v/>
      </c>
      <c r="S7" s="3" t="n">
        <v>1800</v>
      </c>
      <c r="T7" s="3">
        <f>S7*20%</f>
        <v/>
      </c>
      <c r="U7" s="3">
        <f>R7-S7</f>
        <v/>
      </c>
      <c r="V7" s="26" t="inlineStr">
        <is>
          <t>Posted</t>
        </is>
      </c>
      <c r="W7" s="26">
        <f>'CDM Master'!V7</f>
        <v/>
      </c>
      <c r="X7" s="26" t="inlineStr">
        <is>
          <t>Matched</t>
        </is>
      </c>
      <c r="Y7" s="26" t="inlineStr">
        <is>
          <t>Passed</t>
        </is>
      </c>
      <c r="Z7" s="26" t="inlineStr">
        <is>
          <t>Synthetic demo charge</t>
        </is>
      </c>
    </row>
    <row r="8">
      <c r="A8" s="26" t="inlineStr">
        <is>
          <t>HAR-10004567</t>
        </is>
      </c>
      <c r="B8" s="26" t="inlineStr">
        <is>
          <t>MRN-DEMO-0001</t>
        </is>
      </c>
      <c r="C8" s="26" t="inlineStr">
        <is>
          <t>CSN-2026-784512</t>
        </is>
      </c>
      <c r="D8" s="26" t="inlineStr">
        <is>
          <t>Inpatient</t>
        </is>
      </c>
      <c r="E8" s="26" t="inlineStr">
        <is>
          <t>2026-09-14 08:15</t>
        </is>
      </c>
      <c r="F8" s="26" t="inlineStr">
        <is>
          <t>2026-09-16 14:10</t>
        </is>
      </c>
      <c r="G8" s="26" t="inlineStr">
        <is>
          <t>Demo PPO</t>
        </is>
      </c>
      <c r="H8" s="26" t="inlineStr">
        <is>
          <t>Gold PPO</t>
        </is>
      </c>
      <c r="I8" s="26" t="inlineStr">
        <is>
          <t>MS-DRG 470</t>
        </is>
      </c>
      <c r="J8" s="26" t="inlineStr">
        <is>
          <t>RR-HR-001</t>
        </is>
      </c>
      <c r="K8" s="26" t="inlineStr">
        <is>
          <t>2026-09-14</t>
        </is>
      </c>
      <c r="L8" s="26">
        <f>'CDM Master'!E8</f>
        <v/>
      </c>
      <c r="M8" s="26">
        <f>'CDM Master'!J8</f>
        <v/>
      </c>
      <c r="N8" s="26">
        <f>'CDM Master'!K8</f>
        <v/>
      </c>
      <c r="O8" s="26">
        <f>'CDM Master'!L8</f>
        <v/>
      </c>
      <c r="P8" s="26" t="n">
        <v>1</v>
      </c>
      <c r="Q8" s="3">
        <f>'CDM Master'!O8</f>
        <v/>
      </c>
      <c r="R8" s="3">
        <f>P8*Q8</f>
        <v/>
      </c>
      <c r="S8" s="3" t="n">
        <v>1500</v>
      </c>
      <c r="T8" s="3">
        <f>S8*20%</f>
        <v/>
      </c>
      <c r="U8" s="3">
        <f>R8-S8</f>
        <v/>
      </c>
      <c r="V8" s="26" t="inlineStr">
        <is>
          <t>Posted</t>
        </is>
      </c>
      <c r="W8" s="26">
        <f>'CDM Master'!V8</f>
        <v/>
      </c>
      <c r="X8" s="26" t="inlineStr">
        <is>
          <t>Matched</t>
        </is>
      </c>
      <c r="Y8" s="26" t="inlineStr">
        <is>
          <t>Passed</t>
        </is>
      </c>
      <c r="Z8" s="26" t="inlineStr">
        <is>
          <t>Synthetic demo charge</t>
        </is>
      </c>
    </row>
    <row r="9">
      <c r="A9" s="26" t="inlineStr">
        <is>
          <t>HAR-10004567</t>
        </is>
      </c>
      <c r="B9" s="26" t="inlineStr">
        <is>
          <t>MRN-DEMO-0001</t>
        </is>
      </c>
      <c r="C9" s="26" t="inlineStr">
        <is>
          <t>CSN-2026-784512</t>
        </is>
      </c>
      <c r="D9" s="26" t="inlineStr">
        <is>
          <t>Inpatient</t>
        </is>
      </c>
      <c r="E9" s="26" t="inlineStr">
        <is>
          <t>2026-09-14 08:15</t>
        </is>
      </c>
      <c r="F9" s="26" t="inlineStr">
        <is>
          <t>2026-09-16 14:10</t>
        </is>
      </c>
      <c r="G9" s="26" t="inlineStr">
        <is>
          <t>Demo PPO</t>
        </is>
      </c>
      <c r="H9" s="26" t="inlineStr">
        <is>
          <t>Gold PPO</t>
        </is>
      </c>
      <c r="I9" s="26" t="inlineStr">
        <is>
          <t>MS-DRG 470</t>
        </is>
      </c>
      <c r="J9" s="26" t="inlineStr">
        <is>
          <t>IMP-KNEE-01</t>
        </is>
      </c>
      <c r="K9" s="26" t="inlineStr">
        <is>
          <t>2026-09-14</t>
        </is>
      </c>
      <c r="L9" s="26">
        <f>'CDM Master'!E9</f>
        <v/>
      </c>
      <c r="M9" s="26">
        <f>'CDM Master'!J9</f>
        <v/>
      </c>
      <c r="N9" s="26">
        <f>'CDM Master'!K9</f>
        <v/>
      </c>
      <c r="O9" s="26">
        <f>'CDM Master'!L9</f>
        <v/>
      </c>
      <c r="P9" s="26" t="n">
        <v>1</v>
      </c>
      <c r="Q9" s="3">
        <f>'CDM Master'!O9</f>
        <v/>
      </c>
      <c r="R9" s="3">
        <f>P9*Q9</f>
        <v/>
      </c>
      <c r="S9" s="3" t="n">
        <v>9000</v>
      </c>
      <c r="T9" s="3">
        <f>S9*20%</f>
        <v/>
      </c>
      <c r="U9" s="3">
        <f>R9-S9</f>
        <v/>
      </c>
      <c r="V9" s="26" t="inlineStr">
        <is>
          <t>Posted</t>
        </is>
      </c>
      <c r="W9" s="26">
        <f>'CDM Master'!V9</f>
        <v/>
      </c>
      <c r="X9" s="26" t="inlineStr">
        <is>
          <t>Matched</t>
        </is>
      </c>
      <c r="Y9" s="26" t="inlineStr">
        <is>
          <t>Passed</t>
        </is>
      </c>
      <c r="Z9" s="26" t="inlineStr">
        <is>
          <t>Synthetic demo charge</t>
        </is>
      </c>
    </row>
    <row r="10">
      <c r="A10" s="26" t="inlineStr">
        <is>
          <t>HAR-10004567</t>
        </is>
      </c>
      <c r="B10" s="26" t="inlineStr">
        <is>
          <t>MRN-DEMO-0001</t>
        </is>
      </c>
      <c r="C10" s="26" t="inlineStr">
        <is>
          <t>CSN-2026-784512</t>
        </is>
      </c>
      <c r="D10" s="26" t="inlineStr">
        <is>
          <t>Inpatient</t>
        </is>
      </c>
      <c r="E10" s="26" t="inlineStr">
        <is>
          <t>2026-09-14 08:15</t>
        </is>
      </c>
      <c r="F10" s="26" t="inlineStr">
        <is>
          <t>2026-09-16 14:10</t>
        </is>
      </c>
      <c r="G10" s="26" t="inlineStr">
        <is>
          <t>Demo PPO</t>
        </is>
      </c>
      <c r="H10" s="26" t="inlineStr">
        <is>
          <t>Gold PPO</t>
        </is>
      </c>
      <c r="I10" s="26" t="inlineStr">
        <is>
          <t>MS-DRG 470</t>
        </is>
      </c>
      <c r="J10" s="26" t="inlineStr">
        <is>
          <t>SUP-KNEE-01</t>
        </is>
      </c>
      <c r="K10" s="26" t="inlineStr">
        <is>
          <t>2026-09-14</t>
        </is>
      </c>
      <c r="L10" s="26">
        <f>'CDM Master'!E10</f>
        <v/>
      </c>
      <c r="M10" s="26">
        <f>'CDM Master'!J10</f>
        <v/>
      </c>
      <c r="N10" s="26">
        <f>'CDM Master'!K10</f>
        <v/>
      </c>
      <c r="O10" s="26">
        <f>'CDM Master'!L10</f>
        <v/>
      </c>
      <c r="P10" s="26" t="n">
        <v>1</v>
      </c>
      <c r="Q10" s="3">
        <f>'CDM Master'!O10</f>
        <v/>
      </c>
      <c r="R10" s="3">
        <f>P10*Q10</f>
        <v/>
      </c>
      <c r="S10" s="3" t="n">
        <v>1800</v>
      </c>
      <c r="T10" s="3">
        <f>S10*20%</f>
        <v/>
      </c>
      <c r="U10" s="3">
        <f>R10-S10</f>
        <v/>
      </c>
      <c r="V10" s="26" t="inlineStr">
        <is>
          <t>Posted</t>
        </is>
      </c>
      <c r="W10" s="26">
        <f>'CDM Master'!V10</f>
        <v/>
      </c>
      <c r="X10" s="26" t="inlineStr">
        <is>
          <t>Matched</t>
        </is>
      </c>
      <c r="Y10" s="26" t="inlineStr">
        <is>
          <t>Passed</t>
        </is>
      </c>
      <c r="Z10" s="26" t="inlineStr">
        <is>
          <t>Synthetic demo charge</t>
        </is>
      </c>
    </row>
    <row r="11">
      <c r="A11" s="26" t="inlineStr">
        <is>
          <t>HAR-10004567</t>
        </is>
      </c>
      <c r="B11" s="26" t="inlineStr">
        <is>
          <t>MRN-DEMO-0001</t>
        </is>
      </c>
      <c r="C11" s="26" t="inlineStr">
        <is>
          <t>CSN-2026-784512</t>
        </is>
      </c>
      <c r="D11" s="26" t="inlineStr">
        <is>
          <t>Inpatient</t>
        </is>
      </c>
      <c r="E11" s="26" t="inlineStr">
        <is>
          <t>2026-09-14 08:15</t>
        </is>
      </c>
      <c r="F11" s="26" t="inlineStr">
        <is>
          <t>2026-09-16 14:10</t>
        </is>
      </c>
      <c r="G11" s="26" t="inlineStr">
        <is>
          <t>Demo PPO</t>
        </is>
      </c>
      <c r="H11" s="26" t="inlineStr">
        <is>
          <t>Gold PPO</t>
        </is>
      </c>
      <c r="I11" s="26" t="inlineStr">
        <is>
          <t>MS-DRG 470</t>
        </is>
      </c>
      <c r="J11" s="26" t="inlineStr">
        <is>
          <t>PH-IV-ABX-01</t>
        </is>
      </c>
      <c r="K11" s="26" t="inlineStr">
        <is>
          <t>2026-09-14</t>
        </is>
      </c>
      <c r="L11" s="26">
        <f>'CDM Master'!E11</f>
        <v/>
      </c>
      <c r="M11" s="26">
        <f>'CDM Master'!J11</f>
        <v/>
      </c>
      <c r="N11" s="26">
        <f>'CDM Master'!K11</f>
        <v/>
      </c>
      <c r="O11" s="26">
        <f>'CDM Master'!L11</f>
        <v/>
      </c>
      <c r="P11" s="26" t="n">
        <v>4</v>
      </c>
      <c r="Q11" s="3">
        <f>'CDM Master'!O11</f>
        <v/>
      </c>
      <c r="R11" s="3">
        <f>P11*Q11</f>
        <v/>
      </c>
      <c r="S11" s="3" t="n">
        <v>1200</v>
      </c>
      <c r="T11" s="3">
        <f>S11*20%</f>
        <v/>
      </c>
      <c r="U11" s="3">
        <f>R11-S11</f>
        <v/>
      </c>
      <c r="V11" s="26" t="inlineStr">
        <is>
          <t>Posted</t>
        </is>
      </c>
      <c r="W11" s="26">
        <f>'CDM Master'!V11</f>
        <v/>
      </c>
      <c r="X11" s="26" t="inlineStr">
        <is>
          <t>Matched</t>
        </is>
      </c>
      <c r="Y11" s="26" t="inlineStr">
        <is>
          <t>Passed</t>
        </is>
      </c>
      <c r="Z11" s="26" t="inlineStr">
        <is>
          <t>Synthetic demo charge</t>
        </is>
      </c>
    </row>
    <row r="12">
      <c r="A12" s="26" t="inlineStr">
        <is>
          <t>HAR-10004567</t>
        </is>
      </c>
      <c r="B12" s="26" t="inlineStr">
        <is>
          <t>MRN-DEMO-0001</t>
        </is>
      </c>
      <c r="C12" s="26" t="inlineStr">
        <is>
          <t>CSN-2026-784512</t>
        </is>
      </c>
      <c r="D12" s="26" t="inlineStr">
        <is>
          <t>Inpatient</t>
        </is>
      </c>
      <c r="E12" s="26" t="inlineStr">
        <is>
          <t>2026-09-14 08:15</t>
        </is>
      </c>
      <c r="F12" s="26" t="inlineStr">
        <is>
          <t>2026-09-16 14:10</t>
        </is>
      </c>
      <c r="G12" s="26" t="inlineStr">
        <is>
          <t>Demo PPO</t>
        </is>
      </c>
      <c r="H12" s="26" t="inlineStr">
        <is>
          <t>Gold PPO</t>
        </is>
      </c>
      <c r="I12" s="26" t="inlineStr">
        <is>
          <t>MS-DRG 470</t>
        </is>
      </c>
      <c r="J12" s="26" t="inlineStr">
        <is>
          <t>LAB-CBC-001</t>
        </is>
      </c>
      <c r="K12" s="26" t="inlineStr">
        <is>
          <t>2026-09-14</t>
        </is>
      </c>
      <c r="L12" s="26">
        <f>'CDM Master'!E12</f>
        <v/>
      </c>
      <c r="M12" s="26">
        <f>'CDM Master'!J12</f>
        <v/>
      </c>
      <c r="N12" s="26">
        <f>'CDM Master'!K12</f>
        <v/>
      </c>
      <c r="O12" s="26">
        <f>'CDM Master'!L12</f>
        <v/>
      </c>
      <c r="P12" s="26" t="n">
        <v>2</v>
      </c>
      <c r="Q12" s="3">
        <f>'CDM Master'!O12</f>
        <v/>
      </c>
      <c r="R12" s="3">
        <f>P12*Q12</f>
        <v/>
      </c>
      <c r="S12" s="3" t="n">
        <v>180</v>
      </c>
      <c r="T12" s="3">
        <f>S12*20%</f>
        <v/>
      </c>
      <c r="U12" s="3">
        <f>R12-S12</f>
        <v/>
      </c>
      <c r="V12" s="26" t="inlineStr">
        <is>
          <t>Posted</t>
        </is>
      </c>
      <c r="W12" s="26">
        <f>'CDM Master'!V12</f>
        <v/>
      </c>
      <c r="X12" s="26" t="inlineStr">
        <is>
          <t>Matched</t>
        </is>
      </c>
      <c r="Y12" s="26" t="inlineStr">
        <is>
          <t>Passed</t>
        </is>
      </c>
      <c r="Z12" s="26" t="inlineStr">
        <is>
          <t>Synthetic demo charge</t>
        </is>
      </c>
    </row>
    <row r="13">
      <c r="A13" s="26" t="inlineStr">
        <is>
          <t>HAR-10004567</t>
        </is>
      </c>
      <c r="B13" s="26" t="inlineStr">
        <is>
          <t>MRN-DEMO-0001</t>
        </is>
      </c>
      <c r="C13" s="26" t="inlineStr">
        <is>
          <t>CSN-2026-784512</t>
        </is>
      </c>
      <c r="D13" s="26" t="inlineStr">
        <is>
          <t>Inpatient</t>
        </is>
      </c>
      <c r="E13" s="26" t="inlineStr">
        <is>
          <t>2026-09-14 08:15</t>
        </is>
      </c>
      <c r="F13" s="26" t="inlineStr">
        <is>
          <t>2026-09-16 14:10</t>
        </is>
      </c>
      <c r="G13" s="26" t="inlineStr">
        <is>
          <t>Demo PPO</t>
        </is>
      </c>
      <c r="H13" s="26" t="inlineStr">
        <is>
          <t>Gold PPO</t>
        </is>
      </c>
      <c r="I13" s="26" t="inlineStr">
        <is>
          <t>MS-DRG 470</t>
        </is>
      </c>
      <c r="J13" s="26" t="inlineStr">
        <is>
          <t>RAD-KNEE-01</t>
        </is>
      </c>
      <c r="K13" s="26" t="inlineStr">
        <is>
          <t>2026-09-14</t>
        </is>
      </c>
      <c r="L13" s="26">
        <f>'CDM Master'!E13</f>
        <v/>
      </c>
      <c r="M13" s="26">
        <f>'CDM Master'!J13</f>
        <v/>
      </c>
      <c r="N13" s="26">
        <f>'CDM Master'!K13</f>
        <v/>
      </c>
      <c r="O13" s="26">
        <f>'CDM Master'!L13</f>
        <v/>
      </c>
      <c r="P13" s="26" t="n">
        <v>1</v>
      </c>
      <c r="Q13" s="3">
        <f>'CDM Master'!O13</f>
        <v/>
      </c>
      <c r="R13" s="3">
        <f>P13*Q13</f>
        <v/>
      </c>
      <c r="S13" s="3" t="n">
        <v>260</v>
      </c>
      <c r="T13" s="3">
        <f>S13*20%</f>
        <v/>
      </c>
      <c r="U13" s="3">
        <f>R13-S13</f>
        <v/>
      </c>
      <c r="V13" s="26" t="inlineStr">
        <is>
          <t>Posted</t>
        </is>
      </c>
      <c r="W13" s="26">
        <f>'CDM Master'!V13</f>
        <v/>
      </c>
      <c r="X13" s="26" t="inlineStr">
        <is>
          <t>Matched</t>
        </is>
      </c>
      <c r="Y13" s="26" t="inlineStr">
        <is>
          <t>Passed</t>
        </is>
      </c>
      <c r="Z13" s="26" t="inlineStr">
        <is>
          <t>Synthetic demo charge</t>
        </is>
      </c>
    </row>
    <row r="14">
      <c r="A14" s="26" t="inlineStr">
        <is>
          <t>HAR-10004567</t>
        </is>
      </c>
      <c r="B14" s="26" t="inlineStr">
        <is>
          <t>MRN-DEMO-0001</t>
        </is>
      </c>
      <c r="C14" s="26" t="inlineStr">
        <is>
          <t>CSN-2026-784512</t>
        </is>
      </c>
      <c r="D14" s="26" t="inlineStr">
        <is>
          <t>Inpatient</t>
        </is>
      </c>
      <c r="E14" s="26" t="inlineStr">
        <is>
          <t>2026-09-14 08:15</t>
        </is>
      </c>
      <c r="F14" s="26" t="inlineStr">
        <is>
          <t>2026-09-16 14:10</t>
        </is>
      </c>
      <c r="G14" s="26" t="inlineStr">
        <is>
          <t>Demo PPO</t>
        </is>
      </c>
      <c r="H14" s="26" t="inlineStr">
        <is>
          <t>Gold PPO</t>
        </is>
      </c>
      <c r="I14" s="26" t="inlineStr">
        <is>
          <t>MS-DRG 470</t>
        </is>
      </c>
      <c r="J14" s="26" t="inlineStr">
        <is>
          <t>PT-EVAL-01</t>
        </is>
      </c>
      <c r="K14" s="26" t="inlineStr">
        <is>
          <t>2026-09-14</t>
        </is>
      </c>
      <c r="L14" s="26">
        <f>'CDM Master'!E14</f>
        <v/>
      </c>
      <c r="M14" s="26">
        <f>'CDM Master'!J14</f>
        <v/>
      </c>
      <c r="N14" s="26">
        <f>'CDM Master'!K14</f>
        <v/>
      </c>
      <c r="O14" s="26">
        <f>'CDM Master'!L14</f>
        <v/>
      </c>
      <c r="P14" s="26" t="n">
        <v>1</v>
      </c>
      <c r="Q14" s="3">
        <f>'CDM Master'!O14</f>
        <v/>
      </c>
      <c r="R14" s="3">
        <f>P14*Q14</f>
        <v/>
      </c>
      <c r="S14" s="3" t="n">
        <v>450</v>
      </c>
      <c r="T14" s="3">
        <f>S14*20%</f>
        <v/>
      </c>
      <c r="U14" s="3">
        <f>R14-S14</f>
        <v/>
      </c>
      <c r="V14" s="26" t="inlineStr">
        <is>
          <t>Posted</t>
        </is>
      </c>
      <c r="W14" s="26">
        <f>'CDM Master'!V14</f>
        <v/>
      </c>
      <c r="X14" s="26" t="inlineStr">
        <is>
          <t>Matched</t>
        </is>
      </c>
      <c r="Y14" s="26" t="inlineStr">
        <is>
          <t>Passed</t>
        </is>
      </c>
      <c r="Z14" s="26" t="inlineStr">
        <is>
          <t>Synthetic demo charge</t>
        </is>
      </c>
    </row>
    <row r="15">
      <c r="A15" s="26" t="inlineStr">
        <is>
          <t>HAR-10004567</t>
        </is>
      </c>
      <c r="B15" s="26" t="inlineStr">
        <is>
          <t>MRN-DEMO-0001</t>
        </is>
      </c>
      <c r="C15" s="26" t="inlineStr">
        <is>
          <t>CSN-2026-784512</t>
        </is>
      </c>
      <c r="D15" s="26" t="inlineStr">
        <is>
          <t>Inpatient</t>
        </is>
      </c>
      <c r="E15" s="26" t="inlineStr">
        <is>
          <t>2026-09-14 08:15</t>
        </is>
      </c>
      <c r="F15" s="26" t="inlineStr">
        <is>
          <t>2026-09-16 14:10</t>
        </is>
      </c>
      <c r="G15" s="26" t="inlineStr">
        <is>
          <t>Demo PPO</t>
        </is>
      </c>
      <c r="H15" s="26" t="inlineStr">
        <is>
          <t>Gold PPO</t>
        </is>
      </c>
      <c r="I15" s="26" t="inlineStr">
        <is>
          <t>MS-DRG 470</t>
        </is>
      </c>
      <c r="J15" s="26" t="inlineStr">
        <is>
          <t>PT-EX-15</t>
        </is>
      </c>
      <c r="K15" s="26" t="inlineStr">
        <is>
          <t>2026-09-14</t>
        </is>
      </c>
      <c r="L15" s="26">
        <f>'CDM Master'!E15</f>
        <v/>
      </c>
      <c r="M15" s="26">
        <f>'CDM Master'!J15</f>
        <v/>
      </c>
      <c r="N15" s="26">
        <f>'CDM Master'!K15</f>
        <v/>
      </c>
      <c r="O15" s="26">
        <f>'CDM Master'!L15</f>
        <v/>
      </c>
      <c r="P15" s="26" t="n">
        <v>3</v>
      </c>
      <c r="Q15" s="3">
        <f>'CDM Master'!O15</f>
        <v/>
      </c>
      <c r="R15" s="3">
        <f>P15*Q15</f>
        <v/>
      </c>
      <c r="S15" s="3" t="n">
        <v>600</v>
      </c>
      <c r="T15" s="3">
        <f>S15*20%</f>
        <v/>
      </c>
      <c r="U15" s="3">
        <f>R15-S15</f>
        <v/>
      </c>
      <c r="V15" s="26" t="inlineStr">
        <is>
          <t>Posted</t>
        </is>
      </c>
      <c r="W15" s="26">
        <f>'CDM Master'!V15</f>
        <v/>
      </c>
      <c r="X15" s="26" t="inlineStr">
        <is>
          <t>Matched</t>
        </is>
      </c>
      <c r="Y15" s="26" t="inlineStr">
        <is>
          <t>Passed</t>
        </is>
      </c>
      <c r="Z15" s="26" t="inlineStr">
        <is>
          <t>Synthetic demo charge</t>
        </is>
      </c>
    </row>
    <row r="16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19" t="inlineStr">
        <is>
          <t>TOTAL</t>
        </is>
      </c>
      <c r="P16" s="19" t="n"/>
      <c r="Q16" s="19" t="n"/>
      <c r="R16" s="20">
        <f>SUM(R5:R15)</f>
        <v/>
      </c>
      <c r="S16" s="20">
        <f>SUM(S5:S15)</f>
        <v/>
      </c>
      <c r="T16" s="20">
        <f>SUM(T5:T15)</f>
        <v/>
      </c>
      <c r="U16" s="20">
        <f>SUM(U5:U15)</f>
        <v/>
      </c>
      <c r="V16" s="26" t="n"/>
      <c r="W16" s="26" t="n"/>
      <c r="X16" s="26" t="n"/>
      <c r="Y16" s="26" t="n"/>
      <c r="Z16" s="26" t="n"/>
    </row>
  </sheetData>
  <mergeCells count="2">
    <mergeCell ref="A1:Z1"/>
    <mergeCell ref="A2:Z2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32" min="1" max="1"/>
    <col width="9" customWidth="1" style="32" min="2" max="2"/>
    <col width="28" customWidth="1" style="32" min="3" max="3"/>
    <col width="18" customWidth="1" style="32" min="4" max="4"/>
    <col width="20" customWidth="1" style="32" min="5" max="5"/>
    <col width="14" customWidth="1" style="32" min="6" max="7"/>
    <col width="42" customWidth="1" style="32" min="8" max="8"/>
    <col width="22" customWidth="1" style="32" min="9" max="9"/>
    <col width="20" customWidth="1" style="32" min="10" max="10"/>
    <col width="13" customWidth="1" style="32" min="11" max="11"/>
    <col width="17" customWidth="1" style="32" min="12" max="12"/>
    <col width="11" customWidth="1" style="32" min="13" max="13"/>
    <col width="20" customWidth="1" style="32" min="14" max="14"/>
    <col width="14" customWidth="1" style="32" min="15" max="15"/>
    <col width="11" customWidth="1" style="32" min="16" max="16"/>
    <col width="28" customWidth="1" style="32" min="17" max="17"/>
    <col width="30" customWidth="1" style="32" min="18" max="18"/>
  </cols>
  <sheetData>
    <row r="1" ht="27.95" customHeight="1" s="32">
      <c r="A1" s="25" t="inlineStr">
        <is>
          <t>Charge Router &amp; Routing Rules</t>
        </is>
      </c>
    </row>
    <row r="2" ht="30" customHeight="1" s="32">
      <c r="A2" s="27" t="inlineStr">
        <is>
          <t>Illustrative routing logic for automated release, review, suppression, and HB/PB destination control.</t>
        </is>
      </c>
    </row>
    <row r="4" ht="38.1" customHeight="1" s="32">
      <c r="A4" s="4" t="inlineStr">
        <is>
          <t>Rule ID</t>
        </is>
      </c>
      <c r="B4" s="4" t="inlineStr">
        <is>
          <t>Priority</t>
        </is>
      </c>
      <c r="C4" s="4" t="inlineStr">
        <is>
          <t>Rule Name</t>
        </is>
      </c>
      <c r="D4" s="4" t="inlineStr">
        <is>
          <t>Source Application</t>
        </is>
      </c>
      <c r="E4" s="4" t="inlineStr">
        <is>
          <t>Trigger</t>
        </is>
      </c>
      <c r="F4" s="4" t="inlineStr">
        <is>
          <t>Patient Class</t>
        </is>
      </c>
      <c r="G4" s="4" t="inlineStr">
        <is>
          <t>Service Area</t>
        </is>
      </c>
      <c r="H4" s="4" t="inlineStr">
        <is>
          <t>Condition</t>
        </is>
      </c>
      <c r="I4" s="4" t="inlineStr">
        <is>
          <t>Action</t>
        </is>
      </c>
      <c r="J4" s="4" t="inlineStr">
        <is>
          <t>Destination Bill Area</t>
        </is>
      </c>
      <c r="K4" s="4" t="inlineStr">
        <is>
          <t>Hold/Release</t>
        </is>
      </c>
      <c r="L4" s="4" t="inlineStr">
        <is>
          <t>Workqueue</t>
        </is>
      </c>
      <c r="M4" s="4" t="inlineStr">
        <is>
          <t>Severity</t>
        </is>
      </c>
      <c r="N4" s="4" t="inlineStr">
        <is>
          <t>Owner</t>
        </is>
      </c>
      <c r="O4" s="4" t="inlineStr">
        <is>
          <t>Effective Date</t>
        </is>
      </c>
      <c r="P4" s="4" t="inlineStr">
        <is>
          <t>Status</t>
        </is>
      </c>
      <c r="Q4" s="4" t="inlineStr">
        <is>
          <t>Test Scenario</t>
        </is>
      </c>
      <c r="R4" s="4" t="inlineStr">
        <is>
          <t>Expected Result</t>
        </is>
      </c>
    </row>
    <row r="5">
      <c r="A5" s="26" t="inlineStr">
        <is>
          <t>CR-001</t>
        </is>
      </c>
      <c r="B5" s="26" t="n">
        <v>10</v>
      </c>
      <c r="C5" s="26" t="inlineStr">
        <is>
          <t>Missing revenue code</t>
        </is>
      </c>
      <c r="D5" s="26" t="inlineStr">
        <is>
          <t>Any</t>
        </is>
      </c>
      <c r="E5" s="26" t="inlineStr">
        <is>
          <t>Charge received</t>
        </is>
      </c>
      <c r="F5" s="26" t="inlineStr">
        <is>
          <t>All</t>
        </is>
      </c>
      <c r="G5" s="26" t="inlineStr">
        <is>
          <t>HB</t>
        </is>
      </c>
      <c r="H5" s="26" t="inlineStr">
        <is>
          <t>Revenue code is blank</t>
        </is>
      </c>
      <c r="I5" s="26" t="inlineStr">
        <is>
          <t>Hold charge</t>
        </is>
      </c>
      <c r="J5" s="26" t="inlineStr">
        <is>
          <t>HB Review</t>
        </is>
      </c>
      <c r="K5" s="26" t="inlineStr">
        <is>
          <t>Hold</t>
        </is>
      </c>
      <c r="L5" s="26" t="inlineStr">
        <is>
          <t>WQ-REV-001</t>
        </is>
      </c>
      <c r="M5" s="26" t="inlineStr">
        <is>
          <t>Error</t>
        </is>
      </c>
      <c r="N5" s="26" t="inlineStr">
        <is>
          <t>Revenue Integrity</t>
        </is>
      </c>
      <c r="O5" s="26" t="inlineStr">
        <is>
          <t>2026-01-01</t>
        </is>
      </c>
      <c r="P5" s="26" t="inlineStr">
        <is>
          <t>Active</t>
        </is>
      </c>
      <c r="Q5" s="26" t="inlineStr">
        <is>
          <t>HB charge without revenue code</t>
        </is>
      </c>
      <c r="R5" s="26" t="inlineStr">
        <is>
          <t>Held for correction</t>
        </is>
      </c>
    </row>
    <row r="6">
      <c r="A6" s="26" t="inlineStr">
        <is>
          <t>CR-002</t>
        </is>
      </c>
      <c r="B6" s="26" t="n">
        <v>20</v>
      </c>
      <c r="C6" s="26" t="inlineStr">
        <is>
          <t>Missing CPT on coded outpatient service</t>
        </is>
      </c>
      <c r="D6" s="26" t="inlineStr">
        <is>
          <t>Radiology/Lab/Therapy</t>
        </is>
      </c>
      <c r="E6" s="26" t="inlineStr">
        <is>
          <t>Completion</t>
        </is>
      </c>
      <c r="F6" s="26" t="inlineStr">
        <is>
          <t>Outpatient</t>
        </is>
      </c>
      <c r="G6" s="26" t="inlineStr">
        <is>
          <t>HB</t>
        </is>
      </c>
      <c r="H6" s="26" t="inlineStr">
        <is>
          <t>CPT/HCPCS blank for coded service</t>
        </is>
      </c>
      <c r="I6" s="26" t="inlineStr">
        <is>
          <t>Hold charge</t>
        </is>
      </c>
      <c r="J6" s="26" t="inlineStr">
        <is>
          <t>HB Coding</t>
        </is>
      </c>
      <c r="K6" s="26" t="inlineStr">
        <is>
          <t>Hold</t>
        </is>
      </c>
      <c r="L6" s="26" t="inlineStr">
        <is>
          <t>WQ-CODE-002</t>
        </is>
      </c>
      <c r="M6" s="26" t="inlineStr">
        <is>
          <t>Error</t>
        </is>
      </c>
      <c r="N6" s="26" t="inlineStr">
        <is>
          <t>HB Coding</t>
        </is>
      </c>
      <c r="O6" s="26" t="inlineStr">
        <is>
          <t>2026-01-01</t>
        </is>
      </c>
      <c r="P6" s="26" t="inlineStr">
        <is>
          <t>Active</t>
        </is>
      </c>
      <c r="Q6" s="26" t="inlineStr">
        <is>
          <t>Outpatient imaging without CPT</t>
        </is>
      </c>
      <c r="R6" s="26" t="inlineStr">
        <is>
          <t>Held for coding</t>
        </is>
      </c>
    </row>
    <row r="7">
      <c r="A7" s="26" t="inlineStr">
        <is>
          <t>CR-003</t>
        </is>
      </c>
      <c r="B7" s="26" t="n">
        <v>30</v>
      </c>
      <c r="C7" s="26" t="inlineStr">
        <is>
          <t>Duplicate charge check</t>
        </is>
      </c>
      <c r="D7" s="26" t="inlineStr">
        <is>
          <t>Any</t>
        </is>
      </c>
      <c r="E7" s="26" t="inlineStr">
        <is>
          <t>Charge received</t>
        </is>
      </c>
      <c r="F7" s="26" t="inlineStr">
        <is>
          <t>All</t>
        </is>
      </c>
      <c r="G7" s="26" t="inlineStr">
        <is>
          <t>All</t>
        </is>
      </c>
      <c r="H7" s="26" t="inlineStr">
        <is>
          <t>Same HAR, charge code, service date, quantity within 24h</t>
        </is>
      </c>
      <c r="I7" s="26" t="inlineStr">
        <is>
          <t>Route to review</t>
        </is>
      </c>
      <c r="J7" s="26" t="inlineStr">
        <is>
          <t>Charge Review</t>
        </is>
      </c>
      <c r="K7" s="26" t="inlineStr">
        <is>
          <t>Hold</t>
        </is>
      </c>
      <c r="L7" s="26" t="inlineStr">
        <is>
          <t>WQ-DUP-003</t>
        </is>
      </c>
      <c r="M7" s="26" t="inlineStr">
        <is>
          <t>Warning</t>
        </is>
      </c>
      <c r="N7" s="26" t="inlineStr">
        <is>
          <t>Revenue Integrity</t>
        </is>
      </c>
      <c r="O7" s="26" t="inlineStr">
        <is>
          <t>2026-01-01</t>
        </is>
      </c>
      <c r="P7" s="26" t="inlineStr">
        <is>
          <t>Active</t>
        </is>
      </c>
      <c r="Q7" s="26" t="inlineStr">
        <is>
          <t>Repeat same-day CBC</t>
        </is>
      </c>
      <c r="R7" s="26" t="inlineStr">
        <is>
          <t>Review duplicate intent</t>
        </is>
      </c>
    </row>
    <row r="8">
      <c r="A8" s="26" t="inlineStr">
        <is>
          <t>CR-004</t>
        </is>
      </c>
      <c r="B8" s="26" t="n">
        <v>40</v>
      </c>
      <c r="C8" s="26" t="inlineStr">
        <is>
          <t>Implant carve-out review</t>
        </is>
      </c>
      <c r="D8" s="26" t="inlineStr">
        <is>
          <t>Inventory</t>
        </is>
      </c>
      <c r="E8" s="26" t="inlineStr">
        <is>
          <t>Implant scan</t>
        </is>
      </c>
      <c r="F8" s="26" t="inlineStr">
        <is>
          <t>Inpatient</t>
        </is>
      </c>
      <c r="G8" s="26" t="inlineStr">
        <is>
          <t>HB</t>
        </is>
      </c>
      <c r="H8" s="26" t="inlineStr">
        <is>
          <t>Revenue code 0278 and price tier Carve-Out</t>
        </is>
      </c>
      <c r="I8" s="26" t="inlineStr">
        <is>
          <t>Route to contract review</t>
        </is>
      </c>
      <c r="J8" s="26" t="inlineStr">
        <is>
          <t>HB Contracting</t>
        </is>
      </c>
      <c r="K8" s="26" t="inlineStr">
        <is>
          <t>Hold</t>
        </is>
      </c>
      <c r="L8" s="26" t="inlineStr">
        <is>
          <t>WQ-IMP-004</t>
        </is>
      </c>
      <c r="M8" s="26" t="inlineStr">
        <is>
          <t>Warning</t>
        </is>
      </c>
      <c r="N8" s="26" t="inlineStr">
        <is>
          <t>Managed Care</t>
        </is>
      </c>
      <c r="O8" s="26" t="inlineStr">
        <is>
          <t>2026-01-01</t>
        </is>
      </c>
      <c r="P8" s="26" t="inlineStr">
        <is>
          <t>Active</t>
        </is>
      </c>
      <c r="Q8" s="26" t="inlineStr">
        <is>
          <t>Knee implant on contracted case</t>
        </is>
      </c>
      <c r="R8" s="26" t="inlineStr">
        <is>
          <t>Validate invoice/carve-out</t>
        </is>
      </c>
    </row>
    <row r="9">
      <c r="A9" s="26" t="inlineStr">
        <is>
          <t>CR-005</t>
        </is>
      </c>
      <c r="B9" s="26" t="n">
        <v>50</v>
      </c>
      <c r="C9" s="26" t="inlineStr">
        <is>
          <t>Professional charge split</t>
        </is>
      </c>
      <c r="D9" s="26" t="inlineStr">
        <is>
          <t>ClinDoc</t>
        </is>
      </c>
      <c r="E9" s="26" t="inlineStr">
        <is>
          <t>Procedure sign</t>
        </is>
      </c>
      <c r="F9" s="26" t="inlineStr">
        <is>
          <t>All</t>
        </is>
      </c>
      <c r="G9" s="26" t="inlineStr">
        <is>
          <t>PB</t>
        </is>
      </c>
      <c r="H9" s="26" t="inlineStr">
        <is>
          <t>HB/PB = PB</t>
        </is>
      </c>
      <c r="I9" s="26" t="inlineStr">
        <is>
          <t>Route</t>
        </is>
      </c>
      <c r="J9" s="26" t="inlineStr">
        <is>
          <t>PB Charge Entry</t>
        </is>
      </c>
      <c r="K9" s="26" t="inlineStr">
        <is>
          <t>Release</t>
        </is>
      </c>
      <c r="L9" s="26" t="inlineStr">
        <is>
          <t>WQ-PB-005</t>
        </is>
      </c>
      <c r="M9" s="26" t="inlineStr">
        <is>
          <t>Info</t>
        </is>
      </c>
      <c r="N9" s="26" t="inlineStr">
        <is>
          <t>PB Coding</t>
        </is>
      </c>
      <c r="O9" s="26" t="inlineStr">
        <is>
          <t>2026-01-01</t>
        </is>
      </c>
      <c r="P9" s="26" t="inlineStr">
        <is>
          <t>Active</t>
        </is>
      </c>
      <c r="Q9" s="26" t="inlineStr">
        <is>
          <t>Surgeon procedure charge</t>
        </is>
      </c>
      <c r="R9" s="26" t="inlineStr">
        <is>
          <t>Routes to PB</t>
        </is>
      </c>
    </row>
    <row r="10">
      <c r="A10" s="26" t="inlineStr">
        <is>
          <t>CR-006</t>
        </is>
      </c>
      <c r="B10" s="26" t="n">
        <v>60</v>
      </c>
      <c r="C10" s="26" t="inlineStr">
        <is>
          <t>Passed automation</t>
        </is>
      </c>
      <c r="D10" s="26" t="inlineStr">
        <is>
          <t>Any</t>
        </is>
      </c>
      <c r="E10" s="26" t="inlineStr">
        <is>
          <t>Charge received</t>
        </is>
      </c>
      <c r="F10" s="26" t="inlineStr">
        <is>
          <t>All</t>
        </is>
      </c>
      <c r="G10" s="26" t="inlineStr">
        <is>
          <t>All</t>
        </is>
      </c>
      <c r="H10" s="26" t="inlineStr">
        <is>
          <t>All required elements present</t>
        </is>
      </c>
      <c r="I10" s="26" t="inlineStr">
        <is>
          <t>Release charge</t>
        </is>
      </c>
      <c r="J10" s="26" t="inlineStr">
        <is>
          <t>Target bill area</t>
        </is>
      </c>
      <c r="K10" s="26" t="inlineStr">
        <is>
          <t>Release</t>
        </is>
      </c>
      <c r="L10" s="26" t="n"/>
      <c r="M10" s="26" t="inlineStr">
        <is>
          <t>Info</t>
        </is>
      </c>
      <c r="N10" s="26" t="inlineStr">
        <is>
          <t>Revenue Integrity</t>
        </is>
      </c>
      <c r="O10" s="26" t="inlineStr">
        <is>
          <t>2026-01-01</t>
        </is>
      </c>
      <c r="P10" s="26" t="inlineStr">
        <is>
          <t>Active</t>
        </is>
      </c>
      <c r="Q10" s="26" t="inlineStr">
        <is>
          <t>Complete valid charge</t>
        </is>
      </c>
      <c r="R10" s="26" t="inlineStr">
        <is>
          <t>Released to billing</t>
        </is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32" min="1" max="2"/>
    <col width="14" customWidth="1" style="32" min="3" max="3"/>
    <col width="32" customWidth="1" style="32" min="4" max="4"/>
    <col width="44" customWidth="1" style="32" min="5" max="5"/>
    <col width="12" customWidth="1" style="32" min="6" max="6"/>
    <col width="11" customWidth="1" style="32" min="7" max="7"/>
    <col width="18" customWidth="1" style="32" min="8" max="8"/>
    <col width="17" customWidth="1" style="32" min="9" max="9"/>
    <col width="20" customWidth="1" style="32" min="10" max="10"/>
    <col width="26" customWidth="1" style="32" min="11" max="11"/>
    <col width="11" customWidth="1" style="32" min="12" max="12"/>
    <col width="14" customWidth="1" style="32" min="13" max="14"/>
  </cols>
  <sheetData>
    <row r="1" ht="27.95" customHeight="1" s="32">
      <c r="A1" s="25" t="inlineStr">
        <is>
          <t>Institutional Claim Edits</t>
        </is>
      </c>
    </row>
    <row r="2" ht="30" customHeight="1" s="32">
      <c r="A2" s="27" t="inlineStr">
        <is>
          <t>Pre-bill data-quality, coding, medical-necessity, and contract controls for a clean 837I workflow.</t>
        </is>
      </c>
    </row>
    <row r="4" ht="38.1" customHeight="1" s="32">
      <c r="A4" s="4" t="inlineStr">
        <is>
          <t>Edit ID</t>
        </is>
      </c>
      <c r="B4" s="4" t="inlineStr">
        <is>
          <t>Claim Type</t>
        </is>
      </c>
      <c r="C4" s="4" t="inlineStr">
        <is>
          <t>Stage</t>
        </is>
      </c>
      <c r="D4" s="4" t="inlineStr">
        <is>
          <t>Edit Description</t>
        </is>
      </c>
      <c r="E4" s="4" t="inlineStr">
        <is>
          <t>Logic / Validation</t>
        </is>
      </c>
      <c r="F4" s="4" t="inlineStr">
        <is>
          <t>Disposition</t>
        </is>
      </c>
      <c r="G4" s="4" t="inlineStr">
        <is>
          <t>Severity</t>
        </is>
      </c>
      <c r="H4" s="4" t="inlineStr">
        <is>
          <t>Related Field</t>
        </is>
      </c>
      <c r="I4" s="4" t="inlineStr">
        <is>
          <t>Workqueue</t>
        </is>
      </c>
      <c r="J4" s="4" t="inlineStr">
        <is>
          <t>Owner</t>
        </is>
      </c>
      <c r="K4" s="4" t="inlineStr">
        <is>
          <t>Regulatory/Contract Basis</t>
        </is>
      </c>
      <c r="L4" s="4" t="inlineStr">
        <is>
          <t>Status</t>
        </is>
      </c>
      <c r="M4" s="4" t="inlineStr">
        <is>
          <t>Last Tested</t>
        </is>
      </c>
      <c r="N4" s="4" t="inlineStr">
        <is>
          <t>Test Outcome</t>
        </is>
      </c>
    </row>
    <row r="5">
      <c r="A5" s="26" t="inlineStr">
        <is>
          <t>CE-001</t>
        </is>
      </c>
      <c r="B5" s="26" t="inlineStr">
        <is>
          <t>837I</t>
        </is>
      </c>
      <c r="C5" s="26" t="inlineStr">
        <is>
          <t>Pre-bill</t>
        </is>
      </c>
      <c r="D5" s="26" t="inlineStr">
        <is>
          <t>Missing/invalid revenue code</t>
        </is>
      </c>
      <c r="E5" s="26" t="inlineStr">
        <is>
          <t>Revenue code required and valid for bill type</t>
        </is>
      </c>
      <c r="F5" s="26" t="inlineStr">
        <is>
          <t>Hold</t>
        </is>
      </c>
      <c r="G5" s="26" t="inlineStr">
        <is>
          <t>Error</t>
        </is>
      </c>
      <c r="H5" s="26" t="inlineStr">
        <is>
          <t>Revenue Code</t>
        </is>
      </c>
      <c r="I5" s="26" t="inlineStr">
        <is>
          <t>WQ-CLAIM-001</t>
        </is>
      </c>
      <c r="J5" s="26" t="inlineStr">
        <is>
          <t>HB Billing</t>
        </is>
      </c>
      <c r="K5" s="26" t="inlineStr">
        <is>
          <t>UB-04/837I data quality</t>
        </is>
      </c>
      <c r="L5" s="26" t="inlineStr">
        <is>
          <t>Active</t>
        </is>
      </c>
      <c r="M5" s="26" t="inlineStr">
        <is>
          <t>2026-09-01</t>
        </is>
      </c>
      <c r="N5" s="26" t="inlineStr">
        <is>
          <t>Pass</t>
        </is>
      </c>
    </row>
    <row r="6">
      <c r="A6" s="26" t="inlineStr">
        <is>
          <t>CE-002</t>
        </is>
      </c>
      <c r="B6" s="26" t="inlineStr">
        <is>
          <t>837I</t>
        </is>
      </c>
      <c r="C6" s="26" t="inlineStr">
        <is>
          <t>Pre-bill</t>
        </is>
      </c>
      <c r="D6" s="26" t="inlineStr">
        <is>
          <t>CPT required for outpatient ancillary</t>
        </is>
      </c>
      <c r="E6" s="26" t="inlineStr">
        <is>
          <t>CPT/HCPCS required for configured revenue codes</t>
        </is>
      </c>
      <c r="F6" s="26" t="inlineStr">
        <is>
          <t>Hold</t>
        </is>
      </c>
      <c r="G6" s="26" t="inlineStr">
        <is>
          <t>Error</t>
        </is>
      </c>
      <c r="H6" s="26" t="inlineStr">
        <is>
          <t>CPT/HCPCS</t>
        </is>
      </c>
      <c r="I6" s="26" t="inlineStr">
        <is>
          <t>WQ-CODE-002</t>
        </is>
      </c>
      <c r="J6" s="26" t="inlineStr">
        <is>
          <t>HB Coding</t>
        </is>
      </c>
      <c r="K6" s="26" t="inlineStr">
        <is>
          <t>Payer billing rule</t>
        </is>
      </c>
      <c r="L6" s="26" t="inlineStr">
        <is>
          <t>Active</t>
        </is>
      </c>
      <c r="M6" s="26" t="inlineStr">
        <is>
          <t>2026-09-01</t>
        </is>
      </c>
      <c r="N6" s="26" t="inlineStr">
        <is>
          <t>Pass</t>
        </is>
      </c>
    </row>
    <row r="7">
      <c r="A7" s="26" t="inlineStr">
        <is>
          <t>CE-003</t>
        </is>
      </c>
      <c r="B7" s="26" t="inlineStr">
        <is>
          <t>837I</t>
        </is>
      </c>
      <c r="C7" s="26" t="inlineStr">
        <is>
          <t>Pre-bill</t>
        </is>
      </c>
      <c r="D7" s="26" t="inlineStr">
        <is>
          <t>Units inconsistent with timed service</t>
        </is>
      </c>
      <c r="E7" s="26" t="inlineStr">
        <is>
          <t>Units must match documented time methodology</t>
        </is>
      </c>
      <c r="F7" s="26" t="inlineStr">
        <is>
          <t>Hold</t>
        </is>
      </c>
      <c r="G7" s="26" t="inlineStr">
        <is>
          <t>Error</t>
        </is>
      </c>
      <c r="H7" s="26" t="inlineStr">
        <is>
          <t>Quantity</t>
        </is>
      </c>
      <c r="I7" s="26" t="inlineStr">
        <is>
          <t>WQ-THER-003</t>
        </is>
      </c>
      <c r="J7" s="26" t="inlineStr">
        <is>
          <t>Therapy Coding</t>
        </is>
      </c>
      <c r="K7" s="26" t="inlineStr">
        <is>
          <t>CPT timed-unit guidance</t>
        </is>
      </c>
      <c r="L7" s="26" t="inlineStr">
        <is>
          <t>Active</t>
        </is>
      </c>
      <c r="M7" s="26" t="inlineStr">
        <is>
          <t>2026-09-02</t>
        </is>
      </c>
      <c r="N7" s="26" t="inlineStr">
        <is>
          <t>Pass</t>
        </is>
      </c>
    </row>
    <row r="8">
      <c r="A8" s="26" t="inlineStr">
        <is>
          <t>CE-004</t>
        </is>
      </c>
      <c r="B8" s="26" t="inlineStr">
        <is>
          <t>837I</t>
        </is>
      </c>
      <c r="C8" s="26" t="inlineStr">
        <is>
          <t>Pre-bill</t>
        </is>
      </c>
      <c r="D8" s="26" t="inlineStr">
        <is>
          <t>Authorization missing</t>
        </is>
      </c>
      <c r="E8" s="26" t="inlineStr">
        <is>
          <t>Authorization required for flagged service/plan</t>
        </is>
      </c>
      <c r="F8" s="26" t="inlineStr">
        <is>
          <t>Hold</t>
        </is>
      </c>
      <c r="G8" s="26" t="inlineStr">
        <is>
          <t>Error</t>
        </is>
      </c>
      <c r="H8" s="26" t="inlineStr">
        <is>
          <t>Authorization</t>
        </is>
      </c>
      <c r="I8" s="26" t="inlineStr">
        <is>
          <t>WQ-AUTH-004</t>
        </is>
      </c>
      <c r="J8" s="26" t="inlineStr">
        <is>
          <t>Prior Authorization</t>
        </is>
      </c>
      <c r="K8" s="26" t="inlineStr">
        <is>
          <t>Payer contract</t>
        </is>
      </c>
      <c r="L8" s="26" t="inlineStr">
        <is>
          <t>Active</t>
        </is>
      </c>
      <c r="M8" s="26" t="inlineStr">
        <is>
          <t>2026-09-02</t>
        </is>
      </c>
      <c r="N8" s="26" t="inlineStr">
        <is>
          <t>Pass</t>
        </is>
      </c>
    </row>
    <row r="9">
      <c r="A9" s="26" t="inlineStr">
        <is>
          <t>CE-005</t>
        </is>
      </c>
      <c r="B9" s="26" t="inlineStr">
        <is>
          <t>837I</t>
        </is>
      </c>
      <c r="C9" s="26" t="inlineStr">
        <is>
          <t>Pre-bill</t>
        </is>
      </c>
      <c r="D9" s="26" t="inlineStr">
        <is>
          <t>NDC missing for drug</t>
        </is>
      </c>
      <c r="E9" s="26" t="inlineStr">
        <is>
          <t>NDC and unit-of-measure required when payer mandates</t>
        </is>
      </c>
      <c r="F9" s="26" t="inlineStr">
        <is>
          <t>Hold</t>
        </is>
      </c>
      <c r="G9" s="26" t="inlineStr">
        <is>
          <t>Warning</t>
        </is>
      </c>
      <c r="H9" s="26" t="inlineStr">
        <is>
          <t>NDC</t>
        </is>
      </c>
      <c r="I9" s="26" t="inlineStr">
        <is>
          <t>WQ-PHAR-005</t>
        </is>
      </c>
      <c r="J9" s="26" t="inlineStr">
        <is>
          <t>Pharmacy Billing</t>
        </is>
      </c>
      <c r="K9" s="26" t="inlineStr">
        <is>
          <t>Payer/state rule</t>
        </is>
      </c>
      <c r="L9" s="26" t="inlineStr">
        <is>
          <t>Active</t>
        </is>
      </c>
      <c r="M9" s="26" t="inlineStr">
        <is>
          <t>2026-09-03</t>
        </is>
      </c>
      <c r="N9" s="26" t="inlineStr">
        <is>
          <t>Pass</t>
        </is>
      </c>
    </row>
    <row r="10">
      <c r="A10" s="26" t="inlineStr">
        <is>
          <t>CE-006</t>
        </is>
      </c>
      <c r="B10" s="26" t="inlineStr">
        <is>
          <t>837I</t>
        </is>
      </c>
      <c r="C10" s="26" t="inlineStr">
        <is>
          <t>Pre-bill</t>
        </is>
      </c>
      <c r="D10" s="26" t="inlineStr">
        <is>
          <t>Implant invoice missing</t>
        </is>
      </c>
      <c r="E10" s="26" t="inlineStr">
        <is>
          <t>Invoice/documentation required for carve-out claim line</t>
        </is>
      </c>
      <c r="F10" s="26" t="inlineStr">
        <is>
          <t>Hold</t>
        </is>
      </c>
      <c r="G10" s="26" t="inlineStr">
        <is>
          <t>Warning</t>
        </is>
      </c>
      <c r="H10" s="26" t="inlineStr">
        <is>
          <t>Attachment</t>
        </is>
      </c>
      <c r="I10" s="26" t="inlineStr">
        <is>
          <t>WQ-IMP-006</t>
        </is>
      </c>
      <c r="J10" s="26" t="inlineStr">
        <is>
          <t>Managed Care</t>
        </is>
      </c>
      <c r="K10" s="26" t="inlineStr">
        <is>
          <t>Contract carve-out</t>
        </is>
      </c>
      <c r="L10" s="26" t="inlineStr">
        <is>
          <t>Active</t>
        </is>
      </c>
      <c r="M10" s="26" t="inlineStr">
        <is>
          <t>2026-09-03</t>
        </is>
      </c>
      <c r="N10" s="26" t="inlineStr">
        <is>
          <t>Pass</t>
        </is>
      </c>
    </row>
  </sheetData>
  <mergeCells count="2">
    <mergeCell ref="A2:N2"/>
    <mergeCell ref="A1:N1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2" min="1" max="1"/>
    <col width="16" customWidth="1" style="32" min="2" max="2"/>
    <col width="17" customWidth="1" style="32" min="3" max="3"/>
    <col width="18" customWidth="1" style="32" min="4" max="4"/>
    <col width="14" customWidth="1" style="32" min="5" max="5"/>
    <col width="17" customWidth="1" style="32" min="6" max="6"/>
    <col width="24" customWidth="1" style="32" min="7" max="7"/>
    <col width="14" customWidth="1" style="32" min="8" max="8"/>
    <col width="13" customWidth="1" style="32" min="9" max="9"/>
    <col width="17" customWidth="1" style="32" min="10" max="10"/>
    <col width="38" customWidth="1" style="32" min="11" max="11"/>
    <col width="14" customWidth="1" style="32" min="12" max="12"/>
    <col width="18" customWidth="1" style="32" min="13" max="13"/>
    <col width="14" customWidth="1" style="32" min="14" max="15"/>
    <col width="11" customWidth="1" style="32" min="16" max="16"/>
    <col width="22" customWidth="1" style="32" min="17" max="18"/>
  </cols>
  <sheetData>
    <row r="1" ht="27.95" customHeight="1" s="32">
      <c r="A1" s="25" t="inlineStr">
        <is>
          <t>Payer Contract Configuration</t>
        </is>
      </c>
    </row>
    <row r="2" ht="30" customHeight="1" s="32">
      <c r="A2" s="27" t="inlineStr">
        <is>
          <t>Synthetic contract assumptions used to separate gross charges from expected allowed and patient responsibility.</t>
        </is>
      </c>
    </row>
    <row r="4" ht="38.1" customHeight="1" s="32">
      <c r="A4" s="4" t="inlineStr">
        <is>
          <t>Contract ID</t>
        </is>
      </c>
      <c r="B4" s="4" t="inlineStr">
        <is>
          <t>Payer</t>
        </is>
      </c>
      <c r="C4" s="4" t="inlineStr">
        <is>
          <t>Plan</t>
        </is>
      </c>
      <c r="D4" s="4" t="inlineStr">
        <is>
          <t>Facility</t>
        </is>
      </c>
      <c r="E4" s="4" t="inlineStr">
        <is>
          <t>Patient Class</t>
        </is>
      </c>
      <c r="F4" s="4" t="inlineStr">
        <is>
          <t>Methodology</t>
        </is>
      </c>
      <c r="G4" s="4" t="inlineStr">
        <is>
          <t>DRG/APC/Fee Schedule</t>
        </is>
      </c>
      <c r="H4" s="4" t="inlineStr">
        <is>
          <t>Base Rate ($)</t>
        </is>
      </c>
      <c r="I4" s="4" t="inlineStr">
        <is>
          <t>Per Diem ($)</t>
        </is>
      </c>
      <c r="J4" s="4" t="inlineStr">
        <is>
          <t>Carve-Out Type</t>
        </is>
      </c>
      <c r="K4" s="4" t="inlineStr">
        <is>
          <t>Carve-Out Rule</t>
        </is>
      </c>
      <c r="L4" s="4" t="inlineStr">
        <is>
          <t>Coinsurance %</t>
        </is>
      </c>
      <c r="M4" s="4" t="inlineStr">
        <is>
          <t>Deductible Applies</t>
        </is>
      </c>
      <c r="N4" s="4" t="inlineStr">
        <is>
          <t>Effective Date</t>
        </is>
      </c>
      <c r="O4" s="4" t="inlineStr">
        <is>
          <t>Termination Date</t>
        </is>
      </c>
      <c r="P4" s="4" t="inlineStr">
        <is>
          <t>Status</t>
        </is>
      </c>
      <c r="Q4" s="4" t="inlineStr">
        <is>
          <t>Owner</t>
        </is>
      </c>
      <c r="R4" s="4" t="inlineStr">
        <is>
          <t>Notes</t>
        </is>
      </c>
    </row>
    <row r="5">
      <c r="A5" s="26" t="inlineStr">
        <is>
          <t>ATH-IPD-001</t>
        </is>
      </c>
      <c r="B5" s="26" t="inlineStr">
        <is>
          <t>Athena Health Insurance</t>
        </is>
      </c>
      <c r="C5" s="26" t="inlineStr">
        <is>
          <t>Athena PPO</t>
        </is>
      </c>
      <c r="D5" s="26" t="inlineStr">
        <is>
          <t>Main Campus</t>
        </is>
      </c>
      <c r="E5" s="26" t="inlineStr">
        <is>
          <t>Inpatient</t>
        </is>
      </c>
      <c r="F5" s="26" t="inlineStr">
        <is>
          <t>DRG / negotiated allowed</t>
        </is>
      </c>
      <c r="G5" s="26" t="inlineStr">
        <is>
          <t>Synthetic Athena schedule</t>
        </is>
      </c>
      <c r="H5" s="3" t="n">
        <v>30000</v>
      </c>
      <c r="I5" s="3" t="n">
        <v>0</v>
      </c>
      <c r="J5" s="26" t="inlineStr">
        <is>
          <t>Implant</t>
        </is>
      </c>
      <c r="K5" s="26" t="inlineStr">
        <is>
          <t>Lesser of invoice + 10% or gross charge</t>
        </is>
      </c>
      <c r="L5" s="11" t="n">
        <v>0.2</v>
      </c>
      <c r="M5" s="26" t="inlineStr">
        <is>
          <t>Yes</t>
        </is>
      </c>
      <c r="N5" s="26" t="inlineStr">
        <is>
          <t>2026-01-01</t>
        </is>
      </c>
      <c r="O5" s="26" t="inlineStr">
        <is>
          <t>2026-12-31</t>
        </is>
      </c>
      <c r="P5" s="26" t="inlineStr">
        <is>
          <t>Active</t>
        </is>
      </c>
      <c r="Q5" s="26" t="inlineStr">
        <is>
          <t>Managed Care Director</t>
        </is>
      </c>
      <c r="R5" s="26" t="inlineStr">
        <is>
          <t>Synthetic demo; baseline allowed amounts</t>
        </is>
      </c>
    </row>
    <row r="6">
      <c r="A6" s="26" t="inlineStr">
        <is>
          <t>ATH-OPD-001</t>
        </is>
      </c>
      <c r="B6" s="26" t="inlineStr">
        <is>
          <t>Athena Health Insurance</t>
        </is>
      </c>
      <c r="C6" s="26" t="inlineStr">
        <is>
          <t>Athena PPO</t>
        </is>
      </c>
      <c r="D6" s="26" t="inlineStr">
        <is>
          <t>Outpatient Center</t>
        </is>
      </c>
      <c r="E6" s="26" t="inlineStr">
        <is>
          <t>Outpatient</t>
        </is>
      </c>
      <c r="F6" s="26" t="inlineStr">
        <is>
          <t>Fee Schedule</t>
        </is>
      </c>
      <c r="G6" s="26" t="inlineStr">
        <is>
          <t>Synthetic Athena outpatient schedule</t>
        </is>
      </c>
      <c r="H6" s="3" t="n">
        <v>0</v>
      </c>
      <c r="I6" s="3" t="n">
        <v>0</v>
      </c>
      <c r="J6" s="26" t="inlineStr">
        <is>
          <t>Drug</t>
        </is>
      </c>
      <c r="K6" s="26" t="inlineStr">
        <is>
          <t>Selected drugs separately payable</t>
        </is>
      </c>
      <c r="L6" s="11" t="n">
        <v>0.2</v>
      </c>
      <c r="M6" s="26" t="inlineStr">
        <is>
          <t>Yes</t>
        </is>
      </c>
      <c r="N6" s="26" t="inlineStr">
        <is>
          <t>2026-01-01</t>
        </is>
      </c>
      <c r="O6" s="26" t="inlineStr">
        <is>
          <t>2026-12-31</t>
        </is>
      </c>
      <c r="P6" s="26" t="inlineStr">
        <is>
          <t>Active</t>
        </is>
      </c>
      <c r="Q6" s="26" t="inlineStr">
        <is>
          <t>Managed Care Director</t>
        </is>
      </c>
      <c r="R6" s="26" t="inlineStr">
        <is>
          <t>Synthetic demo; baseline allowed amounts</t>
        </is>
      </c>
    </row>
    <row r="7">
      <c r="A7" s="26" t="inlineStr">
        <is>
          <t>CGH-IPD-001</t>
        </is>
      </c>
      <c r="B7" s="26" t="inlineStr">
        <is>
          <t>Care Gap Health</t>
        </is>
      </c>
      <c r="C7" s="26" t="inlineStr">
        <is>
          <t>Care Gap Value PPO</t>
        </is>
      </c>
      <c r="D7" s="26" t="inlineStr">
        <is>
          <t>Main Campus</t>
        </is>
      </c>
      <c r="E7" s="26" t="inlineStr">
        <is>
          <t>Inpatient</t>
        </is>
      </c>
      <c r="F7" s="26" t="inlineStr">
        <is>
          <t>DRG / negotiated allowed</t>
        </is>
      </c>
      <c r="G7" s="26" t="inlineStr">
        <is>
          <t>10% below Athena allowed</t>
        </is>
      </c>
      <c r="H7" s="3" t="n">
        <v>27000</v>
      </c>
      <c r="I7" s="3" t="n">
        <v>0</v>
      </c>
      <c r="J7" s="26" t="inlineStr">
        <is>
          <t>Implant</t>
        </is>
      </c>
      <c r="K7" s="26" t="inlineStr">
        <is>
          <t>Care Gap allowed amount = 90% of Athena</t>
        </is>
      </c>
      <c r="L7" s="11" t="n">
        <v>0.15</v>
      </c>
      <c r="M7" s="26" t="inlineStr">
        <is>
          <t>Yes</t>
        </is>
      </c>
      <c r="N7" s="26" t="inlineStr">
        <is>
          <t>2026-01-01</t>
        </is>
      </c>
      <c r="O7" s="26" t="inlineStr">
        <is>
          <t>2026-12-31</t>
        </is>
      </c>
      <c r="P7" s="26" t="inlineStr">
        <is>
          <t>Active</t>
        </is>
      </c>
      <c r="Q7" s="26" t="inlineStr">
        <is>
          <t>Managed Care Director</t>
        </is>
      </c>
      <c r="R7" s="26" t="inlineStr">
        <is>
          <t>Synthetic demo; lower negotiated pricing</t>
        </is>
      </c>
    </row>
    <row r="8">
      <c r="A8" s="26" t="inlineStr">
        <is>
          <t>CGH-OPD-001</t>
        </is>
      </c>
      <c r="B8" s="26" t="inlineStr">
        <is>
          <t>Care Gap Health</t>
        </is>
      </c>
      <c r="C8" s="26" t="inlineStr">
        <is>
          <t>Care Gap Value PPO</t>
        </is>
      </c>
      <c r="D8" s="26" t="inlineStr">
        <is>
          <t>Outpatient Center</t>
        </is>
      </c>
      <c r="E8" s="26" t="inlineStr">
        <is>
          <t>Outpatient</t>
        </is>
      </c>
      <c r="F8" s="26" t="inlineStr">
        <is>
          <t>Fee Schedule</t>
        </is>
      </c>
      <c r="G8" s="26" t="inlineStr">
        <is>
          <t>90% of Athena outpatient allowed</t>
        </is>
      </c>
      <c r="H8" s="3" t="n">
        <v>0</v>
      </c>
      <c r="I8" s="3" t="n">
        <v>0</v>
      </c>
      <c r="J8" s="26" t="inlineStr">
        <is>
          <t>Drug</t>
        </is>
      </c>
      <c r="K8" s="26" t="inlineStr">
        <is>
          <t>Selected drugs separately payable</t>
        </is>
      </c>
      <c r="L8" s="11" t="n">
        <v>0.15</v>
      </c>
      <c r="M8" s="26" t="inlineStr">
        <is>
          <t>Yes</t>
        </is>
      </c>
      <c r="N8" s="26" t="inlineStr">
        <is>
          <t>2026-01-01</t>
        </is>
      </c>
      <c r="O8" s="26" t="inlineStr">
        <is>
          <t>2026-12-31</t>
        </is>
      </c>
      <c r="P8" s="26" t="inlineStr">
        <is>
          <t>Active</t>
        </is>
      </c>
      <c r="Q8" s="26" t="inlineStr">
        <is>
          <t>Managed Care Director</t>
        </is>
      </c>
      <c r="R8" s="26" t="inlineStr">
        <is>
          <t>Synthetic demo; lower negotiated pricing</t>
        </is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32" min="1" max="1"/>
    <col width="37" customWidth="1" style="32" min="2" max="2"/>
    <col width="18" customWidth="1" style="32" min="3" max="3"/>
    <col width="19" customWidth="1" style="32" min="4" max="4"/>
    <col width="35" customWidth="1" style="32" min="5" max="5"/>
    <col width="13" customWidth="1" style="32" min="6" max="6"/>
    <col width="14" customWidth="1" style="32" min="7" max="7"/>
    <col width="13" customWidth="1" style="32" min="8" max="8"/>
    <col width="16" customWidth="1" style="32" min="9" max="9"/>
    <col width="18" customWidth="1" style="32" min="10" max="10"/>
    <col width="16" customWidth="1" style="32" min="11" max="12"/>
    <col width="19" customWidth="1" style="32" min="13" max="13"/>
    <col width="20" customWidth="1" style="32" min="14" max="15"/>
    <col width="24" customWidth="1" style="32" min="16" max="16"/>
    <col width="14" customWidth="1" style="32" min="17" max="18"/>
    <col width="18" customWidth="1" style="32" min="19" max="19"/>
    <col width="19" customWidth="1" style="32" min="20" max="20"/>
    <col width="25" customWidth="1" style="32" min="21" max="21"/>
  </cols>
  <sheetData>
    <row r="1" ht="27.95" customHeight="1" s="32">
      <c r="A1" s="25" t="inlineStr">
        <is>
          <t>Hospital Price Transparency Dataset</t>
        </is>
      </c>
    </row>
    <row r="2" ht="30" customHeight="1" s="32">
      <c r="A2" s="27" t="inlineStr">
        <is>
          <t>Illustrative standard-charge view supporting gross, cash, payer-negotiated, minimum, and maximum charge categories.</t>
        </is>
      </c>
    </row>
    <row r="4" ht="38.1" customHeight="1" s="32">
      <c r="A4" s="4" t="inlineStr">
        <is>
          <t>Facility Name</t>
        </is>
      </c>
      <c r="B4" s="4" t="inlineStr">
        <is>
          <t>Facility Address</t>
        </is>
      </c>
      <c r="C4" s="4" t="inlineStr">
        <is>
          <t>License Number</t>
        </is>
      </c>
      <c r="D4" s="4" t="inlineStr">
        <is>
          <t>Item/Service Code</t>
        </is>
      </c>
      <c r="E4" s="4" t="inlineStr">
        <is>
          <t>Description</t>
        </is>
      </c>
      <c r="F4" s="4" t="inlineStr">
        <is>
          <t>Setting</t>
        </is>
      </c>
      <c r="G4" s="4" t="inlineStr">
        <is>
          <t>Code Type</t>
        </is>
      </c>
      <c r="H4" s="4" t="inlineStr">
        <is>
          <t>Code</t>
        </is>
      </c>
      <c r="I4" s="4" t="inlineStr">
        <is>
          <t>Gross Charge ($)</t>
        </is>
      </c>
      <c r="J4" s="4" t="inlineStr">
        <is>
          <t>Discounted Cash ($)</t>
        </is>
      </c>
      <c r="K4" s="4" t="inlineStr">
        <is>
          <t>Payer</t>
        </is>
      </c>
      <c r="L4" s="4" t="inlineStr">
        <is>
          <t>Plan</t>
        </is>
      </c>
      <c r="M4" s="4" t="inlineStr">
        <is>
          <t>Negotiated Charge ($)</t>
        </is>
      </c>
      <c r="N4" s="4" t="inlineStr">
        <is>
          <t>De-identified Min ($)</t>
        </is>
      </c>
      <c r="O4" s="4" t="inlineStr">
        <is>
          <t>De-identified Max ($)</t>
        </is>
      </c>
      <c r="P4" s="4" t="inlineStr">
        <is>
          <t>Methodology</t>
        </is>
      </c>
      <c r="Q4" s="4" t="inlineStr">
        <is>
          <t>Last Updated</t>
        </is>
      </c>
      <c r="R4" s="4" t="inlineStr">
        <is>
          <t>MRF Inclusion</t>
        </is>
      </c>
      <c r="S4" s="4" t="inlineStr">
        <is>
          <t>Consumer Shoppable</t>
        </is>
      </c>
      <c r="T4" s="4" t="inlineStr">
        <is>
          <t>Source CDM Code</t>
        </is>
      </c>
      <c r="U4" s="4" t="inlineStr">
        <is>
          <t>Notes</t>
        </is>
      </c>
    </row>
    <row r="5">
      <c r="A5" s="26" t="inlineStr">
        <is>
          <t>Demo Regional Medical Center</t>
        </is>
      </c>
      <c r="B5" s="26" t="inlineStr">
        <is>
          <t>100 Innovation Drive, Columbus, OH 43215</t>
        </is>
      </c>
      <c r="C5" s="26" t="inlineStr">
        <is>
          <t>OH-DEMO-1001</t>
        </is>
      </c>
      <c r="D5" s="26" t="inlineStr">
        <is>
          <t>RAD-CHEST-02</t>
        </is>
      </c>
      <c r="E5" s="26">
        <f>'CDM Master'!G18</f>
        <v/>
      </c>
      <c r="F5" s="26" t="inlineStr">
        <is>
          <t>Outpatient</t>
        </is>
      </c>
      <c r="G5" s="26" t="inlineStr">
        <is>
          <t>CPT/HCPCS</t>
        </is>
      </c>
      <c r="H5" s="26">
        <f>'CDM Master'!K18</f>
        <v/>
      </c>
      <c r="I5" s="3">
        <f>'CDM Master'!O18</f>
        <v/>
      </c>
      <c r="J5" s="3">
        <f>I5*65%</f>
        <v/>
      </c>
      <c r="K5" s="3" t="inlineStr">
        <is>
          <t>Demo PPO</t>
        </is>
      </c>
      <c r="L5" s="3" t="inlineStr">
        <is>
          <t>Gold PPO</t>
        </is>
      </c>
      <c r="M5" s="3">
        <f>I5*72%</f>
        <v/>
      </c>
      <c r="N5" s="3">
        <f>I5*55%</f>
        <v/>
      </c>
      <c r="O5" s="3">
        <f>I5*88%</f>
        <v/>
      </c>
      <c r="P5" s="26" t="inlineStr">
        <is>
          <t>Negotiated dollar amount</t>
        </is>
      </c>
      <c r="Q5" s="26" t="inlineStr">
        <is>
          <t>2026-09-01</t>
        </is>
      </c>
      <c r="R5" s="26" t="inlineStr">
        <is>
          <t>Yes</t>
        </is>
      </c>
      <c r="S5" s="26" t="inlineStr">
        <is>
          <t>Yes</t>
        </is>
      </c>
      <c r="T5" s="26" t="inlineStr">
        <is>
          <t>RAD-CHEST-02</t>
        </is>
      </c>
      <c r="U5" s="26" t="inlineStr">
        <is>
          <t>Synthetic demonstration</t>
        </is>
      </c>
    </row>
    <row r="6">
      <c r="A6" s="26" t="inlineStr">
        <is>
          <t>Demo Regional Medical Center</t>
        </is>
      </c>
      <c r="B6" s="26" t="inlineStr">
        <is>
          <t>100 Innovation Drive, Columbus, OH 43215</t>
        </is>
      </c>
      <c r="C6" s="26" t="inlineStr">
        <is>
          <t>OH-DEMO-1001</t>
        </is>
      </c>
      <c r="D6" s="26" t="inlineStr">
        <is>
          <t>LAB-CBC-001</t>
        </is>
      </c>
      <c r="E6" s="26">
        <f>'CDM Master'!G12</f>
        <v/>
      </c>
      <c r="F6" s="26" t="inlineStr">
        <is>
          <t>Outpatient</t>
        </is>
      </c>
      <c r="G6" s="26" t="inlineStr">
        <is>
          <t>CPT/HCPCS</t>
        </is>
      </c>
      <c r="H6" s="26">
        <f>'CDM Master'!K12</f>
        <v/>
      </c>
      <c r="I6" s="3">
        <f>'CDM Master'!O12</f>
        <v/>
      </c>
      <c r="J6" s="3">
        <f>I6*65%</f>
        <v/>
      </c>
      <c r="K6" s="3" t="inlineStr">
        <is>
          <t>Demo PPO</t>
        </is>
      </c>
      <c r="L6" s="3" t="inlineStr">
        <is>
          <t>Gold PPO</t>
        </is>
      </c>
      <c r="M6" s="3">
        <f>I6*72%</f>
        <v/>
      </c>
      <c r="N6" s="3">
        <f>I6*55%</f>
        <v/>
      </c>
      <c r="O6" s="3">
        <f>I6*88%</f>
        <v/>
      </c>
      <c r="P6" s="26" t="inlineStr">
        <is>
          <t>Negotiated dollar amount</t>
        </is>
      </c>
      <c r="Q6" s="26" t="inlineStr">
        <is>
          <t>2026-09-01</t>
        </is>
      </c>
      <c r="R6" s="26" t="inlineStr">
        <is>
          <t>Yes</t>
        </is>
      </c>
      <c r="S6" s="26" t="inlineStr">
        <is>
          <t>Yes</t>
        </is>
      </c>
      <c r="T6" s="26" t="inlineStr">
        <is>
          <t>LAB-CBC-001</t>
        </is>
      </c>
      <c r="U6" s="26" t="inlineStr">
        <is>
          <t>Synthetic demonstration</t>
        </is>
      </c>
    </row>
    <row r="7">
      <c r="A7" s="26" t="inlineStr">
        <is>
          <t>Demo Regional Medical Center</t>
        </is>
      </c>
      <c r="B7" s="26" t="inlineStr">
        <is>
          <t>100 Innovation Drive, Columbus, OH 43215</t>
        </is>
      </c>
      <c r="C7" s="26" t="inlineStr">
        <is>
          <t>OH-DEMO-1001</t>
        </is>
      </c>
      <c r="D7" s="26" t="inlineStr">
        <is>
          <t>PT-EVAL-01</t>
        </is>
      </c>
      <c r="E7" s="26">
        <f>'CDM Master'!G14</f>
        <v/>
      </c>
      <c r="F7" s="26" t="inlineStr">
        <is>
          <t>Outpatient</t>
        </is>
      </c>
      <c r="G7" s="26" t="inlineStr">
        <is>
          <t>CPT/HCPCS</t>
        </is>
      </c>
      <c r="H7" s="26">
        <f>'CDM Master'!K14</f>
        <v/>
      </c>
      <c r="I7" s="3">
        <f>'CDM Master'!O14</f>
        <v/>
      </c>
      <c r="J7" s="3">
        <f>I7*65%</f>
        <v/>
      </c>
      <c r="K7" s="3" t="inlineStr">
        <is>
          <t>Demo PPO</t>
        </is>
      </c>
      <c r="L7" s="3" t="inlineStr">
        <is>
          <t>Gold PPO</t>
        </is>
      </c>
      <c r="M7" s="3">
        <f>I7*72%</f>
        <v/>
      </c>
      <c r="N7" s="3">
        <f>I7*55%</f>
        <v/>
      </c>
      <c r="O7" s="3">
        <f>I7*88%</f>
        <v/>
      </c>
      <c r="P7" s="26" t="inlineStr">
        <is>
          <t>Negotiated dollar amount</t>
        </is>
      </c>
      <c r="Q7" s="26" t="inlineStr">
        <is>
          <t>2026-09-01</t>
        </is>
      </c>
      <c r="R7" s="26" t="inlineStr">
        <is>
          <t>Yes</t>
        </is>
      </c>
      <c r="S7" s="26" t="inlineStr">
        <is>
          <t>Yes</t>
        </is>
      </c>
      <c r="T7" s="26" t="inlineStr">
        <is>
          <t>PT-EVAL-01</t>
        </is>
      </c>
      <c r="U7" s="26" t="inlineStr">
        <is>
          <t>Synthetic demonstration</t>
        </is>
      </c>
    </row>
    <row r="8">
      <c r="A8" s="26" t="inlineStr">
        <is>
          <t>Demo Regional Medical Center</t>
        </is>
      </c>
      <c r="B8" s="26" t="inlineStr">
        <is>
          <t>100 Innovation Drive, Columbus, OH 43215</t>
        </is>
      </c>
      <c r="C8" s="26" t="inlineStr">
        <is>
          <t>OH-DEMO-1001</t>
        </is>
      </c>
      <c r="D8" s="26" t="inlineStr">
        <is>
          <t>OPD-CLINIC-01</t>
        </is>
      </c>
      <c r="E8" s="26">
        <f>'CDM Master'!G18</f>
        <v/>
      </c>
      <c r="F8" s="26" t="inlineStr">
        <is>
          <t>Outpatient</t>
        </is>
      </c>
      <c r="G8" s="26" t="inlineStr">
        <is>
          <t>CPT/HCPCS</t>
        </is>
      </c>
      <c r="H8" s="26">
        <f>'CDM Master'!K18</f>
        <v/>
      </c>
      <c r="I8" s="3">
        <f>'CDM Master'!O18</f>
        <v/>
      </c>
      <c r="J8" s="3">
        <f>I8*65%</f>
        <v/>
      </c>
      <c r="K8" s="3" t="inlineStr">
        <is>
          <t>Demo PPO</t>
        </is>
      </c>
      <c r="L8" s="3" t="inlineStr">
        <is>
          <t>Gold PPO</t>
        </is>
      </c>
      <c r="M8" s="3">
        <f>I8*72%</f>
        <v/>
      </c>
      <c r="N8" s="3">
        <f>I8*55%</f>
        <v/>
      </c>
      <c r="O8" s="3">
        <f>I8*88%</f>
        <v/>
      </c>
      <c r="P8" s="26" t="inlineStr">
        <is>
          <t>Negotiated dollar amount</t>
        </is>
      </c>
      <c r="Q8" s="26" t="inlineStr">
        <is>
          <t>2026-09-01</t>
        </is>
      </c>
      <c r="R8" s="26" t="inlineStr">
        <is>
          <t>Yes</t>
        </is>
      </c>
      <c r="S8" s="26" t="inlineStr">
        <is>
          <t>Yes</t>
        </is>
      </c>
      <c r="T8" s="26" t="inlineStr">
        <is>
          <t>OPD-CLINIC-01</t>
        </is>
      </c>
      <c r="U8" s="26" t="inlineStr">
        <is>
          <t>Synthetic demonstration</t>
        </is>
      </c>
    </row>
    <row r="9">
      <c r="A9" s="26" t="inlineStr">
        <is>
          <t>Demo Regional Medical Center</t>
        </is>
      </c>
      <c r="B9" s="26" t="inlineStr">
        <is>
          <t>100 Innovation Drive, Columbus, OH 43215</t>
        </is>
      </c>
      <c r="C9" s="26" t="inlineStr">
        <is>
          <t>OH-DEMO-1001</t>
        </is>
      </c>
      <c r="D9" s="26" t="inlineStr">
        <is>
          <t>IMP-KNEE-01</t>
        </is>
      </c>
      <c r="E9" s="26">
        <f>'CDM Master'!G9</f>
        <v/>
      </c>
      <c r="F9" s="26" t="inlineStr">
        <is>
          <t>Inpatient</t>
        </is>
      </c>
      <c r="G9" s="26" t="inlineStr">
        <is>
          <t>CPT/HCPCS</t>
        </is>
      </c>
      <c r="H9" s="26">
        <f>'CDM Master'!K9</f>
        <v/>
      </c>
      <c r="I9" s="3">
        <f>'CDM Master'!O9</f>
        <v/>
      </c>
      <c r="J9" s="3">
        <f>I9*65%</f>
        <v/>
      </c>
      <c r="K9" s="3" t="inlineStr">
        <is>
          <t>Demo PPO</t>
        </is>
      </c>
      <c r="L9" s="3" t="inlineStr">
        <is>
          <t>Gold PPO</t>
        </is>
      </c>
      <c r="M9" s="3">
        <f>I9*72%</f>
        <v/>
      </c>
      <c r="N9" s="3">
        <f>I9*55%</f>
        <v/>
      </c>
      <c r="O9" s="3">
        <f>I9*88%</f>
        <v/>
      </c>
      <c r="P9" s="26" t="inlineStr">
        <is>
          <t>Negotiated dollar amount</t>
        </is>
      </c>
      <c r="Q9" s="26" t="inlineStr">
        <is>
          <t>2026-09-01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IMP-KNEE-01</t>
        </is>
      </c>
      <c r="U9" s="26" t="inlineStr">
        <is>
          <t>Synthetic demonstration</t>
        </is>
      </c>
    </row>
  </sheetData>
  <mergeCells count="2">
    <mergeCell ref="A1:U1"/>
    <mergeCell ref="A2:U2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32" min="1" max="2"/>
    <col width="32" customWidth="1" style="32" min="3" max="3"/>
    <col width="20" customWidth="1" style="32" min="4" max="4"/>
    <col width="30" customWidth="1" style="32" min="5" max="5"/>
    <col width="20" customWidth="1" style="32" min="6" max="6"/>
    <col width="18" customWidth="1" style="32" min="7" max="7"/>
    <col width="16" customWidth="1" style="32" min="8" max="8"/>
    <col width="18" customWidth="1" style="32" min="9" max="9"/>
    <col width="16" customWidth="1" style="32" min="10" max="10"/>
    <col width="14" customWidth="1" style="32" min="11" max="11"/>
    <col width="16" customWidth="1" style="32" min="12" max="12"/>
    <col width="14" customWidth="1" style="32" min="13" max="13"/>
    <col width="12" customWidth="1" style="32" min="14" max="14"/>
    <col width="18" customWidth="1" style="32" min="15" max="15"/>
    <col width="14" customWidth="1" style="32" min="16" max="16"/>
    <col width="11" customWidth="1" style="32" min="17" max="17"/>
    <col width="13" customWidth="1" style="32" min="18" max="18"/>
  </cols>
  <sheetData>
    <row r="1" ht="27.95" customHeight="1" s="32">
      <c r="A1" s="25" t="inlineStr">
        <is>
          <t>CDM Governance &amp; Change Control</t>
        </is>
      </c>
    </row>
    <row r="2" ht="30" customHeight="1" s="32">
      <c r="A2" s="27" t="inlineStr">
        <is>
          <t>Formal intake, approval, build, testing, effective dating, and SLA monitoring for CDM changes.</t>
        </is>
      </c>
    </row>
    <row r="4" ht="38.1" customHeight="1" s="32">
      <c r="A4" s="4" t="inlineStr">
        <is>
          <t>Request ID</t>
        </is>
      </c>
      <c r="B4" s="4" t="inlineStr">
        <is>
          <t>Request Type</t>
        </is>
      </c>
      <c r="C4" s="4" t="inlineStr">
        <is>
          <t>Requested Change</t>
        </is>
      </c>
      <c r="D4" s="4" t="inlineStr">
        <is>
          <t>Affected Charge Code</t>
        </is>
      </c>
      <c r="E4" s="4" t="inlineStr">
        <is>
          <t>Business Justification</t>
        </is>
      </c>
      <c r="F4" s="4" t="inlineStr">
        <is>
          <t>Requester</t>
        </is>
      </c>
      <c r="G4" s="4" t="inlineStr">
        <is>
          <t>Department Approval</t>
        </is>
      </c>
      <c r="H4" s="4" t="inlineStr">
        <is>
          <t>Coding Review</t>
        </is>
      </c>
      <c r="I4" s="4" t="inlineStr">
        <is>
          <t>Compliance Review</t>
        </is>
      </c>
      <c r="J4" s="4" t="inlineStr">
        <is>
          <t>Finance Approval</t>
        </is>
      </c>
      <c r="K4" s="4" t="inlineStr">
        <is>
          <t>IT Build</t>
        </is>
      </c>
      <c r="L4" s="4" t="inlineStr">
        <is>
          <t>Test Evidence</t>
        </is>
      </c>
      <c r="M4" s="4" t="inlineStr">
        <is>
          <t>Effective Date</t>
        </is>
      </c>
      <c r="N4" s="4" t="inlineStr">
        <is>
          <t>Risk Level</t>
        </is>
      </c>
      <c r="O4" s="4" t="inlineStr">
        <is>
          <t>Status</t>
        </is>
      </c>
      <c r="P4" s="4" t="inlineStr">
        <is>
          <t>SLA Due Date</t>
        </is>
      </c>
      <c r="Q4" s="4" t="inlineStr">
        <is>
          <t>Days Open</t>
        </is>
      </c>
      <c r="R4" s="4" t="inlineStr">
        <is>
          <t>SLA Flag</t>
        </is>
      </c>
    </row>
    <row r="5">
      <c r="A5" s="26" t="inlineStr">
        <is>
          <t>CHG-2026-001</t>
        </is>
      </c>
      <c r="B5" s="26" t="inlineStr">
        <is>
          <t>Price Change</t>
        </is>
      </c>
      <c r="C5" s="26" t="inlineStr">
        <is>
          <t>Increase chest X-ray gross price</t>
        </is>
      </c>
      <c r="D5" s="26" t="inlineStr">
        <is>
          <t>RAD-CHEST-02</t>
        </is>
      </c>
      <c r="E5" s="26" t="inlineStr">
        <is>
          <t>Annual pricing review</t>
        </is>
      </c>
      <c r="F5" s="26" t="inlineStr">
        <is>
          <t>Imaging Finance</t>
        </is>
      </c>
      <c r="G5" s="26" t="inlineStr">
        <is>
          <t>Approved</t>
        </is>
      </c>
      <c r="H5" s="26" t="inlineStr">
        <is>
          <t>Approved</t>
        </is>
      </c>
      <c r="I5" s="26" t="inlineStr">
        <is>
          <t>Approved</t>
        </is>
      </c>
      <c r="J5" s="26" t="inlineStr">
        <is>
          <t>Approved</t>
        </is>
      </c>
      <c r="K5" s="26" t="inlineStr">
        <is>
          <t>Complete</t>
        </is>
      </c>
      <c r="L5" s="26" t="inlineStr">
        <is>
          <t>Attached</t>
        </is>
      </c>
      <c r="M5" s="26" t="inlineStr">
        <is>
          <t>2026-10-01</t>
        </is>
      </c>
      <c r="N5" s="26" t="inlineStr">
        <is>
          <t>Medium</t>
        </is>
      </c>
      <c r="O5" s="26" t="inlineStr">
        <is>
          <t>Ready for Release</t>
        </is>
      </c>
      <c r="P5" s="26" t="inlineStr">
        <is>
          <t>2026-09-25</t>
        </is>
      </c>
      <c r="Q5" s="26">
        <f>TODAY()-DATEVALUE("2026-09-01")</f>
        <v/>
      </c>
      <c r="R5" s="26">
        <f>IF(O5="Closed","Closed",IF(P5&lt;TODAY(),"Overdue","On Track"))</f>
        <v/>
      </c>
    </row>
    <row r="6">
      <c r="A6" s="26" t="inlineStr">
        <is>
          <t>CHG-2026-002</t>
        </is>
      </c>
      <c r="B6" s="26" t="inlineStr">
        <is>
          <t>New Charge</t>
        </is>
      </c>
      <c r="C6" s="26" t="inlineStr">
        <is>
          <t>Add robotic surgery disposable kit</t>
        </is>
      </c>
      <c r="D6" s="26" t="inlineStr">
        <is>
          <t>NEW-PENDING</t>
        </is>
      </c>
      <c r="E6" s="26" t="inlineStr">
        <is>
          <t>New clinical program</t>
        </is>
      </c>
      <c r="F6" s="26" t="inlineStr">
        <is>
          <t>OR Finance</t>
        </is>
      </c>
      <c r="G6" s="26" t="inlineStr">
        <is>
          <t>Approved</t>
        </is>
      </c>
      <c r="H6" s="26" t="inlineStr">
        <is>
          <t>In Review</t>
        </is>
      </c>
      <c r="I6" s="26" t="inlineStr">
        <is>
          <t>Pending</t>
        </is>
      </c>
      <c r="J6" s="26" t="inlineStr">
        <is>
          <t>Pending</t>
        </is>
      </c>
      <c r="K6" s="26" t="inlineStr">
        <is>
          <t>Not Started</t>
        </is>
      </c>
      <c r="L6" s="26" t="inlineStr">
        <is>
          <t>Pending</t>
        </is>
      </c>
      <c r="M6" s="26" t="inlineStr">
        <is>
          <t>2026-11-01</t>
        </is>
      </c>
      <c r="N6" s="26" t="inlineStr">
        <is>
          <t>High</t>
        </is>
      </c>
      <c r="O6" s="26" t="inlineStr">
        <is>
          <t>In Review</t>
        </is>
      </c>
      <c r="P6" s="26" t="inlineStr">
        <is>
          <t>2026-10-10</t>
        </is>
      </c>
      <c r="Q6" s="26">
        <f>TODAY()-DATEVALUE("2026-09-01")</f>
        <v/>
      </c>
      <c r="R6" s="26">
        <f>IF(O6="Closed","Closed",IF(P6&lt;TODAY(),"Overdue","On Track"))</f>
        <v/>
      </c>
    </row>
    <row r="7">
      <c r="A7" s="26" t="inlineStr">
        <is>
          <t>CHG-2026-003</t>
        </is>
      </c>
      <c r="B7" s="26" t="inlineStr">
        <is>
          <t>Retire Charge</t>
        </is>
      </c>
      <c r="C7" s="26" t="inlineStr">
        <is>
          <t>Retire obsolete supply pack</t>
        </is>
      </c>
      <c r="D7" s="26" t="inlineStr">
        <is>
          <t>SUP-OLD-01</t>
        </is>
      </c>
      <c r="E7" s="26" t="inlineStr">
        <is>
          <t>Item discontinued</t>
        </is>
      </c>
      <c r="F7" s="26" t="inlineStr">
        <is>
          <t>Supply Chain</t>
        </is>
      </c>
      <c r="G7" s="26" t="inlineStr">
        <is>
          <t>Approved</t>
        </is>
      </c>
      <c r="H7" s="26" t="inlineStr">
        <is>
          <t>Approved</t>
        </is>
      </c>
      <c r="I7" s="26" t="inlineStr">
        <is>
          <t>Approved</t>
        </is>
      </c>
      <c r="J7" s="26" t="inlineStr">
        <is>
          <t>Approved</t>
        </is>
      </c>
      <c r="K7" s="26" t="inlineStr">
        <is>
          <t>Complete</t>
        </is>
      </c>
      <c r="L7" s="26" t="inlineStr">
        <is>
          <t>Passed</t>
        </is>
      </c>
      <c r="M7" s="26" t="inlineStr">
        <is>
          <t>2026-09-15</t>
        </is>
      </c>
      <c r="N7" s="26" t="inlineStr">
        <is>
          <t>Low</t>
        </is>
      </c>
      <c r="O7" s="26" t="inlineStr">
        <is>
          <t>Closed</t>
        </is>
      </c>
      <c r="P7" s="26" t="inlineStr">
        <is>
          <t>2026-09-12</t>
        </is>
      </c>
      <c r="Q7" s="26">
        <f>TODAY()-DATEVALUE("2026-09-01")</f>
        <v/>
      </c>
      <c r="R7" s="26">
        <f>IF(O7="Closed","Closed",IF(P7&lt;TODAY(),"Overdue","On Track"))</f>
        <v/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2" min="1" max="1"/>
    <col width="20" customWidth="1" style="32" min="2" max="2"/>
    <col width="24" customWidth="1" style="32" min="3" max="3"/>
    <col width="13" customWidth="1" style="32" min="4" max="4"/>
    <col width="16" customWidth="1" style="32" min="5" max="5"/>
    <col width="20" customWidth="1" style="32" min="6" max="6"/>
    <col width="22" customWidth="1" style="32" min="7" max="7"/>
    <col width="23" customWidth="1" style="32" min="8" max="8"/>
    <col width="28" customWidth="1" style="32" min="9" max="10"/>
    <col width="18" customWidth="1" style="32" min="11" max="11"/>
    <col width="14" customWidth="1" style="32" min="12" max="12"/>
    <col width="12" customWidth="1" style="32" min="13" max="13"/>
  </cols>
  <sheetData>
    <row r="1" ht="27.95" customHeight="1" s="32">
      <c r="A1" s="25" t="inlineStr">
        <is>
          <t>Audit Trail</t>
        </is>
      </c>
    </row>
    <row r="2" ht="30" customHeight="1" s="32">
      <c r="A2" s="27" t="inlineStr">
        <is>
          <t>Synthetic immutable-style event history for CDM, routing, pricing, and release activities.</t>
        </is>
      </c>
    </row>
    <row r="4" ht="38.1" customHeight="1" s="32">
      <c r="A4" s="4" t="inlineStr">
        <is>
          <t>Audit ID</t>
        </is>
      </c>
      <c r="B4" s="4" t="inlineStr">
        <is>
          <t>Timestamp</t>
        </is>
      </c>
      <c r="C4" s="4" t="inlineStr">
        <is>
          <t>User/Role</t>
        </is>
      </c>
      <c r="D4" s="4" t="inlineStr">
        <is>
          <t>Action</t>
        </is>
      </c>
      <c r="E4" s="4" t="inlineStr">
        <is>
          <t>Object Type</t>
        </is>
      </c>
      <c r="F4" s="4" t="inlineStr">
        <is>
          <t>Object ID</t>
        </is>
      </c>
      <c r="G4" s="4" t="inlineStr">
        <is>
          <t>Field Changed</t>
        </is>
      </c>
      <c r="H4" s="4" t="inlineStr">
        <is>
          <t>Old Value</t>
        </is>
      </c>
      <c r="I4" s="4" t="inlineStr">
        <is>
          <t>New Value</t>
        </is>
      </c>
      <c r="J4" s="4" t="inlineStr">
        <is>
          <t>Reason</t>
        </is>
      </c>
      <c r="K4" s="4" t="inlineStr">
        <is>
          <t>Approval/Ticket</t>
        </is>
      </c>
      <c r="L4" s="4" t="inlineStr">
        <is>
          <t>Environment</t>
        </is>
      </c>
      <c r="M4" s="4" t="inlineStr">
        <is>
          <t>Result</t>
        </is>
      </c>
    </row>
    <row r="5">
      <c r="A5" s="26" t="inlineStr">
        <is>
          <t>AUD-0001</t>
        </is>
      </c>
      <c r="B5" s="26" t="inlineStr">
        <is>
          <t>2026-09-01 09:15</t>
        </is>
      </c>
      <c r="C5" s="26" t="inlineStr">
        <is>
          <t>Revenue Integrity Analyst</t>
        </is>
      </c>
      <c r="D5" s="26" t="inlineStr">
        <is>
          <t>Update</t>
        </is>
      </c>
      <c r="E5" s="26" t="inlineStr">
        <is>
          <t>CDM</t>
        </is>
      </c>
      <c r="F5" s="26" t="inlineStr">
        <is>
          <t>RAD-CHEST-02</t>
        </is>
      </c>
      <c r="G5" s="26" t="inlineStr">
        <is>
          <t>Gross Unit Charge</t>
        </is>
      </c>
      <c r="H5" s="26" t="inlineStr">
        <is>
          <t>170</t>
        </is>
      </c>
      <c r="I5" s="26" t="inlineStr">
        <is>
          <t>180</t>
        </is>
      </c>
      <c r="J5" s="26" t="inlineStr">
        <is>
          <t>Annual pricing review</t>
        </is>
      </c>
      <c r="K5" s="26" t="inlineStr">
        <is>
          <t>CHG-2026-001</t>
        </is>
      </c>
      <c r="L5" s="26" t="inlineStr">
        <is>
          <t>Production</t>
        </is>
      </c>
      <c r="M5" s="26" t="inlineStr">
        <is>
          <t>Success</t>
        </is>
      </c>
    </row>
    <row r="6">
      <c r="A6" s="26" t="inlineStr">
        <is>
          <t>AUD-0002</t>
        </is>
      </c>
      <c r="B6" s="26" t="inlineStr">
        <is>
          <t>2026-09-01 10:05</t>
        </is>
      </c>
      <c r="C6" s="26" t="inlineStr">
        <is>
          <t>HB Coding Analyst</t>
        </is>
      </c>
      <c r="D6" s="26" t="inlineStr">
        <is>
          <t>Update</t>
        </is>
      </c>
      <c r="E6" s="26" t="inlineStr">
        <is>
          <t>CDM</t>
        </is>
      </c>
      <c r="F6" s="26" t="inlineStr">
        <is>
          <t>PH-IV-ABX-01</t>
        </is>
      </c>
      <c r="G6" s="26" t="inlineStr">
        <is>
          <t>HCPCS</t>
        </is>
      </c>
      <c r="H6" s="26" t="inlineStr">
        <is>
          <t>Blank</t>
        </is>
      </c>
      <c r="I6" s="26" t="inlineStr">
        <is>
          <t>J0690</t>
        </is>
      </c>
      <c r="J6" s="26" t="inlineStr">
        <is>
          <t>Coding validation</t>
        </is>
      </c>
      <c r="K6" s="26" t="inlineStr">
        <is>
          <t>INC-2026-118</t>
        </is>
      </c>
      <c r="L6" s="26" t="inlineStr">
        <is>
          <t>Production</t>
        </is>
      </c>
      <c r="M6" s="26" t="inlineStr">
        <is>
          <t>Success</t>
        </is>
      </c>
    </row>
    <row r="7">
      <c r="A7" s="26" t="inlineStr">
        <is>
          <t>AUD-0003</t>
        </is>
      </c>
      <c r="B7" s="26" t="inlineStr">
        <is>
          <t>2026-09-02 14:20</t>
        </is>
      </c>
      <c r="C7" s="26" t="inlineStr">
        <is>
          <t>Managed Care Analyst</t>
        </is>
      </c>
      <c r="D7" s="26" t="inlineStr">
        <is>
          <t>Create</t>
        </is>
      </c>
      <c r="E7" s="26" t="inlineStr">
        <is>
          <t>Contract</t>
        </is>
      </c>
      <c r="F7" s="26" t="inlineStr">
        <is>
          <t>CNT-001</t>
        </is>
      </c>
      <c r="G7" s="26" t="inlineStr">
        <is>
          <t>Implant carve-out</t>
        </is>
      </c>
      <c r="H7" s="26" t="inlineStr">
        <is>
          <t>Blank</t>
        </is>
      </c>
      <c r="I7" s="26" t="inlineStr">
        <is>
          <t>Invoice + 10% cap</t>
        </is>
      </c>
      <c r="J7" s="26" t="inlineStr">
        <is>
          <t>New payer term</t>
        </is>
      </c>
      <c r="K7" s="26" t="inlineStr">
        <is>
          <t>CON-2026-44</t>
        </is>
      </c>
      <c r="L7" s="26" t="inlineStr">
        <is>
          <t>Test</t>
        </is>
      </c>
      <c r="M7" s="26" t="inlineStr">
        <is>
          <t>Success</t>
        </is>
      </c>
    </row>
    <row r="8">
      <c r="A8" s="26" t="inlineStr">
        <is>
          <t>AUD-0004</t>
        </is>
      </c>
      <c r="B8" s="26" t="inlineStr">
        <is>
          <t>2026-09-03 16:45</t>
        </is>
      </c>
      <c r="C8" s="26" t="inlineStr">
        <is>
          <t>Release Manager</t>
        </is>
      </c>
      <c r="D8" s="26" t="inlineStr">
        <is>
          <t>Promote</t>
        </is>
      </c>
      <c r="E8" s="26" t="inlineStr">
        <is>
          <t>Router Rule</t>
        </is>
      </c>
      <c r="F8" s="26" t="inlineStr">
        <is>
          <t>CR-004</t>
        </is>
      </c>
      <c r="G8" s="26" t="inlineStr">
        <is>
          <t>Status</t>
        </is>
      </c>
      <c r="H8" s="26" t="inlineStr">
        <is>
          <t>Test</t>
        </is>
      </c>
      <c r="I8" s="26" t="inlineStr">
        <is>
          <t>Active</t>
        </is>
      </c>
      <c r="J8" s="26" t="inlineStr">
        <is>
          <t>Approved release</t>
        </is>
      </c>
      <c r="K8" s="26" t="inlineStr">
        <is>
          <t>REL-2026-91</t>
        </is>
      </c>
      <c r="L8" s="26" t="inlineStr">
        <is>
          <t>Production</t>
        </is>
      </c>
      <c r="M8" s="26" t="inlineStr">
        <is>
          <t>Success</t>
        </is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32" min="1" max="3"/>
    <col width="38" customWidth="1" style="32" min="4" max="4"/>
    <col width="23" customWidth="1" style="32" min="5" max="5"/>
    <col width="24" customWidth="1" style="32" min="6" max="6"/>
    <col width="34" customWidth="1" style="32" min="7" max="7"/>
    <col width="26" customWidth="1" style="32" min="8" max="8"/>
    <col width="18" customWidth="1" style="32" min="9" max="9"/>
    <col width="32" customWidth="1" style="32" min="10" max="10"/>
  </cols>
  <sheetData>
    <row r="1" ht="27.95" customHeight="1" s="32">
      <c r="A1" s="25" t="inlineStr">
        <is>
          <t>Revenue Cycle Data Source Map</t>
        </is>
      </c>
    </row>
    <row r="2" ht="30" customHeight="1" s="32">
      <c r="A2" s="27" t="inlineStr">
        <is>
          <t>Traceability from operational systems through charge generation, billing output, pricing, reconciliation, and ownership.</t>
        </is>
      </c>
    </row>
    <row r="4" ht="38.1" customHeight="1" s="32">
      <c r="A4" s="4" t="inlineStr">
        <is>
          <t>Data Element</t>
        </is>
      </c>
      <c r="B4" s="4" t="inlineStr">
        <is>
          <t>Operational Source</t>
        </is>
      </c>
      <c r="C4" s="4" t="inlineStr">
        <is>
          <t>Epic-Aligned Workflow Area</t>
        </is>
      </c>
      <c r="D4" s="4" t="inlineStr">
        <is>
          <t>CDM Role</t>
        </is>
      </c>
      <c r="E4" s="4" t="inlineStr">
        <is>
          <t>Claim Output</t>
        </is>
      </c>
      <c r="F4" s="4" t="inlineStr">
        <is>
          <t>Pricing Source</t>
        </is>
      </c>
      <c r="G4" s="4" t="inlineStr">
        <is>
          <t>Reconciliation Control</t>
        </is>
      </c>
      <c r="H4" s="4" t="inlineStr">
        <is>
          <t>Owner</t>
        </is>
      </c>
      <c r="I4" s="4" t="inlineStr">
        <is>
          <t>Refresh Frequency</t>
        </is>
      </c>
      <c r="J4" s="4" t="inlineStr">
        <is>
          <t>Key Risk</t>
        </is>
      </c>
    </row>
    <row r="5">
      <c r="A5" s="26" t="inlineStr">
        <is>
          <t>Room type and days</t>
        </is>
      </c>
      <c r="B5" s="26" t="inlineStr">
        <is>
          <t>ADT / Bed Management</t>
        </is>
      </c>
      <c r="C5" s="26" t="inlineStr">
        <is>
          <t>Hospital Billing</t>
        </is>
      </c>
      <c r="D5" s="26" t="inlineStr">
        <is>
          <t>Maps accommodation code, revenue code, and daily price</t>
        </is>
      </c>
      <c r="E5" s="26" t="inlineStr">
        <is>
          <t>837I 011X/012X/020X</t>
        </is>
      </c>
      <c r="F5" s="26" t="inlineStr">
        <is>
          <t>DRG/per diem/contract</t>
        </is>
      </c>
      <c r="G5" s="26" t="inlineStr">
        <is>
          <t>Compare midnight census and billed days</t>
        </is>
      </c>
      <c r="H5" s="26" t="inlineStr">
        <is>
          <t>Patient Access + Revenue Integrity</t>
        </is>
      </c>
      <c r="I5" s="26" t="inlineStr">
        <is>
          <t>Daily</t>
        </is>
      </c>
      <c r="J5" s="26" t="inlineStr">
        <is>
          <t>Incorrect patient class or bed dates</t>
        </is>
      </c>
    </row>
    <row r="6">
      <c r="A6" s="26" t="inlineStr">
        <is>
          <t>OR time</t>
        </is>
      </c>
      <c r="B6" s="26" t="inlineStr">
        <is>
          <t>Perioperative system</t>
        </is>
      </c>
      <c r="C6" s="26" t="inlineStr">
        <is>
          <t>Charge Router / HB</t>
        </is>
      </c>
      <c r="D6" s="26" t="inlineStr">
        <is>
          <t>Maps room tier and timed units</t>
        </is>
      </c>
      <c r="E6" s="26" t="inlineStr">
        <is>
          <t>837I 036X</t>
        </is>
      </c>
      <c r="F6" s="26" t="inlineStr">
        <is>
          <t>Usually packaged</t>
        </is>
      </c>
      <c r="G6" s="26" t="inlineStr">
        <is>
          <t>Compare procedure timestamps and units</t>
        </is>
      </c>
      <c r="H6" s="26" t="inlineStr">
        <is>
          <t>OR Finance</t>
        </is>
      </c>
      <c r="I6" s="26" t="inlineStr">
        <is>
          <t>Daily</t>
        </is>
      </c>
      <c r="J6" s="26" t="inlineStr">
        <is>
          <t>Missing/incorrect time units</t>
        </is>
      </c>
    </row>
    <row r="7">
      <c r="A7" s="26" t="inlineStr">
        <is>
          <t>Implant</t>
        </is>
      </c>
      <c r="B7" s="26" t="inlineStr">
        <is>
          <t>Inventory / Supply Chain</t>
        </is>
      </c>
      <c r="C7" s="26" t="inlineStr">
        <is>
          <t>Charge Router / HB</t>
        </is>
      </c>
      <c r="D7" s="26" t="inlineStr">
        <is>
          <t>Maps item, device identifier, revenue code, gross price</t>
        </is>
      </c>
      <c r="E7" s="26" t="inlineStr">
        <is>
          <t>837I 0278</t>
        </is>
      </c>
      <c r="F7" s="26" t="inlineStr">
        <is>
          <t>DRG or carve-out</t>
        </is>
      </c>
      <c r="G7" s="26" t="inlineStr">
        <is>
          <t>Three-way match: scan, invoice, charge</t>
        </is>
      </c>
      <c r="H7" s="26" t="inlineStr">
        <is>
          <t>Supply Chain Finance</t>
        </is>
      </c>
      <c r="I7" s="26" t="inlineStr">
        <is>
          <t>Daily</t>
        </is>
      </c>
      <c r="J7" s="26" t="inlineStr">
        <is>
          <t>Missed charge or unsupported carve-out</t>
        </is>
      </c>
    </row>
    <row r="8">
      <c r="A8" s="26" t="inlineStr">
        <is>
          <t>Drug administration</t>
        </is>
      </c>
      <c r="B8" s="26" t="inlineStr">
        <is>
          <t>Pharmacy / MAR</t>
        </is>
      </c>
      <c r="C8" s="26" t="inlineStr">
        <is>
          <t>Hospital Billing</t>
        </is>
      </c>
      <c r="D8" s="26" t="inlineStr">
        <is>
          <t>Maps medication, HCPCS, NDC, units, and price</t>
        </is>
      </c>
      <c r="E8" s="26" t="inlineStr">
        <is>
          <t>837I 025X + HCPCS/NDC</t>
        </is>
      </c>
      <c r="F8" s="26" t="inlineStr">
        <is>
          <t>Packaged or drug carve-out</t>
        </is>
      </c>
      <c r="G8" s="26" t="inlineStr">
        <is>
          <t>MAR-to-charge reconciliation</t>
        </is>
      </c>
      <c r="H8" s="26" t="inlineStr">
        <is>
          <t>Pharmacy Revenue Integrity</t>
        </is>
      </c>
      <c r="I8" s="26" t="inlineStr">
        <is>
          <t>Daily</t>
        </is>
      </c>
      <c r="J8" s="26" t="inlineStr">
        <is>
          <t>NDC/unit mismatch</t>
        </is>
      </c>
    </row>
    <row r="9">
      <c r="A9" s="26" t="inlineStr">
        <is>
          <t>Lab</t>
        </is>
      </c>
      <c r="B9" s="26" t="inlineStr">
        <is>
          <t>LIS</t>
        </is>
      </c>
      <c r="C9" s="26" t="inlineStr">
        <is>
          <t>Hospital Billing</t>
        </is>
      </c>
      <c r="D9" s="26" t="inlineStr">
        <is>
          <t>Maps completed test to revenue/CPT/price</t>
        </is>
      </c>
      <c r="E9" s="26" t="inlineStr">
        <is>
          <t>837I 030X + CPT</t>
        </is>
      </c>
      <c r="F9" s="26" t="inlineStr">
        <is>
          <t>Packaged or fee schedule</t>
        </is>
      </c>
      <c r="G9" s="26" t="inlineStr">
        <is>
          <t>Completed tests vs posted charges</t>
        </is>
      </c>
      <c r="H9" s="26" t="inlineStr">
        <is>
          <t>Lab Finance</t>
        </is>
      </c>
      <c r="I9" s="26" t="inlineStr">
        <is>
          <t>Daily</t>
        </is>
      </c>
      <c r="J9" s="26" t="inlineStr">
        <is>
          <t>Cancelled test billed</t>
        </is>
      </c>
    </row>
    <row r="10">
      <c r="A10" s="26" t="inlineStr">
        <is>
          <t>Imaging</t>
        </is>
      </c>
      <c r="B10" s="26" t="inlineStr">
        <is>
          <t>RIS/PACS</t>
        </is>
      </c>
      <c r="C10" s="26" t="inlineStr">
        <is>
          <t>Hospital Billing</t>
        </is>
      </c>
      <c r="D10" s="26" t="inlineStr">
        <is>
          <t>Maps completed study to revenue/CPT/price</t>
        </is>
      </c>
      <c r="E10" s="26" t="inlineStr">
        <is>
          <t>837I 032X + CPT</t>
        </is>
      </c>
      <c r="F10" s="26" t="inlineStr">
        <is>
          <t>Packaged or APC/fee schedule</t>
        </is>
      </c>
      <c r="G10" s="26" t="inlineStr">
        <is>
          <t>Exam completion vs charge</t>
        </is>
      </c>
      <c r="H10" s="26" t="inlineStr">
        <is>
          <t>Imaging Finance</t>
        </is>
      </c>
      <c r="I10" s="26" t="inlineStr">
        <is>
          <t>Daily</t>
        </is>
      </c>
      <c r="J10" s="26" t="inlineStr">
        <is>
          <t>Wrong study or duplicate charge</t>
        </is>
      </c>
    </row>
    <row r="11">
      <c r="A11" s="26" t="inlineStr">
        <is>
          <t>Therapy</t>
        </is>
      </c>
      <c r="B11" s="26" t="inlineStr">
        <is>
          <t>Therapy documentation</t>
        </is>
      </c>
      <c r="C11" s="26" t="inlineStr">
        <is>
          <t>Hospital Billing</t>
        </is>
      </c>
      <c r="D11" s="26" t="inlineStr">
        <is>
          <t>Maps timed and untimed services</t>
        </is>
      </c>
      <c r="E11" s="26" t="inlineStr">
        <is>
          <t>837I 042X + CPT</t>
        </is>
      </c>
      <c r="F11" s="26" t="inlineStr">
        <is>
          <t>APC/fee schedule</t>
        </is>
      </c>
      <c r="G11" s="26" t="inlineStr">
        <is>
          <t>Documented minutes vs units</t>
        </is>
      </c>
      <c r="H11" s="26" t="inlineStr">
        <is>
          <t>Rehab Finance</t>
        </is>
      </c>
      <c r="I11" s="26" t="inlineStr">
        <is>
          <t>Daily</t>
        </is>
      </c>
      <c r="J11" s="26" t="inlineStr">
        <is>
          <t>Timed-unit over/under billing</t>
        </is>
      </c>
    </row>
    <row r="12">
      <c r="A12" s="26" t="inlineStr">
        <is>
          <t>Professional services</t>
        </is>
      </c>
      <c r="B12" s="26" t="inlineStr">
        <is>
          <t>Clinical documentation</t>
        </is>
      </c>
      <c r="C12" s="26" t="inlineStr">
        <is>
          <t>Professional Billing</t>
        </is>
      </c>
      <c r="D12" s="26" t="inlineStr">
        <is>
          <t>Separate PB charge and coding workflow</t>
        </is>
      </c>
      <c r="E12" s="26" t="inlineStr">
        <is>
          <t>837P</t>
        </is>
      </c>
      <c r="F12" s="26" t="inlineStr">
        <is>
          <t>Professional fee schedule</t>
        </is>
      </c>
      <c r="G12" s="26" t="inlineStr">
        <is>
          <t>Provider note vs charge</t>
        </is>
      </c>
      <c r="H12" s="26" t="inlineStr">
        <is>
          <t>PB Coding</t>
        </is>
      </c>
      <c r="I12" s="26" t="inlineStr">
        <is>
          <t>Daily</t>
        </is>
      </c>
      <c r="J12" s="26" t="inlineStr">
        <is>
          <t>HB/PB split error</t>
        </is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32" min="1" max="1"/>
    <col width="25" customWidth="1" style="32" min="2" max="2"/>
    <col width="45" customWidth="1" style="32" min="3" max="3"/>
    <col width="13" customWidth="1" style="32" min="4" max="4"/>
    <col width="12" customWidth="1" style="32" min="5" max="5"/>
    <col width="27" customWidth="1" style="32" min="6" max="6"/>
    <col width="35" customWidth="1" style="32" min="7" max="7"/>
    <col width="25" customWidth="1" style="32" min="8" max="8"/>
    <col width="22" customWidth="1" style="32" min="9" max="9"/>
    <col width="20" customWidth="1" style="32" min="10" max="10"/>
  </cols>
  <sheetData>
    <row r="1" ht="27.95" customHeight="1" s="32">
      <c r="A1" s="25" t="inlineStr">
        <is>
          <t>Data Dictionary</t>
        </is>
      </c>
    </row>
    <row r="2" ht="30" customHeight="1" s="32">
      <c r="A2" s="27" t="inlineStr">
        <is>
          <t>Key business definitions and validation expectations for the demo revenue-cycle data model.</t>
        </is>
      </c>
    </row>
    <row r="4" ht="38.1" customHeight="1" s="32">
      <c r="A4" s="4" t="inlineStr">
        <is>
          <t>Sheet</t>
        </is>
      </c>
      <c r="B4" s="4" t="inlineStr">
        <is>
          <t>Field</t>
        </is>
      </c>
      <c r="C4" s="4" t="inlineStr">
        <is>
          <t>Definition</t>
        </is>
      </c>
      <c r="D4" s="4" t="inlineStr">
        <is>
          <t>Data Type</t>
        </is>
      </c>
      <c r="E4" s="4" t="inlineStr">
        <is>
          <t>Required</t>
        </is>
      </c>
      <c r="F4" s="4" t="inlineStr">
        <is>
          <t>Allowed Values / Format</t>
        </is>
      </c>
      <c r="G4" s="4" t="inlineStr">
        <is>
          <t>Validation Rule</t>
        </is>
      </c>
      <c r="H4" s="4" t="inlineStr">
        <is>
          <t>Source of Truth</t>
        </is>
      </c>
      <c r="I4" s="4" t="inlineStr">
        <is>
          <t>Owner</t>
        </is>
      </c>
      <c r="J4" s="4" t="inlineStr">
        <is>
          <t>Sensitivity</t>
        </is>
      </c>
    </row>
    <row r="5">
      <c r="A5" s="26" t="inlineStr">
        <is>
          <t>CDM Master</t>
        </is>
      </c>
      <c r="B5" s="26" t="inlineStr">
        <is>
          <t>EAP/CDM Charge Code</t>
        </is>
      </c>
      <c r="C5" s="26" t="inlineStr">
        <is>
          <t>Unique internal billable item or service identifier</t>
        </is>
      </c>
      <c r="D5" s="26" t="inlineStr">
        <is>
          <t>Text</t>
        </is>
      </c>
      <c r="E5" s="26" t="inlineStr">
        <is>
          <t>Yes</t>
        </is>
      </c>
      <c r="F5" s="26" t="inlineStr">
        <is>
          <t>Unique, active/effective</t>
        </is>
      </c>
      <c r="G5" s="26" t="inlineStr">
        <is>
          <t>No duplicates; cannot be blank</t>
        </is>
      </c>
      <c r="H5" s="26" t="inlineStr">
        <is>
          <t>Revenue integrity master</t>
        </is>
      </c>
      <c r="I5" s="26" t="inlineStr">
        <is>
          <t>Revenue Integrity</t>
        </is>
      </c>
      <c r="J5" s="26" t="inlineStr">
        <is>
          <t>Internal</t>
        </is>
      </c>
    </row>
    <row r="6">
      <c r="A6" s="26" t="inlineStr">
        <is>
          <t>CDM Master</t>
        </is>
      </c>
      <c r="B6" s="26" t="inlineStr">
        <is>
          <t>Revenue Code</t>
        </is>
      </c>
      <c r="C6" s="26" t="inlineStr">
        <is>
          <t>Institutional claim category for facility charges</t>
        </is>
      </c>
      <c r="D6" s="26" t="inlineStr">
        <is>
          <t>Text</t>
        </is>
      </c>
      <c r="E6" s="26" t="inlineStr">
        <is>
          <t>HB only</t>
        </is>
      </c>
      <c r="F6" s="26" t="inlineStr">
        <is>
          <t>4-digit code</t>
        </is>
      </c>
      <c r="G6" s="26" t="inlineStr">
        <is>
          <t>Required for HB active charges</t>
        </is>
      </c>
      <c r="H6" s="26" t="inlineStr">
        <is>
          <t>Billing configuration</t>
        </is>
      </c>
      <c r="I6" s="26" t="inlineStr">
        <is>
          <t>HB Coding</t>
        </is>
      </c>
      <c r="J6" s="26" t="inlineStr">
        <is>
          <t>Public standard</t>
        </is>
      </c>
    </row>
    <row r="7">
      <c r="A7" s="26" t="inlineStr">
        <is>
          <t>CDM Master</t>
        </is>
      </c>
      <c r="B7" s="26" t="inlineStr">
        <is>
          <t>CPT/HCPCS</t>
        </is>
      </c>
      <c r="C7" s="26" t="inlineStr">
        <is>
          <t>Procedure, service, supply, or drug code when applicable</t>
        </is>
      </c>
      <c r="D7" s="26" t="inlineStr">
        <is>
          <t>Text</t>
        </is>
      </c>
      <c r="E7" s="26" t="inlineStr">
        <is>
          <t>Conditional</t>
        </is>
      </c>
      <c r="F7" s="26" t="inlineStr">
        <is>
          <t>Current valid code</t>
        </is>
      </c>
      <c r="G7" s="26" t="inlineStr">
        <is>
          <t>Required by service/revenue/payer rule</t>
        </is>
      </c>
      <c r="H7" s="26" t="inlineStr">
        <is>
          <t>Coding master</t>
        </is>
      </c>
      <c r="I7" s="26" t="inlineStr">
        <is>
          <t>Coding</t>
        </is>
      </c>
      <c r="J7" s="26" t="inlineStr">
        <is>
          <t>Licensed/regulated</t>
        </is>
      </c>
    </row>
    <row r="8">
      <c r="A8" s="26" t="inlineStr">
        <is>
          <t>CDM Master</t>
        </is>
      </c>
      <c r="B8" s="26" t="inlineStr">
        <is>
          <t>NDC / Device ID</t>
        </is>
      </c>
      <c r="C8" s="26" t="inlineStr">
        <is>
          <t>Drug NDC or device identifier supporting item-level billing</t>
        </is>
      </c>
      <c r="D8" s="26" t="inlineStr">
        <is>
          <t>Text</t>
        </is>
      </c>
      <c r="E8" s="26" t="inlineStr">
        <is>
          <t>Conditional</t>
        </is>
      </c>
      <c r="F8" s="26" t="inlineStr">
        <is>
          <t>Configured format</t>
        </is>
      </c>
      <c r="G8" s="26" t="inlineStr">
        <is>
          <t>Required by payer or regulatory rule</t>
        </is>
      </c>
      <c r="H8" s="26" t="inlineStr">
        <is>
          <t>Pharmacy/Inventory</t>
        </is>
      </c>
      <c r="I8" s="26" t="inlineStr">
        <is>
          <t>Department owner</t>
        </is>
      </c>
      <c r="J8" s="26" t="inlineStr">
        <is>
          <t>Restricted operational</t>
        </is>
      </c>
    </row>
    <row r="9">
      <c r="A9" s="26" t="inlineStr">
        <is>
          <t>IPD Encounter</t>
        </is>
      </c>
      <c r="B9" s="26" t="inlineStr">
        <is>
          <t>HAR</t>
        </is>
      </c>
      <c r="C9" s="26" t="inlineStr">
        <is>
          <t>Hospital account identifier for facility billing</t>
        </is>
      </c>
      <c r="D9" s="26" t="inlineStr">
        <is>
          <t>Text</t>
        </is>
      </c>
      <c r="E9" s="26" t="inlineStr">
        <is>
          <t>Yes</t>
        </is>
      </c>
      <c r="F9" s="26" t="inlineStr">
        <is>
          <t>Unique account ID</t>
        </is>
      </c>
      <c r="G9" s="26" t="inlineStr">
        <is>
          <t>Must link to encounter and payer</t>
        </is>
      </c>
      <c r="H9" s="26" t="inlineStr">
        <is>
          <t>Patient accounting</t>
        </is>
      </c>
      <c r="I9" s="26" t="inlineStr">
        <is>
          <t>HB Billing</t>
        </is>
      </c>
      <c r="J9" s="26" t="inlineStr">
        <is>
          <t>Synthetic in demo</t>
        </is>
      </c>
    </row>
    <row r="10">
      <c r="A10" s="26" t="inlineStr">
        <is>
          <t>IPD Encounter</t>
        </is>
      </c>
      <c r="B10" s="26" t="inlineStr">
        <is>
          <t>Extended Gross</t>
        </is>
      </c>
      <c r="C10" s="26" t="inlineStr">
        <is>
          <t>Quantity multiplied by CDM gross unit charge</t>
        </is>
      </c>
      <c r="D10" s="26" t="inlineStr">
        <is>
          <t>Currency</t>
        </is>
      </c>
      <c r="E10" s="26" t="inlineStr">
        <is>
          <t>Yes</t>
        </is>
      </c>
      <c r="F10" s="26" t="inlineStr">
        <is>
          <t>Formula</t>
        </is>
      </c>
      <c r="G10" s="26" t="inlineStr">
        <is>
          <t>Quantity x unit charge</t>
        </is>
      </c>
      <c r="H10" s="26" t="inlineStr">
        <is>
          <t>Derived</t>
        </is>
      </c>
      <c r="I10" s="26" t="inlineStr">
        <is>
          <t>Revenue Integrity</t>
        </is>
      </c>
      <c r="J10" s="26" t="inlineStr">
        <is>
          <t>Financial</t>
        </is>
      </c>
    </row>
    <row r="11">
      <c r="A11" s="26" t="inlineStr">
        <is>
          <t>Price Transparency</t>
        </is>
      </c>
      <c r="B11" s="26" t="inlineStr">
        <is>
          <t>Negotiated Charge</t>
        </is>
      </c>
      <c r="C11" s="26" t="inlineStr">
        <is>
          <t>Payer- and plan-specific negotiated amount</t>
        </is>
      </c>
      <c r="D11" s="26" t="inlineStr">
        <is>
          <t>Currency</t>
        </is>
      </c>
      <c r="E11" s="26" t="inlineStr">
        <is>
          <t>Conditional</t>
        </is>
      </c>
      <c r="F11" s="26" t="inlineStr">
        <is>
          <t>Dollar / methodology</t>
        </is>
      </c>
      <c r="G11" s="26" t="inlineStr">
        <is>
          <t>Must be current and attributable</t>
        </is>
      </c>
      <c r="H11" s="26" t="inlineStr">
        <is>
          <t>Contract management</t>
        </is>
      </c>
      <c r="I11" s="26" t="inlineStr">
        <is>
          <t>Managed Care</t>
        </is>
      </c>
      <c r="J11" s="26" t="inlineStr">
        <is>
          <t>Public when reported</t>
        </is>
      </c>
    </row>
    <row r="12">
      <c r="A12" s="26" t="inlineStr">
        <is>
          <t>Governance</t>
        </is>
      </c>
      <c r="B12" s="26" t="inlineStr">
        <is>
          <t>Status</t>
        </is>
      </c>
      <c r="C12" s="26" t="inlineStr">
        <is>
          <t>Current lifecycle stage of a change request</t>
        </is>
      </c>
      <c r="D12" s="26" t="inlineStr">
        <is>
          <t>Text</t>
        </is>
      </c>
      <c r="E12" s="26" t="inlineStr">
        <is>
          <t>Yes</t>
        </is>
      </c>
      <c r="F12" s="26" t="inlineStr">
        <is>
          <t>Submitted/In Review/Approved/Ready/Closed</t>
        </is>
      </c>
      <c r="G12" s="26" t="inlineStr">
        <is>
          <t>Controlled transition</t>
        </is>
      </c>
      <c r="H12" s="26" t="inlineStr">
        <is>
          <t>Change control</t>
        </is>
      </c>
      <c r="I12" s="26" t="inlineStr">
        <is>
          <t>Revenue Integrity</t>
        </is>
      </c>
      <c r="J12" s="26" t="inlineStr">
        <is>
          <t>Internal</t>
        </is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Shashwat Mahapatra</dc:creator>
  <dcterms:created xmlns:dcterms="http://purl.org/dc/terms/" xmlns:xsi="http://www.w3.org/2001/XMLSchema-instance" xsi:type="dcterms:W3CDTF">2026-10-05T20:00:15Z</dcterms:created>
  <dcterms:modified xmlns:dcterms="http://purl.org/dc/terms/" xmlns:xsi="http://www.w3.org/2001/XMLSchema-instance" xsi:type="dcterms:W3CDTF">2026-10-12T13:50:34Z</dcterms:modified>
  <cp:lastModifiedBy>Shashwat Mahapatra</cp:lastModifiedBy>
</cp:coreProperties>
</file>